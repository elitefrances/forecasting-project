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ing\Documents\Personal Files\working samples\"/>
    </mc:Choice>
  </mc:AlternateContent>
  <xr:revisionPtr revIDLastSave="0" documentId="13_ncr:1_{63567CCA-6E6D-4BD8-AF0E-3765873269A3}" xr6:coauthVersionLast="47" xr6:coauthVersionMax="47" xr10:uidLastSave="{00000000-0000-0000-0000-000000000000}"/>
  <bookViews>
    <workbookView xWindow="-98" yWindow="-98" windowWidth="19396" windowHeight="11596" tabRatio="939" xr2:uid="{F8A08528-B8CB-4507-8956-0983E40B8C4E}"/>
  </bookViews>
  <sheets>
    <sheet name="2021 Revenue Goals &amp; Forecast" sheetId="2" r:id="rId1"/>
    <sheet name="Legacy Direct" sheetId="3" r:id="rId2"/>
    <sheet name="Compulse SaaS Detail" sheetId="5" r:id="rId3"/>
    <sheet name="Compulse Management Fees" sheetId="6" r:id="rId4"/>
    <sheet name="Compulse Media_Data Pass Thru" sheetId="7" r:id="rId5"/>
    <sheet name="Compulse Wholesale" sheetId="9" r:id="rId6"/>
    <sheet name="raw" sheetId="1" r:id="rId7"/>
  </sheets>
  <definedNames>
    <definedName name="__a1" hidden="1">{"Month End Performance",#N/A,FALSE,"Report";"Site Talk Times",#N/A,FALSE,"Report"}</definedName>
    <definedName name="__v1" hidden="1">{"Month End Performance",#N/A,FALSE,"Report";"Site Talk Times",#N/A,FALSE,"Report"}</definedName>
    <definedName name="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a1" hidden="1">{"Month End Performance",#N/A,FALSE,"Report";"Site Talk Times",#N/A,FALSE,"Report"}</definedName>
    <definedName name="_xlnm._FilterDatabase" localSheetId="6" hidden="1">raw!$AZ$1:$BD$30</definedName>
    <definedName name="_Key1" hidden="1">#REF!</definedName>
    <definedName name="_Order1" hidden="1">255</definedName>
    <definedName name="_Order2" hidden="1">0</definedName>
    <definedName name="_Sort" hidden="1">#REF!</definedName>
    <definedName name="_Table1_In1" hidden="1">#REF!</definedName>
    <definedName name="_Table1_Out" hidden="1">#REF!</definedName>
    <definedName name="_v1" hidden="1">{"Month End Performance",#N/A,FALSE,"Report";"Site Talk Times",#N/A,FALSE,"Report"}</definedName>
    <definedName name="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aa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dele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era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a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rh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sda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asfdasd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ccc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cccc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d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dsd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a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tjh" hidden="1">{"Month End Performance",#N/A,FALSE,"Report";"Site Talk Times",#N/A,FALSE,"Report"}</definedName>
    <definedName name="fsd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40724.3856481481</definedName>
    <definedName name="IQ_NTM" hidden="1">6000</definedName>
    <definedName name="IQ_OPENED55" hidden="1">1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iuer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iut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yi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bxbz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ef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fsd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jvh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kjfgj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ljer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lkj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ng" hidden="1">{"Month End Performance",#N/A,FALSE,"Report";"Site Talk Times",#N/A,FALSE,"Report"}</definedName>
    <definedName name="noth2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3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4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5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6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7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ing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s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q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qafgs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dhvjv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evised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tndf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sd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se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sfh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Table" hidden="1">#REF!</definedName>
    <definedName name="tkudsh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v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wrn.AOL._.Budget.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model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MEMBER._.SERVICES._.ALL.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wrn.Monthly." hidden="1">{"Month End Performance",#N/A,FALSE,"Report";"Site Talk Times",#N/A,FALSE,"Report"}</definedName>
    <definedName name="wrn.VA._.Departments._.by._.Month.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ydfjs" hidden="1">{"Month End Performance",#N/A,FALSE,"Report";"Site Talk Times",#N/A,FALSE,"Report"}</definedName>
    <definedName name="yrnc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y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51" i="9" l="1"/>
  <c r="BA51" i="9"/>
  <c r="AZ51" i="9"/>
  <c r="BA42" i="9"/>
  <c r="AZ42" i="9"/>
  <c r="BA34" i="9"/>
  <c r="AZ34" i="9"/>
  <c r="BA37" i="9"/>
  <c r="AZ37" i="9"/>
  <c r="BA28" i="9"/>
  <c r="AZ28" i="9"/>
  <c r="AX51" i="9"/>
  <c r="AW51" i="9"/>
  <c r="AX42" i="9"/>
  <c r="AW42" i="9"/>
  <c r="AX37" i="9"/>
  <c r="AW37" i="9"/>
  <c r="AX34" i="9"/>
  <c r="AW34" i="9"/>
  <c r="AX28" i="9"/>
  <c r="AW28" i="9"/>
  <c r="AV51" i="9"/>
  <c r="AV37" i="9"/>
  <c r="AV42" i="9" s="1"/>
  <c r="AS37" i="9"/>
  <c r="AP37" i="9"/>
  <c r="AV28" i="9"/>
  <c r="AV34" i="9" s="1"/>
  <c r="AS28" i="9"/>
  <c r="AP28" i="9"/>
  <c r="AP34" i="9" s="1"/>
  <c r="AJ37" i="9"/>
  <c r="AL37" i="9"/>
  <c r="AK37" i="9"/>
  <c r="AL28" i="9"/>
  <c r="AK28" i="9"/>
  <c r="AL34" i="9"/>
  <c r="AK34" i="9"/>
  <c r="AL25" i="9"/>
  <c r="AK25" i="9"/>
  <c r="AJ28" i="9"/>
  <c r="AG28" i="9"/>
  <c r="AD28" i="9"/>
  <c r="AG37" i="9"/>
  <c r="AD37" i="9"/>
  <c r="X37" i="9"/>
  <c r="X28" i="9"/>
  <c r="U37" i="9"/>
  <c r="U28" i="9"/>
  <c r="R37" i="9"/>
  <c r="R28" i="9"/>
  <c r="BA25" i="9"/>
  <c r="AZ25" i="9"/>
  <c r="AW25" i="9"/>
  <c r="AX25" i="9"/>
  <c r="BA19" i="9"/>
  <c r="AZ19" i="9"/>
  <c r="AX19" i="9"/>
  <c r="AW19" i="9"/>
  <c r="AV19" i="9"/>
  <c r="AV25" i="9" s="1"/>
  <c r="AS19" i="9"/>
  <c r="AP19" i="9"/>
  <c r="AL19" i="9"/>
  <c r="AK19" i="9"/>
  <c r="AJ19" i="9"/>
  <c r="AG19" i="9"/>
  <c r="AD19" i="9"/>
  <c r="Z19" i="9"/>
  <c r="Y19" i="9"/>
  <c r="X19" i="9"/>
  <c r="L51" i="9"/>
  <c r="L42" i="9"/>
  <c r="L34" i="9"/>
  <c r="U19" i="9"/>
  <c r="R19" i="9"/>
  <c r="L19" i="9"/>
  <c r="L25" i="9" s="1"/>
  <c r="AI48" i="3"/>
  <c r="AI39" i="3"/>
  <c r="AI30" i="3"/>
  <c r="AI21" i="3"/>
  <c r="Q48" i="3"/>
  <c r="Q39" i="3"/>
  <c r="Q30" i="3"/>
  <c r="Q21" i="3"/>
  <c r="O48" i="3"/>
  <c r="O39" i="3"/>
  <c r="O30" i="3"/>
  <c r="O21" i="3"/>
  <c r="M48" i="3"/>
  <c r="M39" i="3"/>
  <c r="M30" i="3"/>
  <c r="M21" i="3"/>
  <c r="K48" i="3"/>
  <c r="K39" i="3"/>
  <c r="K30" i="3"/>
  <c r="K21" i="3"/>
  <c r="I48" i="3"/>
  <c r="I39" i="3"/>
  <c r="I30" i="3"/>
  <c r="I21" i="3"/>
  <c r="G48" i="3"/>
  <c r="G39" i="3"/>
  <c r="G30" i="3"/>
  <c r="G21" i="3"/>
  <c r="E48" i="3"/>
  <c r="E39" i="3"/>
  <c r="E30" i="3"/>
  <c r="E21" i="3"/>
  <c r="C48" i="3"/>
  <c r="C39" i="3"/>
  <c r="C30" i="3"/>
  <c r="C21" i="3"/>
  <c r="CE68" i="2"/>
  <c r="CE64" i="2"/>
  <c r="BZ68" i="2"/>
  <c r="BZ64" i="2"/>
  <c r="BU68" i="2"/>
  <c r="BU64" i="2"/>
  <c r="BP68" i="2"/>
  <c r="BP64" i="2"/>
  <c r="BK68" i="2"/>
  <c r="BK64" i="2"/>
  <c r="BF68" i="2"/>
  <c r="BF64" i="2"/>
  <c r="BA68" i="2"/>
  <c r="BA64" i="2"/>
  <c r="AV68" i="2"/>
  <c r="AV64" i="2"/>
  <c r="AQ68" i="2"/>
  <c r="AQ64" i="2"/>
  <c r="AL68" i="2"/>
  <c r="AL64" i="2"/>
  <c r="AG68" i="2"/>
  <c r="AG64" i="2"/>
  <c r="AB68" i="2"/>
  <c r="AB64" i="2"/>
  <c r="W68" i="2"/>
  <c r="W64" i="2"/>
  <c r="R68" i="2"/>
  <c r="R64" i="2"/>
  <c r="M68" i="2"/>
  <c r="M64" i="2"/>
  <c r="H68" i="2"/>
  <c r="H64" i="2"/>
  <c r="C68" i="2"/>
  <c r="C64" i="2"/>
  <c r="CE45" i="2"/>
  <c r="CE41" i="2"/>
  <c r="BZ45" i="2"/>
  <c r="BZ41" i="2"/>
  <c r="BU45" i="2"/>
  <c r="BU41" i="2"/>
  <c r="BP45" i="2"/>
  <c r="BP41" i="2"/>
  <c r="BK45" i="2"/>
  <c r="BK41" i="2"/>
  <c r="BF45" i="2"/>
  <c r="BF41" i="2"/>
  <c r="BA45" i="2"/>
  <c r="BA41" i="2"/>
  <c r="AV45" i="2"/>
  <c r="AV41" i="2"/>
  <c r="AQ45" i="2"/>
  <c r="AQ41" i="2"/>
  <c r="AL45" i="2"/>
  <c r="AL41" i="2"/>
  <c r="AG45" i="2"/>
  <c r="AG41" i="2"/>
  <c r="AB45" i="2"/>
  <c r="AB41" i="2"/>
  <c r="W45" i="2"/>
  <c r="W41" i="2"/>
  <c r="R45" i="2"/>
  <c r="R41" i="2"/>
  <c r="M45" i="2"/>
  <c r="M41" i="2"/>
  <c r="H45" i="2"/>
  <c r="H41" i="2"/>
  <c r="C45" i="2"/>
  <c r="C41" i="2"/>
  <c r="CE20" i="2"/>
  <c r="CE16" i="2"/>
  <c r="BZ20" i="2"/>
  <c r="BZ16" i="2"/>
  <c r="BU20" i="2"/>
  <c r="BU16" i="2"/>
  <c r="BP20" i="2"/>
  <c r="BP16" i="2"/>
  <c r="BK20" i="2"/>
  <c r="BK16" i="2"/>
  <c r="BF20" i="2"/>
  <c r="BF16" i="2"/>
  <c r="BA20" i="2"/>
  <c r="BA16" i="2"/>
  <c r="AV20" i="2"/>
  <c r="AV16" i="2"/>
  <c r="AQ20" i="2"/>
  <c r="AQ16" i="2"/>
  <c r="AL20" i="2"/>
  <c r="AL16" i="2"/>
  <c r="AG20" i="2"/>
  <c r="AG16" i="2"/>
  <c r="AB20" i="2"/>
  <c r="AB16" i="2"/>
  <c r="W20" i="2"/>
  <c r="W16" i="2"/>
  <c r="R20" i="2"/>
  <c r="R16" i="2"/>
  <c r="M20" i="2"/>
  <c r="M16" i="2"/>
  <c r="H20" i="2"/>
  <c r="H16" i="2"/>
  <c r="C20" i="2"/>
  <c r="C16" i="2"/>
  <c r="BD36" i="1"/>
  <c r="BC36" i="1"/>
  <c r="BD35" i="1"/>
  <c r="BC35" i="1"/>
  <c r="BD34" i="1"/>
  <c r="BC34" i="1"/>
  <c r="BD33" i="1"/>
  <c r="BC33" i="1"/>
  <c r="BD32" i="1"/>
  <c r="BC32" i="1"/>
  <c r="BD31" i="1"/>
  <c r="BC31" i="1"/>
  <c r="BD30" i="1"/>
  <c r="BC30" i="1"/>
  <c r="BD29" i="1"/>
  <c r="BC29" i="1"/>
  <c r="BD28" i="1"/>
  <c r="BC28" i="1"/>
  <c r="BD27" i="1"/>
  <c r="BC27" i="1"/>
  <c r="BD26" i="1"/>
  <c r="BC26" i="1"/>
  <c r="BD25" i="1"/>
  <c r="BC25" i="1"/>
  <c r="BD24" i="1"/>
  <c r="BC24" i="1"/>
  <c r="BD23" i="1"/>
  <c r="BC23" i="1"/>
  <c r="BD22" i="1"/>
  <c r="BC22" i="1"/>
  <c r="BD21" i="1"/>
  <c r="BC21" i="1"/>
  <c r="BD20" i="1"/>
  <c r="BC20" i="1"/>
  <c r="BD19" i="1"/>
  <c r="BC19" i="1"/>
  <c r="BD18" i="1"/>
  <c r="BC18" i="1"/>
  <c r="BD17" i="1"/>
  <c r="BC17" i="1"/>
  <c r="CN43" i="7"/>
  <c r="CN44" i="7"/>
  <c r="CN45" i="7"/>
  <c r="CN42" i="7"/>
  <c r="CN33" i="7"/>
  <c r="CH33" i="7"/>
  <c r="CH45" i="7"/>
  <c r="CH44" i="7"/>
  <c r="CH43" i="7"/>
  <c r="CH42" i="7"/>
  <c r="CB43" i="7"/>
  <c r="CB44" i="7"/>
  <c r="CB45" i="7"/>
  <c r="CB42" i="7"/>
  <c r="CB33" i="7"/>
  <c r="BP43" i="7"/>
  <c r="BP44" i="7"/>
  <c r="BP45" i="7"/>
  <c r="BP42" i="7"/>
  <c r="BP33" i="7"/>
  <c r="BJ33" i="7"/>
  <c r="BJ45" i="7"/>
  <c r="BJ44" i="7"/>
  <c r="BJ43" i="7"/>
  <c r="BJ42" i="7"/>
  <c r="BD43" i="7"/>
  <c r="BD44" i="7"/>
  <c r="BD45" i="7"/>
  <c r="BD42" i="7"/>
  <c r="BD33" i="7"/>
  <c r="AR43" i="7"/>
  <c r="AR44" i="7"/>
  <c r="AR45" i="7"/>
  <c r="AR42" i="7"/>
  <c r="AR33" i="7"/>
  <c r="AL43" i="7"/>
  <c r="AL44" i="7"/>
  <c r="AL45" i="7"/>
  <c r="AL42" i="7"/>
  <c r="AL33" i="7"/>
  <c r="AF43" i="7"/>
  <c r="AF44" i="7"/>
  <c r="AF45" i="7"/>
  <c r="AF42" i="7"/>
  <c r="AF33" i="7"/>
  <c r="T43" i="7"/>
  <c r="T44" i="7"/>
  <c r="T42" i="7"/>
  <c r="T33" i="7"/>
  <c r="N43" i="7"/>
  <c r="N44" i="7"/>
  <c r="N42" i="7"/>
  <c r="N33" i="7"/>
  <c r="H43" i="7"/>
  <c r="H44" i="7"/>
  <c r="H42" i="7"/>
  <c r="H33" i="7"/>
  <c r="CQ3" i="7"/>
  <c r="CN3" i="7"/>
  <c r="CH3" i="7"/>
  <c r="CB3" i="7"/>
  <c r="BP3" i="7"/>
  <c r="BJ3" i="7"/>
  <c r="BD3" i="7"/>
  <c r="AR3" i="7"/>
  <c r="AL3" i="7"/>
  <c r="AF3" i="7"/>
  <c r="T3" i="7"/>
  <c r="N3" i="7"/>
  <c r="AW138" i="1"/>
  <c r="AV138" i="1"/>
  <c r="AW137" i="1"/>
  <c r="AV137" i="1"/>
  <c r="AW136" i="1"/>
  <c r="AV136" i="1"/>
  <c r="AW135" i="1"/>
  <c r="AV135" i="1"/>
  <c r="AW134" i="1"/>
  <c r="AV134" i="1"/>
  <c r="AW133" i="1"/>
  <c r="AV133" i="1"/>
  <c r="AW132" i="1"/>
  <c r="AV132" i="1"/>
  <c r="AW131" i="1"/>
  <c r="AV131" i="1"/>
  <c r="AW130" i="1"/>
  <c r="AV130" i="1"/>
  <c r="AW129" i="1"/>
  <c r="AV129" i="1"/>
  <c r="AW128" i="1"/>
  <c r="AV128" i="1"/>
  <c r="AW127" i="1"/>
  <c r="AV127" i="1"/>
  <c r="AW126" i="1"/>
  <c r="AV126" i="1"/>
  <c r="AW125" i="1"/>
  <c r="AV125" i="1"/>
  <c r="AW124" i="1"/>
  <c r="AV124" i="1"/>
  <c r="AW123" i="1"/>
  <c r="AV123" i="1"/>
  <c r="AW122" i="1"/>
  <c r="AV122" i="1"/>
  <c r="AW121" i="1"/>
  <c r="AV121" i="1"/>
  <c r="AW120" i="1"/>
  <c r="AV120" i="1"/>
  <c r="AW119" i="1"/>
  <c r="AV119" i="1"/>
  <c r="AW118" i="1"/>
  <c r="AV118" i="1"/>
  <c r="AW117" i="1"/>
  <c r="AV117" i="1"/>
  <c r="AW116" i="1"/>
  <c r="AV116" i="1"/>
  <c r="AW115" i="1"/>
  <c r="AV115" i="1"/>
  <c r="AW114" i="1"/>
  <c r="AV114" i="1"/>
  <c r="AW113" i="1"/>
  <c r="AV113" i="1"/>
  <c r="AW112" i="1"/>
  <c r="AV112" i="1"/>
  <c r="AW111" i="1"/>
  <c r="AV111" i="1"/>
  <c r="AW110" i="1"/>
  <c r="AV110" i="1"/>
  <c r="AW109" i="1"/>
  <c r="AV109" i="1"/>
  <c r="AW108" i="1"/>
  <c r="AV108" i="1"/>
  <c r="AW107" i="1"/>
  <c r="AV107" i="1"/>
  <c r="AW106" i="1"/>
  <c r="AV106" i="1"/>
  <c r="AW105" i="1"/>
  <c r="AV105" i="1"/>
  <c r="AW104" i="1"/>
  <c r="AV104" i="1"/>
  <c r="AW103" i="1"/>
  <c r="AV103" i="1"/>
  <c r="AW102" i="1"/>
  <c r="AV102" i="1"/>
  <c r="AW101" i="1"/>
  <c r="AV101" i="1"/>
  <c r="AW100" i="1"/>
  <c r="AV100" i="1"/>
  <c r="AW99" i="1"/>
  <c r="AV99" i="1"/>
  <c r="AW98" i="1"/>
  <c r="AV98" i="1"/>
  <c r="AW97" i="1"/>
  <c r="AV97" i="1"/>
  <c r="AW96" i="1"/>
  <c r="AV96" i="1"/>
  <c r="AW95" i="1"/>
  <c r="AV95" i="1"/>
  <c r="AW94" i="1"/>
  <c r="AV94" i="1"/>
  <c r="AW93" i="1"/>
  <c r="AV93" i="1"/>
  <c r="AW92" i="1"/>
  <c r="AV92" i="1"/>
  <c r="AW91" i="1"/>
  <c r="AV91" i="1"/>
  <c r="AW90" i="1"/>
  <c r="AV90" i="1"/>
  <c r="AW89" i="1"/>
  <c r="AV89" i="1"/>
  <c r="AW88" i="1"/>
  <c r="AV88" i="1"/>
  <c r="AW87" i="1"/>
  <c r="AV87" i="1"/>
  <c r="AW86" i="1"/>
  <c r="AV86" i="1"/>
  <c r="AW85" i="1"/>
  <c r="AV85" i="1"/>
  <c r="AW84" i="1"/>
  <c r="AV84" i="1"/>
  <c r="AW83" i="1"/>
  <c r="AV83" i="1"/>
  <c r="AW82" i="1"/>
  <c r="AV82" i="1"/>
  <c r="AW81" i="1"/>
  <c r="AV81" i="1"/>
  <c r="AW80" i="1"/>
  <c r="AV80" i="1"/>
  <c r="AW79" i="1"/>
  <c r="AV79" i="1"/>
  <c r="AW78" i="1"/>
  <c r="AV78" i="1"/>
  <c r="AW77" i="1"/>
  <c r="AV77" i="1"/>
  <c r="AW76" i="1"/>
  <c r="AV76" i="1"/>
  <c r="AW75" i="1"/>
  <c r="AV75" i="1"/>
  <c r="AW74" i="1"/>
  <c r="AV74" i="1"/>
  <c r="AW73" i="1"/>
  <c r="AV73" i="1"/>
  <c r="AW72" i="1"/>
  <c r="AV72" i="1"/>
  <c r="AW71" i="1"/>
  <c r="AV71" i="1"/>
  <c r="AW70" i="1"/>
  <c r="AV70" i="1"/>
  <c r="AW69" i="1"/>
  <c r="AV69" i="1"/>
  <c r="AW68" i="1"/>
  <c r="AV68" i="1"/>
  <c r="AW67" i="1"/>
  <c r="AV67" i="1"/>
  <c r="AW66" i="1"/>
  <c r="AV66" i="1"/>
  <c r="AW65" i="1"/>
  <c r="AV65" i="1"/>
  <c r="H8" i="7"/>
  <c r="H3" i="7"/>
  <c r="BY34" i="6"/>
  <c r="BT34" i="6"/>
  <c r="BY46" i="6"/>
  <c r="BY45" i="6"/>
  <c r="BY44" i="6"/>
  <c r="BY43" i="6"/>
  <c r="BT46" i="6"/>
  <c r="BT45" i="6"/>
  <c r="BT44" i="6"/>
  <c r="BT43" i="6"/>
  <c r="BO44" i="6"/>
  <c r="BO45" i="6"/>
  <c r="BO46" i="6"/>
  <c r="BO43" i="6"/>
  <c r="BO34" i="6"/>
  <c r="BE34" i="6"/>
  <c r="AZ34" i="6"/>
  <c r="BE46" i="6"/>
  <c r="BE45" i="6"/>
  <c r="BE44" i="6"/>
  <c r="BE43" i="6"/>
  <c r="AZ46" i="6"/>
  <c r="AZ45" i="6"/>
  <c r="AZ44" i="6"/>
  <c r="AZ43" i="6"/>
  <c r="AU44" i="6"/>
  <c r="AU45" i="6"/>
  <c r="AU46" i="6"/>
  <c r="AU43" i="6"/>
  <c r="AU34" i="6"/>
  <c r="AK44" i="6"/>
  <c r="AK45" i="6"/>
  <c r="AK46" i="6"/>
  <c r="AK43" i="6"/>
  <c r="AK34" i="6"/>
  <c r="AF44" i="6"/>
  <c r="AF45" i="6"/>
  <c r="AF46" i="6"/>
  <c r="AF43" i="6"/>
  <c r="AF34" i="6"/>
  <c r="AA44" i="6"/>
  <c r="AA45" i="6"/>
  <c r="AA46" i="6"/>
  <c r="AA43" i="6"/>
  <c r="AA34" i="6"/>
  <c r="Q34" i="6"/>
  <c r="Q46" i="6"/>
  <c r="Q45" i="6"/>
  <c r="Q44" i="6"/>
  <c r="Q43" i="6"/>
  <c r="Q47" i="6"/>
  <c r="L44" i="6"/>
  <c r="L45" i="6"/>
  <c r="L46" i="6"/>
  <c r="L43" i="6"/>
  <c r="L34" i="6"/>
  <c r="G44" i="6"/>
  <c r="G45" i="6"/>
  <c r="G43" i="6"/>
  <c r="G34" i="6"/>
  <c r="BY3" i="6"/>
  <c r="BT3" i="6"/>
  <c r="BO3" i="6"/>
  <c r="BE3" i="6"/>
  <c r="AZ3" i="6"/>
  <c r="AU3" i="6"/>
  <c r="AK3" i="6"/>
  <c r="AF3" i="6"/>
  <c r="AA3" i="6"/>
  <c r="AP117" i="1"/>
  <c r="AQ117" i="1" s="1"/>
  <c r="AP116" i="1"/>
  <c r="AQ116" i="1" s="1"/>
  <c r="AP115" i="1"/>
  <c r="AQ115" i="1" s="1"/>
  <c r="AP114" i="1"/>
  <c r="AQ114" i="1" s="1"/>
  <c r="AP113" i="1"/>
  <c r="AQ113" i="1" s="1"/>
  <c r="AP112" i="1"/>
  <c r="AQ112" i="1" s="1"/>
  <c r="AP111" i="1"/>
  <c r="AQ111" i="1" s="1"/>
  <c r="AP110" i="1"/>
  <c r="AQ110" i="1" s="1"/>
  <c r="AP109" i="1"/>
  <c r="AQ109" i="1" s="1"/>
  <c r="AP108" i="1"/>
  <c r="AQ108" i="1" s="1"/>
  <c r="AP107" i="1"/>
  <c r="AQ107" i="1" s="1"/>
  <c r="AP106" i="1"/>
  <c r="AQ106" i="1" s="1"/>
  <c r="AP105" i="1"/>
  <c r="AQ105" i="1" s="1"/>
  <c r="AP104" i="1"/>
  <c r="AQ104" i="1" s="1"/>
  <c r="AP103" i="1"/>
  <c r="AQ103" i="1" s="1"/>
  <c r="AP102" i="1"/>
  <c r="AQ102" i="1" s="1"/>
  <c r="AP101" i="1"/>
  <c r="AQ101" i="1" s="1"/>
  <c r="AP100" i="1"/>
  <c r="AQ100" i="1" s="1"/>
  <c r="AP99" i="1"/>
  <c r="AQ99" i="1" s="1"/>
  <c r="AP98" i="1"/>
  <c r="AQ98" i="1" s="1"/>
  <c r="AP97" i="1"/>
  <c r="AQ97" i="1" s="1"/>
  <c r="AP96" i="1"/>
  <c r="AQ96" i="1" s="1"/>
  <c r="AP95" i="1"/>
  <c r="AQ95" i="1" s="1"/>
  <c r="AP94" i="1"/>
  <c r="AQ94" i="1" s="1"/>
  <c r="AP93" i="1"/>
  <c r="AQ93" i="1" s="1"/>
  <c r="AP92" i="1"/>
  <c r="AQ92" i="1" s="1"/>
  <c r="AP91" i="1"/>
  <c r="AQ91" i="1" s="1"/>
  <c r="AP90" i="1"/>
  <c r="AQ90" i="1" s="1"/>
  <c r="AP89" i="1"/>
  <c r="AQ89" i="1" s="1"/>
  <c r="AP88" i="1"/>
  <c r="AQ88" i="1" s="1"/>
  <c r="AP87" i="1"/>
  <c r="AQ87" i="1" s="1"/>
  <c r="AP86" i="1"/>
  <c r="AQ86" i="1" s="1"/>
  <c r="AP85" i="1"/>
  <c r="AQ85" i="1" s="1"/>
  <c r="AP84" i="1"/>
  <c r="AQ84" i="1" s="1"/>
  <c r="AP83" i="1"/>
  <c r="AQ83" i="1" s="1"/>
  <c r="AP82" i="1"/>
  <c r="AQ82" i="1" s="1"/>
  <c r="AP81" i="1"/>
  <c r="AQ81" i="1" s="1"/>
  <c r="AP80" i="1"/>
  <c r="AQ80" i="1" s="1"/>
  <c r="AP79" i="1"/>
  <c r="AQ79" i="1" s="1"/>
  <c r="AP78" i="1"/>
  <c r="AQ78" i="1" s="1"/>
  <c r="AP77" i="1"/>
  <c r="AQ77" i="1" s="1"/>
  <c r="AP76" i="1"/>
  <c r="AQ76" i="1" s="1"/>
  <c r="AP75" i="1"/>
  <c r="AQ75" i="1" s="1"/>
  <c r="AP74" i="1"/>
  <c r="AQ74" i="1" s="1"/>
  <c r="AP73" i="1"/>
  <c r="AQ73" i="1" s="1"/>
  <c r="AP72" i="1"/>
  <c r="AQ72" i="1" s="1"/>
  <c r="AP71" i="1"/>
  <c r="AQ71" i="1" s="1"/>
  <c r="AP70" i="1"/>
  <c r="AQ70" i="1" s="1"/>
  <c r="AP69" i="1"/>
  <c r="AQ69" i="1" s="1"/>
  <c r="AP68" i="1"/>
  <c r="AQ68" i="1" s="1"/>
  <c r="Q3" i="6"/>
  <c r="L3" i="6"/>
  <c r="G3" i="6"/>
  <c r="G45" i="5"/>
  <c r="Q47" i="5"/>
  <c r="L45" i="5"/>
  <c r="Q45" i="5"/>
  <c r="AA28" i="5"/>
  <c r="AF28" i="5"/>
  <c r="AK28" i="5"/>
  <c r="AA47" i="5"/>
  <c r="AA46" i="5"/>
  <c r="AA45" i="5"/>
  <c r="AF47" i="5"/>
  <c r="AF46" i="5"/>
  <c r="AF45" i="5"/>
  <c r="AK47" i="5"/>
  <c r="AK46" i="5"/>
  <c r="AK45" i="5"/>
  <c r="BE47" i="5"/>
  <c r="BE46" i="5"/>
  <c r="BE45" i="5"/>
  <c r="AZ47" i="5"/>
  <c r="AZ46" i="5"/>
  <c r="AZ45" i="5"/>
  <c r="AU46" i="5"/>
  <c r="AU47" i="5"/>
  <c r="AU45" i="5"/>
  <c r="BE28" i="5"/>
  <c r="AZ28" i="5"/>
  <c r="AU28" i="5"/>
  <c r="BO46" i="5"/>
  <c r="BO47" i="5"/>
  <c r="BO45" i="5"/>
  <c r="BO28" i="5"/>
  <c r="BT28" i="5"/>
  <c r="BT47" i="5"/>
  <c r="BT46" i="5"/>
  <c r="BT45" i="5"/>
  <c r="BY46" i="5"/>
  <c r="BY47" i="5"/>
  <c r="BY45" i="5"/>
  <c r="BY28" i="5"/>
  <c r="BY7" i="5"/>
  <c r="BY6" i="5"/>
  <c r="BY5" i="5"/>
  <c r="BY4" i="5"/>
  <c r="BY3" i="5"/>
  <c r="BT7" i="5"/>
  <c r="BT6" i="5"/>
  <c r="BT5" i="5"/>
  <c r="BT4" i="5"/>
  <c r="BT3" i="5"/>
  <c r="BO7" i="5"/>
  <c r="BO6" i="5"/>
  <c r="BO5" i="5"/>
  <c r="BO4" i="5"/>
  <c r="BO3" i="5"/>
  <c r="BE7" i="5"/>
  <c r="BE6" i="5"/>
  <c r="BE5" i="5"/>
  <c r="BE4" i="5"/>
  <c r="BE3" i="5"/>
  <c r="AZ7" i="5"/>
  <c r="AZ6" i="5"/>
  <c r="AZ5" i="5"/>
  <c r="AZ4" i="5"/>
  <c r="AZ3" i="5"/>
  <c r="AU7" i="5"/>
  <c r="AU6" i="5"/>
  <c r="AU5" i="5"/>
  <c r="AU4" i="5"/>
  <c r="AU3" i="5"/>
  <c r="AK7" i="5"/>
  <c r="AK6" i="5"/>
  <c r="AK5" i="5"/>
  <c r="AK4" i="5"/>
  <c r="AK3" i="5"/>
  <c r="AF7" i="5"/>
  <c r="AF6" i="5"/>
  <c r="AF5" i="5"/>
  <c r="AF4" i="5"/>
  <c r="AF3" i="5"/>
  <c r="AA7" i="5"/>
  <c r="AA6" i="5"/>
  <c r="AA5" i="5"/>
  <c r="AA4" i="5"/>
  <c r="AA3" i="5"/>
  <c r="Q5" i="5"/>
  <c r="Q4" i="5"/>
  <c r="Q3" i="5"/>
  <c r="L4" i="5"/>
  <c r="L5" i="5"/>
  <c r="L3" i="5"/>
  <c r="G5" i="5"/>
  <c r="G4" i="5"/>
  <c r="AI127" i="1"/>
  <c r="AJ127" i="1" s="1"/>
  <c r="AI128" i="1"/>
  <c r="AJ128" i="1" s="1"/>
  <c r="AI129" i="1"/>
  <c r="AJ129" i="1" s="1"/>
  <c r="AI130" i="1"/>
  <c r="AJ130" i="1" s="1"/>
  <c r="AI131" i="1"/>
  <c r="AJ131" i="1" s="1"/>
  <c r="AI132" i="1"/>
  <c r="AJ132" i="1" s="1"/>
  <c r="AI133" i="1"/>
  <c r="AJ133" i="1" s="1"/>
  <c r="AI134" i="1"/>
  <c r="AJ134" i="1" s="1"/>
  <c r="AI135" i="1"/>
  <c r="AJ135" i="1" s="1"/>
  <c r="AI136" i="1"/>
  <c r="AJ136" i="1" s="1"/>
  <c r="AI137" i="1"/>
  <c r="AJ137" i="1" s="1"/>
  <c r="AI138" i="1"/>
  <c r="AJ138" i="1" s="1"/>
  <c r="AI139" i="1"/>
  <c r="AJ139" i="1" s="1"/>
  <c r="AI140" i="1"/>
  <c r="AJ140" i="1" s="1"/>
  <c r="AI141" i="1"/>
  <c r="AJ141" i="1" s="1"/>
  <c r="AI142" i="1"/>
  <c r="AJ142" i="1" s="1"/>
  <c r="AI143" i="1"/>
  <c r="AJ143" i="1" s="1"/>
  <c r="AI144" i="1"/>
  <c r="AJ144" i="1" s="1"/>
  <c r="AI118" i="1"/>
  <c r="AJ118" i="1" s="1"/>
  <c r="AI119" i="1"/>
  <c r="AJ119" i="1" s="1"/>
  <c r="AI120" i="1"/>
  <c r="AJ120" i="1" s="1"/>
  <c r="AI121" i="1"/>
  <c r="AJ121" i="1" s="1"/>
  <c r="AI122" i="1"/>
  <c r="AJ122" i="1" s="1"/>
  <c r="AI123" i="1"/>
  <c r="AJ123" i="1" s="1"/>
  <c r="AI124" i="1"/>
  <c r="AJ124" i="1" s="1"/>
  <c r="AI125" i="1"/>
  <c r="AJ125" i="1" s="1"/>
  <c r="AI126" i="1"/>
  <c r="AJ126" i="1" s="1"/>
  <c r="H43" i="3"/>
  <c r="F43" i="3"/>
  <c r="D43" i="3"/>
  <c r="P33" i="3"/>
  <c r="N33" i="3"/>
  <c r="L33" i="3"/>
  <c r="H33" i="3"/>
  <c r="P24" i="3"/>
  <c r="N24" i="3"/>
  <c r="L24" i="3"/>
  <c r="H24" i="3"/>
  <c r="F24" i="3"/>
  <c r="D24" i="3"/>
  <c r="L3" i="3"/>
  <c r="H3" i="3"/>
  <c r="F3" i="3"/>
  <c r="D3" i="3"/>
  <c r="BX98" i="2"/>
  <c r="BV98" i="2"/>
  <c r="BW98" i="2" s="1"/>
  <c r="BS98" i="2"/>
  <c r="BQ98" i="2"/>
  <c r="BR98" i="2" s="1"/>
  <c r="BN98" i="2"/>
  <c r="BL98" i="2"/>
  <c r="BM98" i="2" s="1"/>
  <c r="BX97" i="2"/>
  <c r="BV97" i="2"/>
  <c r="BW97" i="2" s="1"/>
  <c r="BS97" i="2"/>
  <c r="BQ97" i="2"/>
  <c r="BR97" i="2" s="1"/>
  <c r="BN97" i="2"/>
  <c r="BL97" i="2"/>
  <c r="BM97" i="2" s="1"/>
  <c r="BX96" i="2"/>
  <c r="BV96" i="2"/>
  <c r="BW96" i="2" s="1"/>
  <c r="BS96" i="2"/>
  <c r="BQ96" i="2"/>
  <c r="BR96" i="2" s="1"/>
  <c r="BN96" i="2"/>
  <c r="BL96" i="2"/>
  <c r="BM96" i="2" s="1"/>
  <c r="BX95" i="2"/>
  <c r="BV95" i="2"/>
  <c r="BW95" i="2" s="1"/>
  <c r="BS95" i="2"/>
  <c r="BQ95" i="2"/>
  <c r="BR95" i="2" s="1"/>
  <c r="BN95" i="2"/>
  <c r="BL95" i="2"/>
  <c r="BM95" i="2" s="1"/>
  <c r="BX94" i="2"/>
  <c r="BV94" i="2"/>
  <c r="BW94" i="2" s="1"/>
  <c r="BS94" i="2"/>
  <c r="BQ94" i="2"/>
  <c r="BR94" i="2" s="1"/>
  <c r="BN94" i="2"/>
  <c r="BL94" i="2"/>
  <c r="BM94" i="2" s="1"/>
  <c r="BX93" i="2"/>
  <c r="BV93" i="2"/>
  <c r="BW93" i="2" s="1"/>
  <c r="BS93" i="2"/>
  <c r="BQ93" i="2"/>
  <c r="BR93" i="2" s="1"/>
  <c r="BN93" i="2"/>
  <c r="BL93" i="2"/>
  <c r="BM93" i="2" s="1"/>
  <c r="BX92" i="2"/>
  <c r="BV92" i="2"/>
  <c r="BW92" i="2" s="1"/>
  <c r="BS92" i="2"/>
  <c r="BQ92" i="2"/>
  <c r="BR92" i="2" s="1"/>
  <c r="BN92" i="2"/>
  <c r="BL92" i="2"/>
  <c r="BM92" i="2" s="1"/>
  <c r="BX91" i="2"/>
  <c r="BV91" i="2"/>
  <c r="BW91" i="2" s="1"/>
  <c r="BS91" i="2"/>
  <c r="BQ91" i="2"/>
  <c r="BR91" i="2" s="1"/>
  <c r="BN91" i="2"/>
  <c r="BL91" i="2"/>
  <c r="BM91" i="2" s="1"/>
  <c r="BX90" i="2"/>
  <c r="BV90" i="2"/>
  <c r="BW90" i="2" s="1"/>
  <c r="BS90" i="2"/>
  <c r="BQ90" i="2"/>
  <c r="BR90" i="2" s="1"/>
  <c r="BN90" i="2"/>
  <c r="BL90" i="2"/>
  <c r="BM90" i="2" s="1"/>
  <c r="BX89" i="2"/>
  <c r="BV89" i="2"/>
  <c r="BW89" i="2" s="1"/>
  <c r="BS89" i="2"/>
  <c r="BQ89" i="2"/>
  <c r="BR89" i="2" s="1"/>
  <c r="BN89" i="2"/>
  <c r="BL89" i="2"/>
  <c r="BM89" i="2" s="1"/>
  <c r="BX88" i="2"/>
  <c r="BV88" i="2"/>
  <c r="BW88" i="2" s="1"/>
  <c r="BS88" i="2"/>
  <c r="BQ88" i="2"/>
  <c r="BR88" i="2" s="1"/>
  <c r="BN88" i="2"/>
  <c r="BL88" i="2"/>
  <c r="BM88" i="2" s="1"/>
  <c r="BX87" i="2"/>
  <c r="BV87" i="2"/>
  <c r="BW87" i="2" s="1"/>
  <c r="BS87" i="2"/>
  <c r="BQ87" i="2"/>
  <c r="BR87" i="2" s="1"/>
  <c r="BN87" i="2"/>
  <c r="BL87" i="2"/>
  <c r="BM87" i="2" s="1"/>
  <c r="BX86" i="2"/>
  <c r="BV86" i="2"/>
  <c r="BW86" i="2" s="1"/>
  <c r="BS86" i="2"/>
  <c r="BQ86" i="2"/>
  <c r="BR86" i="2" s="1"/>
  <c r="BN86" i="2"/>
  <c r="BL86" i="2"/>
  <c r="BM86" i="2" s="1"/>
  <c r="BX85" i="2"/>
  <c r="BV85" i="2"/>
  <c r="BW85" i="2" s="1"/>
  <c r="BS85" i="2"/>
  <c r="BQ85" i="2"/>
  <c r="BR85" i="2" s="1"/>
  <c r="BN85" i="2"/>
  <c r="BL85" i="2"/>
  <c r="BM85" i="2" s="1"/>
  <c r="BX84" i="2"/>
  <c r="BV84" i="2"/>
  <c r="BW84" i="2" s="1"/>
  <c r="BS84" i="2"/>
  <c r="BQ84" i="2"/>
  <c r="BR84" i="2" s="1"/>
  <c r="BN84" i="2"/>
  <c r="BL84" i="2"/>
  <c r="BM84" i="2" s="1"/>
  <c r="BX83" i="2"/>
  <c r="BV83" i="2"/>
  <c r="BW83" i="2" s="1"/>
  <c r="BS83" i="2"/>
  <c r="BQ83" i="2"/>
  <c r="BR83" i="2" s="1"/>
  <c r="BN83" i="2"/>
  <c r="BL83" i="2"/>
  <c r="BM83" i="2" s="1"/>
  <c r="BX82" i="2"/>
  <c r="BV82" i="2"/>
  <c r="BW82" i="2" s="1"/>
  <c r="BS82" i="2"/>
  <c r="BQ82" i="2"/>
  <c r="BR82" i="2" s="1"/>
  <c r="BN82" i="2"/>
  <c r="BL82" i="2"/>
  <c r="BM82" i="2" s="1"/>
  <c r="BD98" i="2"/>
  <c r="BB98" i="2"/>
  <c r="BC98" i="2" s="1"/>
  <c r="AY98" i="2"/>
  <c r="AW98" i="2"/>
  <c r="AX98" i="2" s="1"/>
  <c r="AT98" i="2"/>
  <c r="AR98" i="2"/>
  <c r="AS98" i="2" s="1"/>
  <c r="BD97" i="2"/>
  <c r="BB97" i="2"/>
  <c r="BC97" i="2" s="1"/>
  <c r="AY97" i="2"/>
  <c r="AW97" i="2"/>
  <c r="AX97" i="2" s="1"/>
  <c r="AT97" i="2"/>
  <c r="AR97" i="2"/>
  <c r="AS97" i="2" s="1"/>
  <c r="BD96" i="2"/>
  <c r="BB96" i="2"/>
  <c r="BC96" i="2" s="1"/>
  <c r="AY96" i="2"/>
  <c r="AW96" i="2"/>
  <c r="AX96" i="2" s="1"/>
  <c r="AT96" i="2"/>
  <c r="AR96" i="2"/>
  <c r="AS96" i="2" s="1"/>
  <c r="BD95" i="2"/>
  <c r="BB95" i="2"/>
  <c r="BC95" i="2" s="1"/>
  <c r="AY95" i="2"/>
  <c r="AW95" i="2"/>
  <c r="AX95" i="2" s="1"/>
  <c r="AT95" i="2"/>
  <c r="AR95" i="2"/>
  <c r="AS95" i="2" s="1"/>
  <c r="BD94" i="2"/>
  <c r="BB94" i="2"/>
  <c r="BC94" i="2" s="1"/>
  <c r="AY94" i="2"/>
  <c r="AW94" i="2"/>
  <c r="AX94" i="2" s="1"/>
  <c r="AT94" i="2"/>
  <c r="AR94" i="2"/>
  <c r="AS94" i="2" s="1"/>
  <c r="BD93" i="2"/>
  <c r="BB93" i="2"/>
  <c r="BC93" i="2" s="1"/>
  <c r="AY93" i="2"/>
  <c r="AW93" i="2"/>
  <c r="AX93" i="2" s="1"/>
  <c r="AT93" i="2"/>
  <c r="AR93" i="2"/>
  <c r="AS93" i="2" s="1"/>
  <c r="BD92" i="2"/>
  <c r="BB92" i="2"/>
  <c r="BC92" i="2" s="1"/>
  <c r="AY92" i="2"/>
  <c r="AW92" i="2"/>
  <c r="AX92" i="2" s="1"/>
  <c r="AT92" i="2"/>
  <c r="AR92" i="2"/>
  <c r="AS92" i="2" s="1"/>
  <c r="BD91" i="2"/>
  <c r="BB91" i="2"/>
  <c r="BC91" i="2" s="1"/>
  <c r="AY91" i="2"/>
  <c r="AW91" i="2"/>
  <c r="AX91" i="2" s="1"/>
  <c r="AT91" i="2"/>
  <c r="AR91" i="2"/>
  <c r="AS91" i="2" s="1"/>
  <c r="BD90" i="2"/>
  <c r="BB90" i="2"/>
  <c r="BC90" i="2" s="1"/>
  <c r="AY90" i="2"/>
  <c r="AW90" i="2"/>
  <c r="AX90" i="2" s="1"/>
  <c r="AT90" i="2"/>
  <c r="AR90" i="2"/>
  <c r="AS90" i="2" s="1"/>
  <c r="BD89" i="2"/>
  <c r="BB89" i="2"/>
  <c r="BC89" i="2" s="1"/>
  <c r="AY89" i="2"/>
  <c r="AW89" i="2"/>
  <c r="AX89" i="2" s="1"/>
  <c r="AT89" i="2"/>
  <c r="AR89" i="2"/>
  <c r="AS89" i="2" s="1"/>
  <c r="BD88" i="2"/>
  <c r="BB88" i="2"/>
  <c r="BC88" i="2" s="1"/>
  <c r="AY88" i="2"/>
  <c r="AW88" i="2"/>
  <c r="AX88" i="2" s="1"/>
  <c r="AT88" i="2"/>
  <c r="AR88" i="2"/>
  <c r="AS88" i="2" s="1"/>
  <c r="BD87" i="2"/>
  <c r="BB87" i="2"/>
  <c r="BC87" i="2" s="1"/>
  <c r="AY87" i="2"/>
  <c r="AW87" i="2"/>
  <c r="AX87" i="2" s="1"/>
  <c r="AT87" i="2"/>
  <c r="AR87" i="2"/>
  <c r="AS87" i="2" s="1"/>
  <c r="BD86" i="2"/>
  <c r="BB86" i="2"/>
  <c r="BC86" i="2" s="1"/>
  <c r="AY86" i="2"/>
  <c r="AW86" i="2"/>
  <c r="AX86" i="2" s="1"/>
  <c r="AT86" i="2"/>
  <c r="AR86" i="2"/>
  <c r="AS86" i="2" s="1"/>
  <c r="BD85" i="2"/>
  <c r="BB85" i="2"/>
  <c r="BC85" i="2" s="1"/>
  <c r="AY85" i="2"/>
  <c r="AW85" i="2"/>
  <c r="AX85" i="2" s="1"/>
  <c r="AT85" i="2"/>
  <c r="AR85" i="2"/>
  <c r="AS85" i="2" s="1"/>
  <c r="BD84" i="2"/>
  <c r="BB84" i="2"/>
  <c r="BC84" i="2" s="1"/>
  <c r="AY84" i="2"/>
  <c r="AW84" i="2"/>
  <c r="AX84" i="2" s="1"/>
  <c r="AT84" i="2"/>
  <c r="AR84" i="2"/>
  <c r="AS84" i="2" s="1"/>
  <c r="BD83" i="2"/>
  <c r="BB83" i="2"/>
  <c r="BC83" i="2" s="1"/>
  <c r="AY83" i="2"/>
  <c r="AW83" i="2"/>
  <c r="AX83" i="2" s="1"/>
  <c r="AT83" i="2"/>
  <c r="AR83" i="2"/>
  <c r="AS83" i="2" s="1"/>
  <c r="BD82" i="2"/>
  <c r="BB82" i="2"/>
  <c r="BC82" i="2" s="1"/>
  <c r="AY82" i="2"/>
  <c r="AW82" i="2"/>
  <c r="AX82" i="2" s="1"/>
  <c r="AT82" i="2"/>
  <c r="AR82" i="2"/>
  <c r="AS82" i="2" s="1"/>
  <c r="AJ98" i="2"/>
  <c r="AH98" i="2"/>
  <c r="AI98" i="2" s="1"/>
  <c r="AE98" i="2"/>
  <c r="AC98" i="2"/>
  <c r="AD98" i="2" s="1"/>
  <c r="Z98" i="2"/>
  <c r="X98" i="2"/>
  <c r="Y98" i="2" s="1"/>
  <c r="AJ97" i="2"/>
  <c r="AH97" i="2"/>
  <c r="AI97" i="2" s="1"/>
  <c r="AE97" i="2"/>
  <c r="AC97" i="2"/>
  <c r="AD97" i="2" s="1"/>
  <c r="Z97" i="2"/>
  <c r="X97" i="2"/>
  <c r="Y97" i="2" s="1"/>
  <c r="AJ96" i="2"/>
  <c r="AH96" i="2"/>
  <c r="AI96" i="2" s="1"/>
  <c r="AE96" i="2"/>
  <c r="AC96" i="2"/>
  <c r="AD96" i="2" s="1"/>
  <c r="Z96" i="2"/>
  <c r="X96" i="2"/>
  <c r="Y96" i="2" s="1"/>
  <c r="AJ95" i="2"/>
  <c r="AH95" i="2"/>
  <c r="AI95" i="2" s="1"/>
  <c r="AE95" i="2"/>
  <c r="AC95" i="2"/>
  <c r="AD95" i="2" s="1"/>
  <c r="Z95" i="2"/>
  <c r="X95" i="2"/>
  <c r="Y95" i="2" s="1"/>
  <c r="AJ94" i="2"/>
  <c r="AH94" i="2"/>
  <c r="AI94" i="2" s="1"/>
  <c r="AE94" i="2"/>
  <c r="AC94" i="2"/>
  <c r="AD94" i="2" s="1"/>
  <c r="Z94" i="2"/>
  <c r="X94" i="2"/>
  <c r="Y94" i="2" s="1"/>
  <c r="AJ93" i="2"/>
  <c r="AH93" i="2"/>
  <c r="AI93" i="2" s="1"/>
  <c r="AE93" i="2"/>
  <c r="AC93" i="2"/>
  <c r="AD93" i="2" s="1"/>
  <c r="Z93" i="2"/>
  <c r="X93" i="2"/>
  <c r="Y93" i="2" s="1"/>
  <c r="AJ92" i="2"/>
  <c r="AH92" i="2"/>
  <c r="AI92" i="2" s="1"/>
  <c r="AE92" i="2"/>
  <c r="AC92" i="2"/>
  <c r="AD92" i="2" s="1"/>
  <c r="Z92" i="2"/>
  <c r="X92" i="2"/>
  <c r="Y92" i="2" s="1"/>
  <c r="AJ91" i="2"/>
  <c r="AH91" i="2"/>
  <c r="AI91" i="2" s="1"/>
  <c r="AE91" i="2"/>
  <c r="AC91" i="2"/>
  <c r="AD91" i="2" s="1"/>
  <c r="Z91" i="2"/>
  <c r="X91" i="2"/>
  <c r="Y91" i="2" s="1"/>
  <c r="AJ90" i="2"/>
  <c r="AH90" i="2"/>
  <c r="AI90" i="2" s="1"/>
  <c r="AE90" i="2"/>
  <c r="AC90" i="2"/>
  <c r="AD90" i="2" s="1"/>
  <c r="Z90" i="2"/>
  <c r="X90" i="2"/>
  <c r="Y90" i="2" s="1"/>
  <c r="AJ89" i="2"/>
  <c r="AH89" i="2"/>
  <c r="AI89" i="2" s="1"/>
  <c r="AE89" i="2"/>
  <c r="AC89" i="2"/>
  <c r="AD89" i="2" s="1"/>
  <c r="Z89" i="2"/>
  <c r="X89" i="2"/>
  <c r="Y89" i="2" s="1"/>
  <c r="AJ88" i="2"/>
  <c r="AH88" i="2"/>
  <c r="AI88" i="2" s="1"/>
  <c r="AE88" i="2"/>
  <c r="AC88" i="2"/>
  <c r="AD88" i="2" s="1"/>
  <c r="Z88" i="2"/>
  <c r="X88" i="2"/>
  <c r="Y88" i="2" s="1"/>
  <c r="AJ87" i="2"/>
  <c r="AH87" i="2"/>
  <c r="AI87" i="2" s="1"/>
  <c r="AE87" i="2"/>
  <c r="AC87" i="2"/>
  <c r="AD87" i="2" s="1"/>
  <c r="Z87" i="2"/>
  <c r="X87" i="2"/>
  <c r="Y87" i="2" s="1"/>
  <c r="AJ86" i="2"/>
  <c r="AH86" i="2"/>
  <c r="AI86" i="2" s="1"/>
  <c r="AE86" i="2"/>
  <c r="AC86" i="2"/>
  <c r="AD86" i="2" s="1"/>
  <c r="Z86" i="2"/>
  <c r="X86" i="2"/>
  <c r="Y86" i="2" s="1"/>
  <c r="AJ85" i="2"/>
  <c r="AH85" i="2"/>
  <c r="AI85" i="2" s="1"/>
  <c r="AE85" i="2"/>
  <c r="AC85" i="2"/>
  <c r="AD85" i="2" s="1"/>
  <c r="Z85" i="2"/>
  <c r="X85" i="2"/>
  <c r="Y85" i="2" s="1"/>
  <c r="AJ84" i="2"/>
  <c r="AH84" i="2"/>
  <c r="AI84" i="2" s="1"/>
  <c r="AE84" i="2"/>
  <c r="AC84" i="2"/>
  <c r="AD84" i="2" s="1"/>
  <c r="Z84" i="2"/>
  <c r="X84" i="2"/>
  <c r="Y84" i="2" s="1"/>
  <c r="AJ83" i="2"/>
  <c r="AH83" i="2"/>
  <c r="AI83" i="2" s="1"/>
  <c r="AE83" i="2"/>
  <c r="AC83" i="2"/>
  <c r="AD83" i="2" s="1"/>
  <c r="Z83" i="2"/>
  <c r="X83" i="2"/>
  <c r="Y83" i="2" s="1"/>
  <c r="AJ82" i="2"/>
  <c r="AH82" i="2"/>
  <c r="AI82" i="2" s="1"/>
  <c r="AE82" i="2"/>
  <c r="AC82" i="2"/>
  <c r="AD82" i="2" s="1"/>
  <c r="Z82" i="2"/>
  <c r="X82" i="2"/>
  <c r="Y82" i="2" s="1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P82" i="2"/>
  <c r="N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K82" i="2"/>
  <c r="I82" i="2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F82" i="2"/>
  <c r="D82" i="2"/>
  <c r="V243" i="1"/>
  <c r="W243" i="1" s="1"/>
  <c r="V242" i="1"/>
  <c r="W242" i="1" s="1"/>
  <c r="V241" i="1"/>
  <c r="W241" i="1" s="1"/>
  <c r="V240" i="1"/>
  <c r="W240" i="1" s="1"/>
  <c r="V239" i="1"/>
  <c r="W239" i="1" s="1"/>
  <c r="V238" i="1"/>
  <c r="W238" i="1" s="1"/>
  <c r="V237" i="1"/>
  <c r="W237" i="1" s="1"/>
  <c r="V236" i="1"/>
  <c r="W236" i="1" s="1"/>
  <c r="V235" i="1"/>
  <c r="W235" i="1" s="1"/>
  <c r="V234" i="1"/>
  <c r="W234" i="1" s="1"/>
  <c r="V233" i="1"/>
  <c r="W233" i="1" s="1"/>
  <c r="V232" i="1"/>
  <c r="W232" i="1" s="1"/>
  <c r="V231" i="1"/>
  <c r="W231" i="1" s="1"/>
  <c r="V230" i="1"/>
  <c r="W230" i="1" s="1"/>
  <c r="V229" i="1"/>
  <c r="W229" i="1" s="1"/>
  <c r="V228" i="1"/>
  <c r="W228" i="1" s="1"/>
  <c r="V227" i="1"/>
  <c r="W227" i="1" s="1"/>
  <c r="V226" i="1"/>
  <c r="W226" i="1" s="1"/>
  <c r="V225" i="1"/>
  <c r="W225" i="1" s="1"/>
  <c r="V224" i="1"/>
  <c r="W224" i="1" s="1"/>
  <c r="V223" i="1"/>
  <c r="W223" i="1" s="1"/>
  <c r="V222" i="1"/>
  <c r="W222" i="1" s="1"/>
  <c r="V221" i="1"/>
  <c r="W221" i="1" s="1"/>
  <c r="V220" i="1"/>
  <c r="W220" i="1" s="1"/>
  <c r="V219" i="1"/>
  <c r="W219" i="1" s="1"/>
  <c r="V218" i="1"/>
  <c r="W218" i="1" s="1"/>
  <c r="V217" i="1"/>
  <c r="W217" i="1" s="1"/>
  <c r="V216" i="1"/>
  <c r="W216" i="1" s="1"/>
  <c r="V215" i="1"/>
  <c r="W215" i="1" s="1"/>
  <c r="V214" i="1"/>
  <c r="W214" i="1" s="1"/>
  <c r="V213" i="1"/>
  <c r="W213" i="1" s="1"/>
  <c r="V212" i="1"/>
  <c r="W212" i="1" s="1"/>
  <c r="V211" i="1"/>
  <c r="W211" i="1" s="1"/>
  <c r="V210" i="1"/>
  <c r="W210" i="1" s="1"/>
  <c r="V209" i="1"/>
  <c r="W209" i="1" s="1"/>
  <c r="V208" i="1"/>
  <c r="W208" i="1" s="1"/>
  <c r="V207" i="1"/>
  <c r="W207" i="1" s="1"/>
  <c r="V206" i="1"/>
  <c r="W206" i="1" s="1"/>
  <c r="V205" i="1"/>
  <c r="W205" i="1" s="1"/>
  <c r="V204" i="1"/>
  <c r="W204" i="1" s="1"/>
  <c r="V203" i="1"/>
  <c r="W203" i="1" s="1"/>
  <c r="V202" i="1"/>
  <c r="W202" i="1" s="1"/>
  <c r="V201" i="1"/>
  <c r="W201" i="1" s="1"/>
  <c r="V200" i="1"/>
  <c r="W200" i="1" s="1"/>
  <c r="V199" i="1"/>
  <c r="W199" i="1" s="1"/>
  <c r="V198" i="1"/>
  <c r="W198" i="1" s="1"/>
  <c r="V197" i="1"/>
  <c r="W197" i="1" s="1"/>
  <c r="V196" i="1"/>
  <c r="W196" i="1" s="1"/>
  <c r="V195" i="1"/>
  <c r="W195" i="1" s="1"/>
  <c r="V194" i="1"/>
  <c r="W194" i="1" s="1"/>
  <c r="V193" i="1"/>
  <c r="W193" i="1" s="1"/>
  <c r="V192" i="1"/>
  <c r="W192" i="1" s="1"/>
  <c r="V191" i="1"/>
  <c r="W191" i="1" s="1"/>
  <c r="V190" i="1"/>
  <c r="W190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BX76" i="2"/>
  <c r="BV76" i="2"/>
  <c r="BW76" i="2" s="1"/>
  <c r="BS76" i="2"/>
  <c r="BQ76" i="2"/>
  <c r="BR76" i="2" s="1"/>
  <c r="BN76" i="2"/>
  <c r="BL76" i="2"/>
  <c r="BM76" i="2" s="1"/>
  <c r="BX75" i="2"/>
  <c r="BV75" i="2"/>
  <c r="BW75" i="2" s="1"/>
  <c r="BS75" i="2"/>
  <c r="BQ75" i="2"/>
  <c r="BR75" i="2" s="1"/>
  <c r="BN75" i="2"/>
  <c r="BL75" i="2"/>
  <c r="BM75" i="2" s="1"/>
  <c r="BX74" i="2"/>
  <c r="BV74" i="2"/>
  <c r="BW74" i="2" s="1"/>
  <c r="BS74" i="2"/>
  <c r="BQ74" i="2"/>
  <c r="BR74" i="2" s="1"/>
  <c r="BN74" i="2"/>
  <c r="BL74" i="2"/>
  <c r="BM74" i="2" s="1"/>
  <c r="BX73" i="2"/>
  <c r="BV73" i="2"/>
  <c r="BW73" i="2" s="1"/>
  <c r="BS73" i="2"/>
  <c r="BQ73" i="2"/>
  <c r="BR73" i="2" s="1"/>
  <c r="BN73" i="2"/>
  <c r="BL73" i="2"/>
  <c r="BM73" i="2" s="1"/>
  <c r="BX72" i="2"/>
  <c r="BV72" i="2"/>
  <c r="BW72" i="2" s="1"/>
  <c r="BS72" i="2"/>
  <c r="BQ72" i="2"/>
  <c r="BR72" i="2" s="1"/>
  <c r="BN72" i="2"/>
  <c r="BL72" i="2"/>
  <c r="BM72" i="2" s="1"/>
  <c r="BX71" i="2"/>
  <c r="BV71" i="2"/>
  <c r="BW71" i="2" s="1"/>
  <c r="BS71" i="2"/>
  <c r="BQ71" i="2"/>
  <c r="BR71" i="2" s="1"/>
  <c r="BN71" i="2"/>
  <c r="BL71" i="2"/>
  <c r="BM71" i="2" s="1"/>
  <c r="BX70" i="2"/>
  <c r="BV70" i="2"/>
  <c r="BW70" i="2" s="1"/>
  <c r="BS70" i="2"/>
  <c r="BQ70" i="2"/>
  <c r="BR70" i="2" s="1"/>
  <c r="BN70" i="2"/>
  <c r="BL70" i="2"/>
  <c r="BM70" i="2" s="1"/>
  <c r="BX69" i="2"/>
  <c r="BV69" i="2"/>
  <c r="BW69" i="2" s="1"/>
  <c r="BS69" i="2"/>
  <c r="BQ69" i="2"/>
  <c r="BR69" i="2" s="1"/>
  <c r="BN69" i="2"/>
  <c r="BL69" i="2"/>
  <c r="BM69" i="2" s="1"/>
  <c r="BX68" i="2"/>
  <c r="BV68" i="2"/>
  <c r="BQ68" i="2"/>
  <c r="BR68" i="2" s="1"/>
  <c r="BN68" i="2"/>
  <c r="BL68" i="2"/>
  <c r="BX67" i="2"/>
  <c r="BV67" i="2"/>
  <c r="BW67" i="2" s="1"/>
  <c r="BS67" i="2"/>
  <c r="BQ67" i="2"/>
  <c r="BR67" i="2" s="1"/>
  <c r="BN67" i="2"/>
  <c r="BL67" i="2"/>
  <c r="BM67" i="2" s="1"/>
  <c r="BX66" i="2"/>
  <c r="BV66" i="2"/>
  <c r="BW66" i="2" s="1"/>
  <c r="BS66" i="2"/>
  <c r="BQ66" i="2"/>
  <c r="BR66" i="2" s="1"/>
  <c r="BN66" i="2"/>
  <c r="BL66" i="2"/>
  <c r="BM66" i="2" s="1"/>
  <c r="BX65" i="2"/>
  <c r="BV65" i="2"/>
  <c r="BW65" i="2" s="1"/>
  <c r="BS65" i="2"/>
  <c r="BQ65" i="2"/>
  <c r="BR65" i="2" s="1"/>
  <c r="BN65" i="2"/>
  <c r="BL65" i="2"/>
  <c r="BM65" i="2" s="1"/>
  <c r="BX64" i="2"/>
  <c r="BS64" i="2"/>
  <c r="BQ64" i="2"/>
  <c r="BL64" i="2"/>
  <c r="BM64" i="2" s="1"/>
  <c r="BX63" i="2"/>
  <c r="BV63" i="2"/>
  <c r="BW63" i="2" s="1"/>
  <c r="BS63" i="2"/>
  <c r="BQ63" i="2"/>
  <c r="BR63" i="2" s="1"/>
  <c r="BN63" i="2"/>
  <c r="BL63" i="2"/>
  <c r="BM63" i="2" s="1"/>
  <c r="BX62" i="2"/>
  <c r="BV62" i="2"/>
  <c r="BW62" i="2" s="1"/>
  <c r="BS62" i="2"/>
  <c r="BQ62" i="2"/>
  <c r="BR62" i="2" s="1"/>
  <c r="BN62" i="2"/>
  <c r="BL62" i="2"/>
  <c r="BM62" i="2" s="1"/>
  <c r="BX61" i="2"/>
  <c r="BV61" i="2"/>
  <c r="BW61" i="2" s="1"/>
  <c r="BS61" i="2"/>
  <c r="BQ61" i="2"/>
  <c r="BR61" i="2" s="1"/>
  <c r="BN61" i="2"/>
  <c r="BL61" i="2"/>
  <c r="BM61" i="2" s="1"/>
  <c r="BX60" i="2"/>
  <c r="BV60" i="2"/>
  <c r="BW60" i="2" s="1"/>
  <c r="BS60" i="2"/>
  <c r="BQ60" i="2"/>
  <c r="BR60" i="2" s="1"/>
  <c r="BN60" i="2"/>
  <c r="BL60" i="2"/>
  <c r="BM60" i="2" s="1"/>
  <c r="BX59" i="2"/>
  <c r="BV59" i="2"/>
  <c r="BW59" i="2" s="1"/>
  <c r="BS59" i="2"/>
  <c r="BQ59" i="2"/>
  <c r="BR59" i="2" s="1"/>
  <c r="BN59" i="2"/>
  <c r="BL59" i="2"/>
  <c r="BM59" i="2" s="1"/>
  <c r="BD76" i="2"/>
  <c r="BB76" i="2"/>
  <c r="BC76" i="2" s="1"/>
  <c r="AY76" i="2"/>
  <c r="AW76" i="2"/>
  <c r="AX76" i="2" s="1"/>
  <c r="AT76" i="2"/>
  <c r="AR76" i="2"/>
  <c r="AS76" i="2" s="1"/>
  <c r="BD75" i="2"/>
  <c r="BB75" i="2"/>
  <c r="BC75" i="2" s="1"/>
  <c r="AY75" i="2"/>
  <c r="AW75" i="2"/>
  <c r="AX75" i="2" s="1"/>
  <c r="AT75" i="2"/>
  <c r="AR75" i="2"/>
  <c r="AS75" i="2" s="1"/>
  <c r="BD74" i="2"/>
  <c r="BB74" i="2"/>
  <c r="BC74" i="2" s="1"/>
  <c r="AY74" i="2"/>
  <c r="AW74" i="2"/>
  <c r="AX74" i="2" s="1"/>
  <c r="AT74" i="2"/>
  <c r="AR74" i="2"/>
  <c r="AS74" i="2" s="1"/>
  <c r="BD73" i="2"/>
  <c r="BB73" i="2"/>
  <c r="BC73" i="2" s="1"/>
  <c r="AY73" i="2"/>
  <c r="AW73" i="2"/>
  <c r="AX73" i="2" s="1"/>
  <c r="AT73" i="2"/>
  <c r="AR73" i="2"/>
  <c r="AS73" i="2" s="1"/>
  <c r="BD72" i="2"/>
  <c r="BB72" i="2"/>
  <c r="BC72" i="2" s="1"/>
  <c r="AY72" i="2"/>
  <c r="AW72" i="2"/>
  <c r="AX72" i="2" s="1"/>
  <c r="AT72" i="2"/>
  <c r="AR72" i="2"/>
  <c r="AS72" i="2" s="1"/>
  <c r="BD71" i="2"/>
  <c r="BB71" i="2"/>
  <c r="BC71" i="2" s="1"/>
  <c r="AY71" i="2"/>
  <c r="AW71" i="2"/>
  <c r="AX71" i="2" s="1"/>
  <c r="AT71" i="2"/>
  <c r="AR71" i="2"/>
  <c r="AS71" i="2" s="1"/>
  <c r="BD70" i="2"/>
  <c r="BB70" i="2"/>
  <c r="BC70" i="2" s="1"/>
  <c r="AY70" i="2"/>
  <c r="AW70" i="2"/>
  <c r="AX70" i="2" s="1"/>
  <c r="AT70" i="2"/>
  <c r="AR70" i="2"/>
  <c r="AS70" i="2" s="1"/>
  <c r="BD69" i="2"/>
  <c r="BB69" i="2"/>
  <c r="BC69" i="2" s="1"/>
  <c r="AY69" i="2"/>
  <c r="AW69" i="2"/>
  <c r="AX69" i="2" s="1"/>
  <c r="AT69" i="2"/>
  <c r="AR69" i="2"/>
  <c r="AS69" i="2" s="1"/>
  <c r="BD68" i="2"/>
  <c r="BB68" i="2"/>
  <c r="AW68" i="2"/>
  <c r="AX68" i="2" s="1"/>
  <c r="AT68" i="2"/>
  <c r="AR68" i="2"/>
  <c r="AS68" i="2" s="1"/>
  <c r="BD67" i="2"/>
  <c r="BB67" i="2"/>
  <c r="BC67" i="2" s="1"/>
  <c r="AY67" i="2"/>
  <c r="AW67" i="2"/>
  <c r="AX67" i="2" s="1"/>
  <c r="AT67" i="2"/>
  <c r="AR67" i="2"/>
  <c r="AS67" i="2" s="1"/>
  <c r="BD66" i="2"/>
  <c r="BB66" i="2"/>
  <c r="BC66" i="2" s="1"/>
  <c r="AY66" i="2"/>
  <c r="AW66" i="2"/>
  <c r="AX66" i="2" s="1"/>
  <c r="AT66" i="2"/>
  <c r="AR66" i="2"/>
  <c r="AS66" i="2" s="1"/>
  <c r="BD65" i="2"/>
  <c r="BB65" i="2"/>
  <c r="BC65" i="2" s="1"/>
  <c r="AY65" i="2"/>
  <c r="AW65" i="2"/>
  <c r="AX65" i="2" s="1"/>
  <c r="AT65" i="2"/>
  <c r="AR65" i="2"/>
  <c r="AS65" i="2" s="1"/>
  <c r="BD64" i="2"/>
  <c r="AY64" i="2"/>
  <c r="AW64" i="2"/>
  <c r="AR64" i="2"/>
  <c r="AS64" i="2" s="1"/>
  <c r="BD63" i="2"/>
  <c r="BB63" i="2"/>
  <c r="BC63" i="2" s="1"/>
  <c r="AY63" i="2"/>
  <c r="AW63" i="2"/>
  <c r="AX63" i="2" s="1"/>
  <c r="AT63" i="2"/>
  <c r="AR63" i="2"/>
  <c r="AS63" i="2" s="1"/>
  <c r="BD62" i="2"/>
  <c r="BB62" i="2"/>
  <c r="BC62" i="2" s="1"/>
  <c r="AY62" i="2"/>
  <c r="AW62" i="2"/>
  <c r="AX62" i="2" s="1"/>
  <c r="AT62" i="2"/>
  <c r="AR62" i="2"/>
  <c r="AS62" i="2" s="1"/>
  <c r="BD61" i="2"/>
  <c r="BB61" i="2"/>
  <c r="BC61" i="2" s="1"/>
  <c r="AY61" i="2"/>
  <c r="AW61" i="2"/>
  <c r="AX61" i="2" s="1"/>
  <c r="AT61" i="2"/>
  <c r="AR61" i="2"/>
  <c r="AS61" i="2" s="1"/>
  <c r="BD60" i="2"/>
  <c r="BB60" i="2"/>
  <c r="BC60" i="2" s="1"/>
  <c r="AY60" i="2"/>
  <c r="AW60" i="2"/>
  <c r="AX60" i="2" s="1"/>
  <c r="AT60" i="2"/>
  <c r="AR60" i="2"/>
  <c r="AS60" i="2" s="1"/>
  <c r="BD59" i="2"/>
  <c r="BB59" i="2"/>
  <c r="BC59" i="2" s="1"/>
  <c r="AY59" i="2"/>
  <c r="AW59" i="2"/>
  <c r="AX59" i="2" s="1"/>
  <c r="AT59" i="2"/>
  <c r="AR59" i="2"/>
  <c r="AS59" i="2" s="1"/>
  <c r="AJ76" i="2"/>
  <c r="AH76" i="2"/>
  <c r="AI76" i="2" s="1"/>
  <c r="AE76" i="2"/>
  <c r="AC76" i="2"/>
  <c r="Z76" i="2"/>
  <c r="X76" i="2"/>
  <c r="AJ75" i="2"/>
  <c r="AH75" i="2"/>
  <c r="AE75" i="2"/>
  <c r="AC75" i="2"/>
  <c r="Z75" i="2"/>
  <c r="X75" i="2"/>
  <c r="AJ74" i="2"/>
  <c r="AH74" i="2"/>
  <c r="AE74" i="2"/>
  <c r="AC74" i="2"/>
  <c r="Z74" i="2"/>
  <c r="X74" i="2"/>
  <c r="AJ73" i="2"/>
  <c r="AH73" i="2"/>
  <c r="AE73" i="2"/>
  <c r="AC73" i="2"/>
  <c r="Z73" i="2"/>
  <c r="X73" i="2"/>
  <c r="AJ72" i="2"/>
  <c r="AH72" i="2"/>
  <c r="AE72" i="2"/>
  <c r="AC72" i="2"/>
  <c r="Z72" i="2"/>
  <c r="X72" i="2"/>
  <c r="AJ71" i="2"/>
  <c r="AH71" i="2"/>
  <c r="AE71" i="2"/>
  <c r="AC71" i="2"/>
  <c r="Z71" i="2"/>
  <c r="X71" i="2"/>
  <c r="AJ70" i="2"/>
  <c r="AH70" i="2"/>
  <c r="AE70" i="2"/>
  <c r="AC70" i="2"/>
  <c r="Z70" i="2"/>
  <c r="X70" i="2"/>
  <c r="AJ69" i="2"/>
  <c r="AH69" i="2"/>
  <c r="AE69" i="2"/>
  <c r="AC69" i="2"/>
  <c r="Z69" i="2"/>
  <c r="X69" i="2"/>
  <c r="AH68" i="2"/>
  <c r="AJ68" i="2"/>
  <c r="AE68" i="2"/>
  <c r="AC68" i="2"/>
  <c r="AD68" i="2" s="1"/>
  <c r="Z68" i="2"/>
  <c r="AJ67" i="2"/>
  <c r="AH67" i="2"/>
  <c r="AI67" i="2" s="1"/>
  <c r="AE67" i="2"/>
  <c r="AC67" i="2"/>
  <c r="AD67" i="2" s="1"/>
  <c r="Z67" i="2"/>
  <c r="X67" i="2"/>
  <c r="Y67" i="2" s="1"/>
  <c r="AJ66" i="2"/>
  <c r="AH66" i="2"/>
  <c r="AI66" i="2" s="1"/>
  <c r="AE66" i="2"/>
  <c r="AC66" i="2"/>
  <c r="AD66" i="2" s="1"/>
  <c r="Z66" i="2"/>
  <c r="X66" i="2"/>
  <c r="Y66" i="2" s="1"/>
  <c r="AJ65" i="2"/>
  <c r="AH65" i="2"/>
  <c r="AI65" i="2" s="1"/>
  <c r="AE65" i="2"/>
  <c r="AC65" i="2"/>
  <c r="AD65" i="2" s="1"/>
  <c r="Z65" i="2"/>
  <c r="X65" i="2"/>
  <c r="Y65" i="2" s="1"/>
  <c r="AJ64" i="2"/>
  <c r="AC64" i="2"/>
  <c r="AE64" i="2"/>
  <c r="Z64" i="2"/>
  <c r="X64" i="2"/>
  <c r="Y64" i="2" s="1"/>
  <c r="AJ63" i="2"/>
  <c r="AH63" i="2"/>
  <c r="AI63" i="2" s="1"/>
  <c r="AE63" i="2"/>
  <c r="AC63" i="2"/>
  <c r="AD63" i="2" s="1"/>
  <c r="Z63" i="2"/>
  <c r="X63" i="2"/>
  <c r="Y63" i="2" s="1"/>
  <c r="AJ62" i="2"/>
  <c r="AH62" i="2"/>
  <c r="AI62" i="2" s="1"/>
  <c r="AE62" i="2"/>
  <c r="AC62" i="2"/>
  <c r="AD62" i="2" s="1"/>
  <c r="Z62" i="2"/>
  <c r="X62" i="2"/>
  <c r="Y62" i="2" s="1"/>
  <c r="AJ61" i="2"/>
  <c r="AH61" i="2"/>
  <c r="AI61" i="2" s="1"/>
  <c r="AE61" i="2"/>
  <c r="AC61" i="2"/>
  <c r="AD61" i="2" s="1"/>
  <c r="Z61" i="2"/>
  <c r="X61" i="2"/>
  <c r="Y61" i="2" s="1"/>
  <c r="AJ60" i="2"/>
  <c r="AH60" i="2"/>
  <c r="AI60" i="2" s="1"/>
  <c r="AE60" i="2"/>
  <c r="AC60" i="2"/>
  <c r="AD60" i="2" s="1"/>
  <c r="Z60" i="2"/>
  <c r="X60" i="2"/>
  <c r="Y60" i="2" s="1"/>
  <c r="AJ59" i="2"/>
  <c r="AH59" i="2"/>
  <c r="AI59" i="2" s="1"/>
  <c r="AE59" i="2"/>
  <c r="AC59" i="2"/>
  <c r="AD59" i="2" s="1"/>
  <c r="Z59" i="2"/>
  <c r="X59" i="2"/>
  <c r="Y59" i="2" s="1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P59" i="2"/>
  <c r="N59" i="2"/>
  <c r="AY19" i="9" l="1"/>
  <c r="AM19" i="9"/>
  <c r="AM25" i="9" s="1"/>
  <c r="CT45" i="7"/>
  <c r="BV45" i="7"/>
  <c r="AX3" i="7"/>
  <c r="AX132" i="1"/>
  <c r="AX138" i="1"/>
  <c r="AX133" i="1"/>
  <c r="AX137" i="1"/>
  <c r="AX131" i="1"/>
  <c r="AX134" i="1"/>
  <c r="AX136" i="1"/>
  <c r="AX135" i="1"/>
  <c r="AX123" i="1"/>
  <c r="AX125" i="1"/>
  <c r="AX127" i="1"/>
  <c r="AX129" i="1"/>
  <c r="AX130" i="1"/>
  <c r="AX124" i="1"/>
  <c r="AX126" i="1"/>
  <c r="AX128" i="1"/>
  <c r="AX113" i="1"/>
  <c r="AX115" i="1"/>
  <c r="AX117" i="1"/>
  <c r="AX114" i="1"/>
  <c r="AX116" i="1"/>
  <c r="AX121" i="1"/>
  <c r="AX122" i="1"/>
  <c r="AX118" i="1"/>
  <c r="AX120" i="1"/>
  <c r="AX119" i="1"/>
  <c r="AX110" i="1"/>
  <c r="AX107" i="1"/>
  <c r="AX111" i="1"/>
  <c r="AX112" i="1"/>
  <c r="AX106" i="1"/>
  <c r="AX108" i="1"/>
  <c r="AX105" i="1"/>
  <c r="AX109" i="1"/>
  <c r="AX99" i="1"/>
  <c r="AX103" i="1"/>
  <c r="AX104" i="1"/>
  <c r="AX98" i="1"/>
  <c r="AX97" i="1"/>
  <c r="AX100" i="1"/>
  <c r="AX102" i="1"/>
  <c r="AX101" i="1"/>
  <c r="AX94" i="1"/>
  <c r="AX89" i="1"/>
  <c r="AX91" i="1"/>
  <c r="AX95" i="1"/>
  <c r="AX96" i="1"/>
  <c r="AX90" i="1"/>
  <c r="AX92" i="1"/>
  <c r="AX93" i="1"/>
  <c r="AX86" i="1"/>
  <c r="AX81" i="1"/>
  <c r="AX83" i="1"/>
  <c r="AX74" i="1"/>
  <c r="AX87" i="1"/>
  <c r="AX88" i="1"/>
  <c r="AX82" i="1"/>
  <c r="AX84" i="1"/>
  <c r="AX75" i="1"/>
  <c r="AX85" i="1"/>
  <c r="AX79" i="1"/>
  <c r="AX76" i="1"/>
  <c r="AX78" i="1"/>
  <c r="AX80" i="1"/>
  <c r="AX73" i="1"/>
  <c r="AX77" i="1"/>
  <c r="AX65" i="1"/>
  <c r="AX67" i="1"/>
  <c r="AX71" i="1"/>
  <c r="AX72" i="1"/>
  <c r="AX66" i="1"/>
  <c r="AX68" i="1"/>
  <c r="AX70" i="1"/>
  <c r="AX69" i="1"/>
  <c r="BO82" i="2"/>
  <c r="BY82" i="2"/>
  <c r="BT83" i="2"/>
  <c r="BO84" i="2"/>
  <c r="BY84" i="2"/>
  <c r="BT85" i="2"/>
  <c r="BO86" i="2"/>
  <c r="BY86" i="2"/>
  <c r="BT87" i="2"/>
  <c r="BO88" i="2"/>
  <c r="BY88" i="2"/>
  <c r="BT89" i="2"/>
  <c r="BO90" i="2"/>
  <c r="BY90" i="2"/>
  <c r="BT91" i="2"/>
  <c r="BO92" i="2"/>
  <c r="BY92" i="2"/>
  <c r="BT93" i="2"/>
  <c r="BO94" i="2"/>
  <c r="BY94" i="2"/>
  <c r="BT95" i="2"/>
  <c r="BO96" i="2"/>
  <c r="BY96" i="2"/>
  <c r="BT97" i="2"/>
  <c r="BO98" i="2"/>
  <c r="BY98" i="2"/>
  <c r="BT82" i="2"/>
  <c r="BO83" i="2"/>
  <c r="BY83" i="2"/>
  <c r="BT84" i="2"/>
  <c r="BO85" i="2"/>
  <c r="BY85" i="2"/>
  <c r="BT86" i="2"/>
  <c r="BO87" i="2"/>
  <c r="BY87" i="2"/>
  <c r="BT88" i="2"/>
  <c r="BO89" i="2"/>
  <c r="BY89" i="2"/>
  <c r="BT90" i="2"/>
  <c r="BO91" i="2"/>
  <c r="BY91" i="2"/>
  <c r="BT92" i="2"/>
  <c r="BO93" i="2"/>
  <c r="BY93" i="2"/>
  <c r="BT94" i="2"/>
  <c r="BO95" i="2"/>
  <c r="BY95" i="2"/>
  <c r="BT96" i="2"/>
  <c r="BO97" i="2"/>
  <c r="BY97" i="2"/>
  <c r="BT98" i="2"/>
  <c r="AZ82" i="2"/>
  <c r="AU83" i="2"/>
  <c r="BE83" i="2"/>
  <c r="AZ84" i="2"/>
  <c r="AU85" i="2"/>
  <c r="BE85" i="2"/>
  <c r="AZ86" i="2"/>
  <c r="AU87" i="2"/>
  <c r="BE87" i="2"/>
  <c r="AZ88" i="2"/>
  <c r="AU89" i="2"/>
  <c r="BE89" i="2"/>
  <c r="AZ90" i="2"/>
  <c r="AU91" i="2"/>
  <c r="BE91" i="2"/>
  <c r="AZ92" i="2"/>
  <c r="AU93" i="2"/>
  <c r="BE93" i="2"/>
  <c r="AZ94" i="2"/>
  <c r="AU95" i="2"/>
  <c r="BE95" i="2"/>
  <c r="AZ96" i="2"/>
  <c r="AU97" i="2"/>
  <c r="BE97" i="2"/>
  <c r="AZ98" i="2"/>
  <c r="AU82" i="2"/>
  <c r="BE82" i="2"/>
  <c r="AZ83" i="2"/>
  <c r="AU84" i="2"/>
  <c r="BE84" i="2"/>
  <c r="AZ85" i="2"/>
  <c r="AU86" i="2"/>
  <c r="BE86" i="2"/>
  <c r="AZ87" i="2"/>
  <c r="AU88" i="2"/>
  <c r="BE88" i="2"/>
  <c r="AZ89" i="2"/>
  <c r="AU90" i="2"/>
  <c r="BE90" i="2"/>
  <c r="AZ91" i="2"/>
  <c r="AU92" i="2"/>
  <c r="BE92" i="2"/>
  <c r="AZ93" i="2"/>
  <c r="AU94" i="2"/>
  <c r="BE94" i="2"/>
  <c r="AZ95" i="2"/>
  <c r="AU96" i="2"/>
  <c r="BE96" i="2"/>
  <c r="AZ97" i="2"/>
  <c r="AU98" i="2"/>
  <c r="BE98" i="2"/>
  <c r="AF82" i="2"/>
  <c r="AA83" i="2"/>
  <c r="AK83" i="2"/>
  <c r="AF84" i="2"/>
  <c r="AA85" i="2"/>
  <c r="AK85" i="2"/>
  <c r="AF86" i="2"/>
  <c r="AA87" i="2"/>
  <c r="AK87" i="2"/>
  <c r="AF88" i="2"/>
  <c r="AA89" i="2"/>
  <c r="AK89" i="2"/>
  <c r="AF90" i="2"/>
  <c r="AA91" i="2"/>
  <c r="AK91" i="2"/>
  <c r="AF92" i="2"/>
  <c r="AA93" i="2"/>
  <c r="AK93" i="2"/>
  <c r="AF94" i="2"/>
  <c r="AA95" i="2"/>
  <c r="AK95" i="2"/>
  <c r="AF96" i="2"/>
  <c r="AA97" i="2"/>
  <c r="AK97" i="2"/>
  <c r="AF98" i="2"/>
  <c r="AA82" i="2"/>
  <c r="AK82" i="2"/>
  <c r="AF83" i="2"/>
  <c r="AA84" i="2"/>
  <c r="AK84" i="2"/>
  <c r="AF85" i="2"/>
  <c r="AA86" i="2"/>
  <c r="AK86" i="2"/>
  <c r="AF87" i="2"/>
  <c r="AA88" i="2"/>
  <c r="AK88" i="2"/>
  <c r="AF89" i="2"/>
  <c r="AA90" i="2"/>
  <c r="AK90" i="2"/>
  <c r="AF91" i="2"/>
  <c r="AA92" i="2"/>
  <c r="AK92" i="2"/>
  <c r="AF93" i="2"/>
  <c r="AA94" i="2"/>
  <c r="AK94" i="2"/>
  <c r="AF95" i="2"/>
  <c r="AA96" i="2"/>
  <c r="AK96" i="2"/>
  <c r="AF97" i="2"/>
  <c r="AA98" i="2"/>
  <c r="AK98" i="2"/>
  <c r="BY76" i="2"/>
  <c r="BO67" i="2"/>
  <c r="BY67" i="2"/>
  <c r="BT67" i="2"/>
  <c r="AZ65" i="2"/>
  <c r="AU66" i="2"/>
  <c r="BE66" i="2"/>
  <c r="AZ67" i="2"/>
  <c r="BT65" i="2"/>
  <c r="AU65" i="2"/>
  <c r="BE65" i="2"/>
  <c r="AZ66" i="2"/>
  <c r="AU67" i="2"/>
  <c r="BE67" i="2"/>
  <c r="BY65" i="2"/>
  <c r="BR64" i="2"/>
  <c r="BO66" i="2"/>
  <c r="BY66" i="2"/>
  <c r="AF65" i="2"/>
  <c r="BY59" i="2"/>
  <c r="BT60" i="2"/>
  <c r="BO61" i="2"/>
  <c r="BY61" i="2"/>
  <c r="BT62" i="2"/>
  <c r="BO63" i="2"/>
  <c r="BY63" i="2"/>
  <c r="BT64" i="2"/>
  <c r="AA61" i="2"/>
  <c r="AK68" i="2"/>
  <c r="AF69" i="2"/>
  <c r="AA70" i="2"/>
  <c r="AK70" i="2"/>
  <c r="AF71" i="2"/>
  <c r="AA72" i="2"/>
  <c r="AK72" i="2"/>
  <c r="AF73" i="2"/>
  <c r="AA74" i="2"/>
  <c r="AK74" i="2"/>
  <c r="AF75" i="2"/>
  <c r="AA76" i="2"/>
  <c r="AK63" i="2"/>
  <c r="BO65" i="2"/>
  <c r="BT66" i="2"/>
  <c r="AA69" i="2"/>
  <c r="AK69" i="2"/>
  <c r="AF70" i="2"/>
  <c r="AA71" i="2"/>
  <c r="AK71" i="2"/>
  <c r="AF72" i="2"/>
  <c r="AA73" i="2"/>
  <c r="AK73" i="2"/>
  <c r="AF74" i="2"/>
  <c r="AA75" i="2"/>
  <c r="AK75" i="2"/>
  <c r="AF76" i="2"/>
  <c r="AA64" i="2"/>
  <c r="AK66" i="2"/>
  <c r="BT59" i="2"/>
  <c r="BO60" i="2"/>
  <c r="BY60" i="2"/>
  <c r="BT61" i="2"/>
  <c r="BO62" i="2"/>
  <c r="BY62" i="2"/>
  <c r="BT63" i="2"/>
  <c r="BM68" i="2"/>
  <c r="BW68" i="2"/>
  <c r="BO69" i="2"/>
  <c r="BY69" i="2"/>
  <c r="BT70" i="2"/>
  <c r="BO71" i="2"/>
  <c r="BY71" i="2"/>
  <c r="BT72" i="2"/>
  <c r="BO73" i="2"/>
  <c r="BY73" i="2"/>
  <c r="BT74" i="2"/>
  <c r="BO75" i="2"/>
  <c r="BY75" i="2"/>
  <c r="BT76" i="2"/>
  <c r="AK65" i="2"/>
  <c r="AF66" i="2"/>
  <c r="BO59" i="2"/>
  <c r="BO68" i="2"/>
  <c r="BY68" i="2"/>
  <c r="BT69" i="2"/>
  <c r="BO70" i="2"/>
  <c r="BY70" i="2"/>
  <c r="BT71" i="2"/>
  <c r="BO72" i="2"/>
  <c r="BY72" i="2"/>
  <c r="BT73" i="2"/>
  <c r="BO74" i="2"/>
  <c r="BY74" i="2"/>
  <c r="BT75" i="2"/>
  <c r="BO76" i="2"/>
  <c r="AK60" i="2"/>
  <c r="AF63" i="2"/>
  <c r="AF64" i="2"/>
  <c r="AA65" i="2"/>
  <c r="AF68" i="2"/>
  <c r="AU59" i="2"/>
  <c r="BE59" i="2"/>
  <c r="AZ60" i="2"/>
  <c r="AU61" i="2"/>
  <c r="BE61" i="2"/>
  <c r="AZ62" i="2"/>
  <c r="AU63" i="2"/>
  <c r="BE63" i="2"/>
  <c r="AZ64" i="2"/>
  <c r="AU68" i="2"/>
  <c r="BE68" i="2"/>
  <c r="AZ69" i="2"/>
  <c r="AU70" i="2"/>
  <c r="BE70" i="2"/>
  <c r="AZ71" i="2"/>
  <c r="AU72" i="2"/>
  <c r="BE72" i="2"/>
  <c r="AZ73" i="2"/>
  <c r="AU74" i="2"/>
  <c r="BE74" i="2"/>
  <c r="AZ75" i="2"/>
  <c r="AU76" i="2"/>
  <c r="BE76" i="2"/>
  <c r="BN64" i="2"/>
  <c r="BO64" i="2" s="1"/>
  <c r="BV64" i="2"/>
  <c r="BY64" i="2" s="1"/>
  <c r="BS68" i="2"/>
  <c r="BT68" i="2" s="1"/>
  <c r="AK59" i="2"/>
  <c r="AF62" i="2"/>
  <c r="AF59" i="2"/>
  <c r="AA62" i="2"/>
  <c r="AA67" i="2"/>
  <c r="AK67" i="2"/>
  <c r="AZ59" i="2"/>
  <c r="AU60" i="2"/>
  <c r="BE60" i="2"/>
  <c r="AZ61" i="2"/>
  <c r="AU62" i="2"/>
  <c r="BE62" i="2"/>
  <c r="AZ63" i="2"/>
  <c r="AX64" i="2"/>
  <c r="BC68" i="2"/>
  <c r="AU69" i="2"/>
  <c r="BE69" i="2"/>
  <c r="AZ70" i="2"/>
  <c r="AU71" i="2"/>
  <c r="BE71" i="2"/>
  <c r="AZ72" i="2"/>
  <c r="AU73" i="2"/>
  <c r="BE73" i="2"/>
  <c r="AZ74" i="2"/>
  <c r="AU75" i="2"/>
  <c r="BE75" i="2"/>
  <c r="AZ76" i="2"/>
  <c r="AA59" i="2"/>
  <c r="AF60" i="2"/>
  <c r="AK61" i="2"/>
  <c r="AA63" i="2"/>
  <c r="AK76" i="2"/>
  <c r="AT64" i="2"/>
  <c r="AU64" i="2" s="1"/>
  <c r="BB64" i="2"/>
  <c r="BE64" i="2" s="1"/>
  <c r="AY68" i="2"/>
  <c r="AZ68" i="2" s="1"/>
  <c r="AF61" i="2"/>
  <c r="AK62" i="2"/>
  <c r="AA66" i="2"/>
  <c r="AF67" i="2"/>
  <c r="AA60" i="2"/>
  <c r="AD64" i="2"/>
  <c r="AI68" i="2"/>
  <c r="Y69" i="2"/>
  <c r="AD69" i="2"/>
  <c r="AI69" i="2"/>
  <c r="Y70" i="2"/>
  <c r="AD70" i="2"/>
  <c r="AI70" i="2"/>
  <c r="Y71" i="2"/>
  <c r="AD71" i="2"/>
  <c r="AI71" i="2"/>
  <c r="Y72" i="2"/>
  <c r="AD72" i="2"/>
  <c r="AI72" i="2"/>
  <c r="Y73" i="2"/>
  <c r="AD73" i="2"/>
  <c r="AI73" i="2"/>
  <c r="Y74" i="2"/>
  <c r="AD74" i="2"/>
  <c r="AI74" i="2"/>
  <c r="Y75" i="2"/>
  <c r="AD75" i="2"/>
  <c r="AI75" i="2"/>
  <c r="Y76" i="2"/>
  <c r="AD76" i="2"/>
  <c r="AH64" i="2"/>
  <c r="AK64" i="2" s="1"/>
  <c r="X68" i="2"/>
  <c r="Y68" i="2" s="1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K59" i="2"/>
  <c r="I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59" i="2"/>
  <c r="F59" i="2"/>
  <c r="BX53" i="2"/>
  <c r="BV53" i="2"/>
  <c r="BW53" i="2" s="1"/>
  <c r="BS53" i="2"/>
  <c r="BQ53" i="2"/>
  <c r="BR53" i="2" s="1"/>
  <c r="BN53" i="2"/>
  <c r="BL53" i="2"/>
  <c r="BM53" i="2" s="1"/>
  <c r="BX52" i="2"/>
  <c r="BV52" i="2"/>
  <c r="BW52" i="2" s="1"/>
  <c r="BS52" i="2"/>
  <c r="BQ52" i="2"/>
  <c r="BR52" i="2" s="1"/>
  <c r="BN52" i="2"/>
  <c r="BL52" i="2"/>
  <c r="BM52" i="2" s="1"/>
  <c r="BX51" i="2"/>
  <c r="BV51" i="2"/>
  <c r="BW51" i="2" s="1"/>
  <c r="BS51" i="2"/>
  <c r="BQ51" i="2"/>
  <c r="BR51" i="2" s="1"/>
  <c r="BN51" i="2"/>
  <c r="BL51" i="2"/>
  <c r="BM51" i="2" s="1"/>
  <c r="BX50" i="2"/>
  <c r="BV50" i="2"/>
  <c r="BW50" i="2" s="1"/>
  <c r="BS50" i="2"/>
  <c r="BQ50" i="2"/>
  <c r="BR50" i="2" s="1"/>
  <c r="BN50" i="2"/>
  <c r="BL50" i="2"/>
  <c r="BM50" i="2" s="1"/>
  <c r="BX49" i="2"/>
  <c r="BV49" i="2"/>
  <c r="BW49" i="2" s="1"/>
  <c r="BS49" i="2"/>
  <c r="BQ49" i="2"/>
  <c r="BR49" i="2" s="1"/>
  <c r="BN49" i="2"/>
  <c r="BL49" i="2"/>
  <c r="BM49" i="2" s="1"/>
  <c r="BX48" i="2"/>
  <c r="BV48" i="2"/>
  <c r="BW48" i="2" s="1"/>
  <c r="BS48" i="2"/>
  <c r="BQ48" i="2"/>
  <c r="BR48" i="2" s="1"/>
  <c r="BN48" i="2"/>
  <c r="BL48" i="2"/>
  <c r="BM48" i="2" s="1"/>
  <c r="BX47" i="2"/>
  <c r="BV47" i="2"/>
  <c r="BW47" i="2" s="1"/>
  <c r="BS47" i="2"/>
  <c r="BQ47" i="2"/>
  <c r="BR47" i="2" s="1"/>
  <c r="BN47" i="2"/>
  <c r="BL47" i="2"/>
  <c r="BM47" i="2" s="1"/>
  <c r="BX46" i="2"/>
  <c r="BV46" i="2"/>
  <c r="BW46" i="2" s="1"/>
  <c r="BS46" i="2"/>
  <c r="BQ46" i="2"/>
  <c r="BR46" i="2" s="1"/>
  <c r="BN46" i="2"/>
  <c r="BL46" i="2"/>
  <c r="BM46" i="2" s="1"/>
  <c r="BX45" i="2"/>
  <c r="BV45" i="2"/>
  <c r="BQ45" i="2"/>
  <c r="BR45" i="2" s="1"/>
  <c r="BN45" i="2"/>
  <c r="BL45" i="2"/>
  <c r="BM45" i="2" s="1"/>
  <c r="BX44" i="2"/>
  <c r="BV44" i="2"/>
  <c r="BW44" i="2" s="1"/>
  <c r="BS44" i="2"/>
  <c r="BQ44" i="2"/>
  <c r="BR44" i="2" s="1"/>
  <c r="BN44" i="2"/>
  <c r="BL44" i="2"/>
  <c r="BM44" i="2" s="1"/>
  <c r="BX43" i="2"/>
  <c r="BV43" i="2"/>
  <c r="BW43" i="2" s="1"/>
  <c r="BS43" i="2"/>
  <c r="BQ43" i="2"/>
  <c r="BR43" i="2" s="1"/>
  <c r="BN43" i="2"/>
  <c r="BL43" i="2"/>
  <c r="BM43" i="2" s="1"/>
  <c r="BX42" i="2"/>
  <c r="BV42" i="2"/>
  <c r="BW42" i="2" s="1"/>
  <c r="BS42" i="2"/>
  <c r="BQ42" i="2"/>
  <c r="BR42" i="2" s="1"/>
  <c r="BN42" i="2"/>
  <c r="BL42" i="2"/>
  <c r="BM42" i="2" s="1"/>
  <c r="BX41" i="2"/>
  <c r="BS41" i="2"/>
  <c r="BQ41" i="2"/>
  <c r="BL41" i="2"/>
  <c r="BM41" i="2" s="1"/>
  <c r="BX40" i="2"/>
  <c r="BV40" i="2"/>
  <c r="BW40" i="2" s="1"/>
  <c r="BS40" i="2"/>
  <c r="BQ40" i="2"/>
  <c r="BR40" i="2" s="1"/>
  <c r="BN40" i="2"/>
  <c r="BL40" i="2"/>
  <c r="BM40" i="2" s="1"/>
  <c r="BX39" i="2"/>
  <c r="BV39" i="2"/>
  <c r="BW39" i="2" s="1"/>
  <c r="BS39" i="2"/>
  <c r="BQ39" i="2"/>
  <c r="BR39" i="2" s="1"/>
  <c r="BN39" i="2"/>
  <c r="BL39" i="2"/>
  <c r="BM39" i="2" s="1"/>
  <c r="BX38" i="2"/>
  <c r="BV38" i="2"/>
  <c r="BW38" i="2" s="1"/>
  <c r="BS38" i="2"/>
  <c r="BQ38" i="2"/>
  <c r="BR38" i="2" s="1"/>
  <c r="BN38" i="2"/>
  <c r="BL38" i="2"/>
  <c r="BM38" i="2" s="1"/>
  <c r="BX37" i="2"/>
  <c r="BV37" i="2"/>
  <c r="BW37" i="2" s="1"/>
  <c r="BS37" i="2"/>
  <c r="BQ37" i="2"/>
  <c r="BR37" i="2" s="1"/>
  <c r="BN37" i="2"/>
  <c r="BL37" i="2"/>
  <c r="BM37" i="2" s="1"/>
  <c r="BX36" i="2"/>
  <c r="BV36" i="2"/>
  <c r="BW36" i="2" s="1"/>
  <c r="BS36" i="2"/>
  <c r="BQ36" i="2"/>
  <c r="BR36" i="2" s="1"/>
  <c r="BN36" i="2"/>
  <c r="BL36" i="2"/>
  <c r="BM36" i="2" s="1"/>
  <c r="BD53" i="2"/>
  <c r="BB53" i="2"/>
  <c r="BC53" i="2" s="1"/>
  <c r="AY53" i="2"/>
  <c r="AW53" i="2"/>
  <c r="AX53" i="2" s="1"/>
  <c r="AT53" i="2"/>
  <c r="AR53" i="2"/>
  <c r="AS53" i="2" s="1"/>
  <c r="BD52" i="2"/>
  <c r="BB52" i="2"/>
  <c r="BC52" i="2" s="1"/>
  <c r="AY52" i="2"/>
  <c r="AW52" i="2"/>
  <c r="AX52" i="2" s="1"/>
  <c r="AT52" i="2"/>
  <c r="AR52" i="2"/>
  <c r="AS52" i="2" s="1"/>
  <c r="BD51" i="2"/>
  <c r="BB51" i="2"/>
  <c r="BC51" i="2" s="1"/>
  <c r="AY51" i="2"/>
  <c r="AW51" i="2"/>
  <c r="AX51" i="2" s="1"/>
  <c r="AT51" i="2"/>
  <c r="AR51" i="2"/>
  <c r="AS51" i="2" s="1"/>
  <c r="BD50" i="2"/>
  <c r="BB50" i="2"/>
  <c r="BC50" i="2" s="1"/>
  <c r="AY50" i="2"/>
  <c r="AW50" i="2"/>
  <c r="AX50" i="2" s="1"/>
  <c r="AT50" i="2"/>
  <c r="AR50" i="2"/>
  <c r="AS50" i="2" s="1"/>
  <c r="BD49" i="2"/>
  <c r="BB49" i="2"/>
  <c r="BC49" i="2" s="1"/>
  <c r="AY49" i="2"/>
  <c r="AW49" i="2"/>
  <c r="AX49" i="2" s="1"/>
  <c r="AT49" i="2"/>
  <c r="AR49" i="2"/>
  <c r="AS49" i="2" s="1"/>
  <c r="BD48" i="2"/>
  <c r="BB48" i="2"/>
  <c r="BC48" i="2" s="1"/>
  <c r="AY48" i="2"/>
  <c r="AW48" i="2"/>
  <c r="AX48" i="2" s="1"/>
  <c r="AT48" i="2"/>
  <c r="AR48" i="2"/>
  <c r="AS48" i="2" s="1"/>
  <c r="BD47" i="2"/>
  <c r="BB47" i="2"/>
  <c r="BC47" i="2" s="1"/>
  <c r="AY47" i="2"/>
  <c r="AW47" i="2"/>
  <c r="AX47" i="2" s="1"/>
  <c r="AT47" i="2"/>
  <c r="AR47" i="2"/>
  <c r="AS47" i="2" s="1"/>
  <c r="BD46" i="2"/>
  <c r="BB46" i="2"/>
  <c r="BC46" i="2" s="1"/>
  <c r="AY46" i="2"/>
  <c r="AW46" i="2"/>
  <c r="AX46" i="2" s="1"/>
  <c r="AT46" i="2"/>
  <c r="AR46" i="2"/>
  <c r="AS46" i="2" s="1"/>
  <c r="BD45" i="2"/>
  <c r="BB45" i="2"/>
  <c r="BC45" i="2" s="1"/>
  <c r="AY45" i="2"/>
  <c r="AW45" i="2"/>
  <c r="AX45" i="2" s="1"/>
  <c r="AT45" i="2"/>
  <c r="BD44" i="2"/>
  <c r="BB44" i="2"/>
  <c r="BC44" i="2" s="1"/>
  <c r="AY44" i="2"/>
  <c r="AW44" i="2"/>
  <c r="AX44" i="2" s="1"/>
  <c r="AT44" i="2"/>
  <c r="AR44" i="2"/>
  <c r="AS44" i="2" s="1"/>
  <c r="BD43" i="2"/>
  <c r="BB43" i="2"/>
  <c r="BC43" i="2" s="1"/>
  <c r="AY43" i="2"/>
  <c r="AW43" i="2"/>
  <c r="AX43" i="2" s="1"/>
  <c r="AT43" i="2"/>
  <c r="AR43" i="2"/>
  <c r="AS43" i="2" s="1"/>
  <c r="BD42" i="2"/>
  <c r="BB42" i="2"/>
  <c r="BC42" i="2" s="1"/>
  <c r="AY42" i="2"/>
  <c r="AW42" i="2"/>
  <c r="AX42" i="2" s="1"/>
  <c r="AT42" i="2"/>
  <c r="AR42" i="2"/>
  <c r="AS42" i="2" s="1"/>
  <c r="BD41" i="2"/>
  <c r="AY41" i="2"/>
  <c r="AW41" i="2"/>
  <c r="AX41" i="2" s="1"/>
  <c r="AT41" i="2"/>
  <c r="AR41" i="2"/>
  <c r="AS41" i="2" s="1"/>
  <c r="BD40" i="2"/>
  <c r="BB40" i="2"/>
  <c r="BC40" i="2" s="1"/>
  <c r="AY40" i="2"/>
  <c r="AW40" i="2"/>
  <c r="AX40" i="2" s="1"/>
  <c r="AT40" i="2"/>
  <c r="AR40" i="2"/>
  <c r="AS40" i="2" s="1"/>
  <c r="BD39" i="2"/>
  <c r="BB39" i="2"/>
  <c r="BC39" i="2" s="1"/>
  <c r="AY39" i="2"/>
  <c r="AW39" i="2"/>
  <c r="AX39" i="2" s="1"/>
  <c r="AT39" i="2"/>
  <c r="AR39" i="2"/>
  <c r="AS39" i="2" s="1"/>
  <c r="BD38" i="2"/>
  <c r="BB38" i="2"/>
  <c r="BC38" i="2" s="1"/>
  <c r="AY38" i="2"/>
  <c r="AW38" i="2"/>
  <c r="AX38" i="2" s="1"/>
  <c r="AT38" i="2"/>
  <c r="AR38" i="2"/>
  <c r="AS38" i="2" s="1"/>
  <c r="BD37" i="2"/>
  <c r="BB37" i="2"/>
  <c r="BC37" i="2" s="1"/>
  <c r="AY37" i="2"/>
  <c r="AW37" i="2"/>
  <c r="AX37" i="2" s="1"/>
  <c r="AT37" i="2"/>
  <c r="AR37" i="2"/>
  <c r="AS37" i="2" s="1"/>
  <c r="BD36" i="2"/>
  <c r="BB36" i="2"/>
  <c r="BC36" i="2" s="1"/>
  <c r="AY36" i="2"/>
  <c r="AW36" i="2"/>
  <c r="AX36" i="2" s="1"/>
  <c r="AT36" i="2"/>
  <c r="AR36" i="2"/>
  <c r="AS36" i="2" s="1"/>
  <c r="AJ53" i="2"/>
  <c r="AH53" i="2"/>
  <c r="AI53" i="2" s="1"/>
  <c r="AE53" i="2"/>
  <c r="AC53" i="2"/>
  <c r="AD53" i="2" s="1"/>
  <c r="Z53" i="2"/>
  <c r="X53" i="2"/>
  <c r="Y53" i="2" s="1"/>
  <c r="AJ52" i="2"/>
  <c r="AH52" i="2"/>
  <c r="AI52" i="2" s="1"/>
  <c r="AE52" i="2"/>
  <c r="AC52" i="2"/>
  <c r="AD52" i="2" s="1"/>
  <c r="Z52" i="2"/>
  <c r="X52" i="2"/>
  <c r="Y52" i="2" s="1"/>
  <c r="AJ51" i="2"/>
  <c r="AH51" i="2"/>
  <c r="AI51" i="2" s="1"/>
  <c r="AE51" i="2"/>
  <c r="AC51" i="2"/>
  <c r="AD51" i="2" s="1"/>
  <c r="Z51" i="2"/>
  <c r="X51" i="2"/>
  <c r="Y51" i="2" s="1"/>
  <c r="AJ50" i="2"/>
  <c r="AH50" i="2"/>
  <c r="AI50" i="2" s="1"/>
  <c r="AE50" i="2"/>
  <c r="AC50" i="2"/>
  <c r="AD50" i="2" s="1"/>
  <c r="Z50" i="2"/>
  <c r="X50" i="2"/>
  <c r="Y50" i="2" s="1"/>
  <c r="AJ49" i="2"/>
  <c r="AH49" i="2"/>
  <c r="AI49" i="2" s="1"/>
  <c r="AE49" i="2"/>
  <c r="AC49" i="2"/>
  <c r="AD49" i="2" s="1"/>
  <c r="Z49" i="2"/>
  <c r="X49" i="2"/>
  <c r="Y49" i="2" s="1"/>
  <c r="AJ48" i="2"/>
  <c r="AH48" i="2"/>
  <c r="AI48" i="2" s="1"/>
  <c r="AE48" i="2"/>
  <c r="AC48" i="2"/>
  <c r="AD48" i="2" s="1"/>
  <c r="Z48" i="2"/>
  <c r="X48" i="2"/>
  <c r="Y48" i="2" s="1"/>
  <c r="AJ47" i="2"/>
  <c r="AH47" i="2"/>
  <c r="AI47" i="2" s="1"/>
  <c r="AE47" i="2"/>
  <c r="AC47" i="2"/>
  <c r="AD47" i="2" s="1"/>
  <c r="Z47" i="2"/>
  <c r="X47" i="2"/>
  <c r="Y47" i="2" s="1"/>
  <c r="AJ46" i="2"/>
  <c r="AH46" i="2"/>
  <c r="AI46" i="2" s="1"/>
  <c r="AE46" i="2"/>
  <c r="AC46" i="2"/>
  <c r="AD46" i="2" s="1"/>
  <c r="Z46" i="2"/>
  <c r="X46" i="2"/>
  <c r="Y46" i="2" s="1"/>
  <c r="AJ45" i="2"/>
  <c r="AH45" i="2"/>
  <c r="AC45" i="2"/>
  <c r="Z45" i="2"/>
  <c r="X45" i="2"/>
  <c r="Y45" i="2" s="1"/>
  <c r="AJ44" i="2"/>
  <c r="AH44" i="2"/>
  <c r="AI44" i="2" s="1"/>
  <c r="AE44" i="2"/>
  <c r="AC44" i="2"/>
  <c r="AD44" i="2" s="1"/>
  <c r="Z44" i="2"/>
  <c r="X44" i="2"/>
  <c r="Y44" i="2" s="1"/>
  <c r="AJ43" i="2"/>
  <c r="AH43" i="2"/>
  <c r="AI43" i="2" s="1"/>
  <c r="AE43" i="2"/>
  <c r="AC43" i="2"/>
  <c r="AD43" i="2" s="1"/>
  <c r="Z43" i="2"/>
  <c r="X43" i="2"/>
  <c r="Y43" i="2" s="1"/>
  <c r="AJ42" i="2"/>
  <c r="AH42" i="2"/>
  <c r="AI42" i="2" s="1"/>
  <c r="AE42" i="2"/>
  <c r="AC42" i="2"/>
  <c r="AD42" i="2" s="1"/>
  <c r="Z42" i="2"/>
  <c r="X42" i="2"/>
  <c r="Y42" i="2" s="1"/>
  <c r="AJ41" i="2"/>
  <c r="AE41" i="2"/>
  <c r="AC41" i="2"/>
  <c r="X41" i="2"/>
  <c r="AJ40" i="2"/>
  <c r="AH40" i="2"/>
  <c r="AI40" i="2" s="1"/>
  <c r="AE40" i="2"/>
  <c r="AC40" i="2"/>
  <c r="AD40" i="2" s="1"/>
  <c r="Z40" i="2"/>
  <c r="X40" i="2"/>
  <c r="Y40" i="2" s="1"/>
  <c r="AJ39" i="2"/>
  <c r="AH39" i="2"/>
  <c r="AI39" i="2" s="1"/>
  <c r="AE39" i="2"/>
  <c r="AC39" i="2"/>
  <c r="AD39" i="2" s="1"/>
  <c r="Z39" i="2"/>
  <c r="X39" i="2"/>
  <c r="Y39" i="2" s="1"/>
  <c r="AJ38" i="2"/>
  <c r="AH38" i="2"/>
  <c r="AI38" i="2" s="1"/>
  <c r="AE38" i="2"/>
  <c r="AC38" i="2"/>
  <c r="AD38" i="2" s="1"/>
  <c r="Z38" i="2"/>
  <c r="X38" i="2"/>
  <c r="Y38" i="2" s="1"/>
  <c r="AJ37" i="2"/>
  <c r="AH37" i="2"/>
  <c r="AI37" i="2" s="1"/>
  <c r="AE37" i="2"/>
  <c r="AC37" i="2"/>
  <c r="AD37" i="2" s="1"/>
  <c r="Z37" i="2"/>
  <c r="X37" i="2"/>
  <c r="Y37" i="2" s="1"/>
  <c r="AJ36" i="2"/>
  <c r="AH36" i="2"/>
  <c r="AI36" i="2" s="1"/>
  <c r="AE36" i="2"/>
  <c r="AC36" i="2"/>
  <c r="AD36" i="2" s="1"/>
  <c r="Z36" i="2"/>
  <c r="X36" i="2"/>
  <c r="Y36" i="2" s="1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P36" i="2"/>
  <c r="N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36" i="2"/>
  <c r="I11" i="2"/>
  <c r="D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BX30" i="2"/>
  <c r="BV30" i="2"/>
  <c r="BW30" i="2" s="1"/>
  <c r="BS30" i="2"/>
  <c r="BQ30" i="2"/>
  <c r="BR30" i="2" s="1"/>
  <c r="BN30" i="2"/>
  <c r="BL30" i="2"/>
  <c r="BM30" i="2" s="1"/>
  <c r="BX29" i="2"/>
  <c r="BV29" i="2"/>
  <c r="BW29" i="2" s="1"/>
  <c r="BS29" i="2"/>
  <c r="BQ29" i="2"/>
  <c r="BR29" i="2" s="1"/>
  <c r="BN29" i="2"/>
  <c r="BL29" i="2"/>
  <c r="BM29" i="2" s="1"/>
  <c r="BX28" i="2"/>
  <c r="BV28" i="2"/>
  <c r="BW28" i="2" s="1"/>
  <c r="BS28" i="2"/>
  <c r="BQ28" i="2"/>
  <c r="BR28" i="2" s="1"/>
  <c r="BN28" i="2"/>
  <c r="BL28" i="2"/>
  <c r="BM28" i="2" s="1"/>
  <c r="BX27" i="2"/>
  <c r="BV27" i="2"/>
  <c r="BW27" i="2" s="1"/>
  <c r="BS27" i="2"/>
  <c r="BQ27" i="2"/>
  <c r="BR27" i="2" s="1"/>
  <c r="BN27" i="2"/>
  <c r="BL27" i="2"/>
  <c r="BM27" i="2" s="1"/>
  <c r="BX26" i="2"/>
  <c r="BV26" i="2"/>
  <c r="BW26" i="2" s="1"/>
  <c r="BS26" i="2"/>
  <c r="BQ26" i="2"/>
  <c r="BR26" i="2" s="1"/>
  <c r="BN26" i="2"/>
  <c r="BL26" i="2"/>
  <c r="BM26" i="2" s="1"/>
  <c r="BX25" i="2"/>
  <c r="BV25" i="2"/>
  <c r="BW25" i="2" s="1"/>
  <c r="BS25" i="2"/>
  <c r="BQ25" i="2"/>
  <c r="BR25" i="2" s="1"/>
  <c r="BN25" i="2"/>
  <c r="BL25" i="2"/>
  <c r="BM25" i="2" s="1"/>
  <c r="BX24" i="2"/>
  <c r="BV24" i="2"/>
  <c r="BW24" i="2" s="1"/>
  <c r="BS24" i="2"/>
  <c r="BQ24" i="2"/>
  <c r="BR24" i="2" s="1"/>
  <c r="BN24" i="2"/>
  <c r="BL24" i="2"/>
  <c r="BM24" i="2" s="1"/>
  <c r="BX23" i="2"/>
  <c r="BV23" i="2"/>
  <c r="BW23" i="2" s="1"/>
  <c r="BS23" i="2"/>
  <c r="BQ23" i="2"/>
  <c r="BR23" i="2" s="1"/>
  <c r="BN23" i="2"/>
  <c r="BL23" i="2"/>
  <c r="BM23" i="2" s="1"/>
  <c r="BX22" i="2"/>
  <c r="BV22" i="2"/>
  <c r="BW22" i="2" s="1"/>
  <c r="BS22" i="2"/>
  <c r="BQ22" i="2"/>
  <c r="BR22" i="2" s="1"/>
  <c r="BN22" i="2"/>
  <c r="BL22" i="2"/>
  <c r="BM22" i="2" s="1"/>
  <c r="BX21" i="2"/>
  <c r="BV21" i="2"/>
  <c r="BW21" i="2" s="1"/>
  <c r="BS21" i="2"/>
  <c r="BQ21" i="2"/>
  <c r="BR21" i="2" s="1"/>
  <c r="BN21" i="2"/>
  <c r="BL21" i="2"/>
  <c r="BM21" i="2" s="1"/>
  <c r="BX20" i="2"/>
  <c r="BV20" i="2"/>
  <c r="BQ20" i="2"/>
  <c r="BR20" i="2" s="1"/>
  <c r="BN20" i="2"/>
  <c r="BL20" i="2"/>
  <c r="BM20" i="2" s="1"/>
  <c r="BX19" i="2"/>
  <c r="BV19" i="2"/>
  <c r="BW19" i="2" s="1"/>
  <c r="BS19" i="2"/>
  <c r="BQ19" i="2"/>
  <c r="BR19" i="2" s="1"/>
  <c r="BN19" i="2"/>
  <c r="BL19" i="2"/>
  <c r="BM19" i="2" s="1"/>
  <c r="BX18" i="2"/>
  <c r="BV18" i="2"/>
  <c r="BW18" i="2" s="1"/>
  <c r="BS18" i="2"/>
  <c r="BQ18" i="2"/>
  <c r="BR18" i="2" s="1"/>
  <c r="BN18" i="2"/>
  <c r="BL18" i="2"/>
  <c r="BM18" i="2" s="1"/>
  <c r="BX17" i="2"/>
  <c r="BV17" i="2"/>
  <c r="BW17" i="2" s="1"/>
  <c r="BS17" i="2"/>
  <c r="BQ17" i="2"/>
  <c r="BR17" i="2" s="1"/>
  <c r="BN17" i="2"/>
  <c r="BL17" i="2"/>
  <c r="BM17" i="2" s="1"/>
  <c r="BX16" i="2"/>
  <c r="BS16" i="2"/>
  <c r="BQ16" i="2"/>
  <c r="BL16" i="2"/>
  <c r="BM16" i="2" s="1"/>
  <c r="BX15" i="2"/>
  <c r="BV15" i="2"/>
  <c r="BW15" i="2" s="1"/>
  <c r="BS15" i="2"/>
  <c r="BQ15" i="2"/>
  <c r="BR15" i="2" s="1"/>
  <c r="BN15" i="2"/>
  <c r="BL15" i="2"/>
  <c r="BM15" i="2" s="1"/>
  <c r="BX14" i="2"/>
  <c r="BV14" i="2"/>
  <c r="BW14" i="2" s="1"/>
  <c r="BS14" i="2"/>
  <c r="BQ14" i="2"/>
  <c r="BR14" i="2" s="1"/>
  <c r="BN14" i="2"/>
  <c r="BL14" i="2"/>
  <c r="BM14" i="2" s="1"/>
  <c r="BX13" i="2"/>
  <c r="BV13" i="2"/>
  <c r="BW13" i="2" s="1"/>
  <c r="BS13" i="2"/>
  <c r="BQ13" i="2"/>
  <c r="BR13" i="2" s="1"/>
  <c r="BN13" i="2"/>
  <c r="BL13" i="2"/>
  <c r="BM13" i="2" s="1"/>
  <c r="BX12" i="2"/>
  <c r="BV12" i="2"/>
  <c r="BW12" i="2" s="1"/>
  <c r="BS12" i="2"/>
  <c r="BQ12" i="2"/>
  <c r="BR12" i="2" s="1"/>
  <c r="BN12" i="2"/>
  <c r="BL12" i="2"/>
  <c r="BM12" i="2" s="1"/>
  <c r="BX11" i="2"/>
  <c r="BV11" i="2"/>
  <c r="BW11" i="2" s="1"/>
  <c r="BS11" i="2"/>
  <c r="BQ11" i="2"/>
  <c r="BR11" i="2" s="1"/>
  <c r="BN11" i="2"/>
  <c r="BL11" i="2"/>
  <c r="BM11" i="2" s="1"/>
  <c r="BD30" i="2"/>
  <c r="BB30" i="2"/>
  <c r="BC30" i="2" s="1"/>
  <c r="AY30" i="2"/>
  <c r="AW30" i="2"/>
  <c r="AX30" i="2" s="1"/>
  <c r="AT30" i="2"/>
  <c r="AR30" i="2"/>
  <c r="AS30" i="2" s="1"/>
  <c r="BD29" i="2"/>
  <c r="BB29" i="2"/>
  <c r="BC29" i="2" s="1"/>
  <c r="AY29" i="2"/>
  <c r="AW29" i="2"/>
  <c r="AX29" i="2" s="1"/>
  <c r="AT29" i="2"/>
  <c r="AR29" i="2"/>
  <c r="AS29" i="2" s="1"/>
  <c r="BD28" i="2"/>
  <c r="BB28" i="2"/>
  <c r="BC28" i="2" s="1"/>
  <c r="AY28" i="2"/>
  <c r="AW28" i="2"/>
  <c r="AX28" i="2" s="1"/>
  <c r="AT28" i="2"/>
  <c r="AR28" i="2"/>
  <c r="AS28" i="2" s="1"/>
  <c r="BD27" i="2"/>
  <c r="BB27" i="2"/>
  <c r="BC27" i="2" s="1"/>
  <c r="AY27" i="2"/>
  <c r="AW27" i="2"/>
  <c r="AX27" i="2" s="1"/>
  <c r="AT27" i="2"/>
  <c r="AR27" i="2"/>
  <c r="AS27" i="2" s="1"/>
  <c r="BD26" i="2"/>
  <c r="BB26" i="2"/>
  <c r="BC26" i="2" s="1"/>
  <c r="AY26" i="2"/>
  <c r="AW26" i="2"/>
  <c r="AX26" i="2" s="1"/>
  <c r="AT26" i="2"/>
  <c r="AR26" i="2"/>
  <c r="AS26" i="2" s="1"/>
  <c r="BD25" i="2"/>
  <c r="BB25" i="2"/>
  <c r="BC25" i="2" s="1"/>
  <c r="AY25" i="2"/>
  <c r="AW25" i="2"/>
  <c r="AX25" i="2" s="1"/>
  <c r="AT25" i="2"/>
  <c r="AR25" i="2"/>
  <c r="AS25" i="2" s="1"/>
  <c r="BD24" i="2"/>
  <c r="BB24" i="2"/>
  <c r="BC24" i="2" s="1"/>
  <c r="AY24" i="2"/>
  <c r="AW24" i="2"/>
  <c r="AX24" i="2" s="1"/>
  <c r="AT24" i="2"/>
  <c r="AR24" i="2"/>
  <c r="AS24" i="2" s="1"/>
  <c r="BD23" i="2"/>
  <c r="BB23" i="2"/>
  <c r="BC23" i="2" s="1"/>
  <c r="AY23" i="2"/>
  <c r="AW23" i="2"/>
  <c r="AX23" i="2" s="1"/>
  <c r="AT23" i="2"/>
  <c r="AR23" i="2"/>
  <c r="AS23" i="2" s="1"/>
  <c r="BD22" i="2"/>
  <c r="BB22" i="2"/>
  <c r="BC22" i="2" s="1"/>
  <c r="AY22" i="2"/>
  <c r="AW22" i="2"/>
  <c r="AX22" i="2" s="1"/>
  <c r="AT22" i="2"/>
  <c r="AR22" i="2"/>
  <c r="AS22" i="2" s="1"/>
  <c r="BD21" i="2"/>
  <c r="BB21" i="2"/>
  <c r="BC21" i="2" s="1"/>
  <c r="AY21" i="2"/>
  <c r="AW21" i="2"/>
  <c r="AX21" i="2" s="1"/>
  <c r="AT21" i="2"/>
  <c r="AR21" i="2"/>
  <c r="AS21" i="2" s="1"/>
  <c r="BD20" i="2"/>
  <c r="BB20" i="2"/>
  <c r="AW20" i="2"/>
  <c r="AX20" i="2" s="1"/>
  <c r="AT20" i="2"/>
  <c r="AR20" i="2"/>
  <c r="AS20" i="2" s="1"/>
  <c r="BD19" i="2"/>
  <c r="BB19" i="2"/>
  <c r="BC19" i="2" s="1"/>
  <c r="AY19" i="2"/>
  <c r="AW19" i="2"/>
  <c r="AX19" i="2" s="1"/>
  <c r="AT19" i="2"/>
  <c r="AR19" i="2"/>
  <c r="AS19" i="2" s="1"/>
  <c r="BD18" i="2"/>
  <c r="BB18" i="2"/>
  <c r="BC18" i="2" s="1"/>
  <c r="AY18" i="2"/>
  <c r="AW18" i="2"/>
  <c r="AX18" i="2" s="1"/>
  <c r="AT18" i="2"/>
  <c r="AR18" i="2"/>
  <c r="AS18" i="2" s="1"/>
  <c r="BD17" i="2"/>
  <c r="BB17" i="2"/>
  <c r="BC17" i="2" s="1"/>
  <c r="AY17" i="2"/>
  <c r="AW17" i="2"/>
  <c r="AX17" i="2" s="1"/>
  <c r="AT17" i="2"/>
  <c r="AR17" i="2"/>
  <c r="AS17" i="2" s="1"/>
  <c r="BD16" i="2"/>
  <c r="AY16" i="2"/>
  <c r="AW16" i="2"/>
  <c r="AR16" i="2"/>
  <c r="AS16" i="2" s="1"/>
  <c r="BD15" i="2"/>
  <c r="BB15" i="2"/>
  <c r="BC15" i="2" s="1"/>
  <c r="AY15" i="2"/>
  <c r="AW15" i="2"/>
  <c r="AX15" i="2" s="1"/>
  <c r="AT15" i="2"/>
  <c r="AR15" i="2"/>
  <c r="AS15" i="2" s="1"/>
  <c r="BD14" i="2"/>
  <c r="BB14" i="2"/>
  <c r="BC14" i="2" s="1"/>
  <c r="AY14" i="2"/>
  <c r="AW14" i="2"/>
  <c r="AX14" i="2" s="1"/>
  <c r="AT14" i="2"/>
  <c r="AR14" i="2"/>
  <c r="AS14" i="2" s="1"/>
  <c r="BD13" i="2"/>
  <c r="BB13" i="2"/>
  <c r="BC13" i="2" s="1"/>
  <c r="AY13" i="2"/>
  <c r="AW13" i="2"/>
  <c r="AX13" i="2" s="1"/>
  <c r="AT13" i="2"/>
  <c r="AR13" i="2"/>
  <c r="AS13" i="2" s="1"/>
  <c r="BD12" i="2"/>
  <c r="BB12" i="2"/>
  <c r="BC12" i="2" s="1"/>
  <c r="AY12" i="2"/>
  <c r="AW12" i="2"/>
  <c r="AX12" i="2" s="1"/>
  <c r="AT12" i="2"/>
  <c r="AR12" i="2"/>
  <c r="AS12" i="2" s="1"/>
  <c r="BD11" i="2"/>
  <c r="BB11" i="2"/>
  <c r="BC11" i="2" s="1"/>
  <c r="AY11" i="2"/>
  <c r="AW11" i="2"/>
  <c r="AX11" i="2" s="1"/>
  <c r="AT11" i="2"/>
  <c r="AR11" i="2"/>
  <c r="AS11" i="2" s="1"/>
  <c r="AJ30" i="2"/>
  <c r="AH30" i="2"/>
  <c r="AI30" i="2" s="1"/>
  <c r="AE30" i="2"/>
  <c r="AC30" i="2"/>
  <c r="Z30" i="2"/>
  <c r="X30" i="2"/>
  <c r="AJ29" i="2"/>
  <c r="AH29" i="2"/>
  <c r="AI29" i="2" s="1"/>
  <c r="AE29" i="2"/>
  <c r="AC29" i="2"/>
  <c r="Z29" i="2"/>
  <c r="X29" i="2"/>
  <c r="Y29" i="2" s="1"/>
  <c r="AJ28" i="2"/>
  <c r="AH28" i="2"/>
  <c r="AE28" i="2"/>
  <c r="AC28" i="2"/>
  <c r="AD28" i="2" s="1"/>
  <c r="Z28" i="2"/>
  <c r="X28" i="2"/>
  <c r="AJ27" i="2"/>
  <c r="AH27" i="2"/>
  <c r="AE27" i="2"/>
  <c r="AC27" i="2"/>
  <c r="Z27" i="2"/>
  <c r="X27" i="2"/>
  <c r="Y27" i="2" s="1"/>
  <c r="AJ26" i="2"/>
  <c r="AH26" i="2"/>
  <c r="AE26" i="2"/>
  <c r="AC26" i="2"/>
  <c r="AD26" i="2" s="1"/>
  <c r="Z26" i="2"/>
  <c r="X26" i="2"/>
  <c r="AJ25" i="2"/>
  <c r="AH25" i="2"/>
  <c r="AI25" i="2" s="1"/>
  <c r="AE25" i="2"/>
  <c r="AC25" i="2"/>
  <c r="Z25" i="2"/>
  <c r="X25" i="2"/>
  <c r="AJ24" i="2"/>
  <c r="AH24" i="2"/>
  <c r="AE24" i="2"/>
  <c r="AC24" i="2"/>
  <c r="AD24" i="2" s="1"/>
  <c r="Z24" i="2"/>
  <c r="X24" i="2"/>
  <c r="AJ23" i="2"/>
  <c r="AH23" i="2"/>
  <c r="AI23" i="2" s="1"/>
  <c r="AE23" i="2"/>
  <c r="AC23" i="2"/>
  <c r="Z23" i="2"/>
  <c r="X23" i="2"/>
  <c r="Y23" i="2" s="1"/>
  <c r="AJ22" i="2"/>
  <c r="AH22" i="2"/>
  <c r="AE22" i="2"/>
  <c r="AC22" i="2"/>
  <c r="Z22" i="2"/>
  <c r="X22" i="2"/>
  <c r="AJ21" i="2"/>
  <c r="AH21" i="2"/>
  <c r="AI21" i="2" s="1"/>
  <c r="AE21" i="2"/>
  <c r="AC21" i="2"/>
  <c r="Z21" i="2"/>
  <c r="X21" i="2"/>
  <c r="AH20" i="2"/>
  <c r="AI20" i="2" s="1"/>
  <c r="AJ20" i="2"/>
  <c r="AE20" i="2"/>
  <c r="AC20" i="2"/>
  <c r="Z20" i="2"/>
  <c r="AJ19" i="2"/>
  <c r="AH19" i="2"/>
  <c r="AI19" i="2" s="1"/>
  <c r="AE19" i="2"/>
  <c r="AC19" i="2"/>
  <c r="AD19" i="2" s="1"/>
  <c r="Z19" i="2"/>
  <c r="X19" i="2"/>
  <c r="Y19" i="2" s="1"/>
  <c r="AJ18" i="2"/>
  <c r="AH18" i="2"/>
  <c r="AI18" i="2" s="1"/>
  <c r="AE18" i="2"/>
  <c r="AC18" i="2"/>
  <c r="AD18" i="2" s="1"/>
  <c r="Z18" i="2"/>
  <c r="X18" i="2"/>
  <c r="Y18" i="2" s="1"/>
  <c r="AJ17" i="2"/>
  <c r="AH17" i="2"/>
  <c r="AI17" i="2" s="1"/>
  <c r="AE17" i="2"/>
  <c r="AC17" i="2"/>
  <c r="AD17" i="2" s="1"/>
  <c r="Z17" i="2"/>
  <c r="X17" i="2"/>
  <c r="Y17" i="2" s="1"/>
  <c r="AJ16" i="2"/>
  <c r="AE16" i="2"/>
  <c r="AC16" i="2"/>
  <c r="AD16" i="2" s="1"/>
  <c r="Z16" i="2"/>
  <c r="X16" i="2"/>
  <c r="Y16" i="2" s="1"/>
  <c r="AJ15" i="2"/>
  <c r="AH15" i="2"/>
  <c r="AI15" i="2" s="1"/>
  <c r="AE15" i="2"/>
  <c r="AC15" i="2"/>
  <c r="AD15" i="2" s="1"/>
  <c r="Z15" i="2"/>
  <c r="X15" i="2"/>
  <c r="Y15" i="2" s="1"/>
  <c r="AJ14" i="2"/>
  <c r="AH14" i="2"/>
  <c r="AI14" i="2" s="1"/>
  <c r="AE14" i="2"/>
  <c r="AC14" i="2"/>
  <c r="AD14" i="2" s="1"/>
  <c r="Z14" i="2"/>
  <c r="X14" i="2"/>
  <c r="Y14" i="2" s="1"/>
  <c r="AJ13" i="2"/>
  <c r="AH13" i="2"/>
  <c r="AI13" i="2" s="1"/>
  <c r="AE13" i="2"/>
  <c r="AC13" i="2"/>
  <c r="AD13" i="2" s="1"/>
  <c r="Z13" i="2"/>
  <c r="X13" i="2"/>
  <c r="Y13" i="2" s="1"/>
  <c r="AJ12" i="2"/>
  <c r="AH12" i="2"/>
  <c r="AI12" i="2" s="1"/>
  <c r="AE12" i="2"/>
  <c r="AC12" i="2"/>
  <c r="AD12" i="2" s="1"/>
  <c r="Z12" i="2"/>
  <c r="X12" i="2"/>
  <c r="Y12" i="2" s="1"/>
  <c r="AJ11" i="2"/>
  <c r="AH11" i="2"/>
  <c r="AI11" i="2" s="1"/>
  <c r="AE11" i="2"/>
  <c r="AC11" i="2"/>
  <c r="AD11" i="2" s="1"/>
  <c r="Z11" i="2"/>
  <c r="X11" i="2"/>
  <c r="Y11" i="2" s="1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1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AC3" i="1"/>
  <c r="AD3" i="1" s="1"/>
  <c r="AC4" i="1"/>
  <c r="AD4" i="1" s="1"/>
  <c r="AC5" i="1"/>
  <c r="AD5" i="1" s="1"/>
  <c r="AC6" i="1"/>
  <c r="AD6" i="1" s="1"/>
  <c r="AC7" i="1"/>
  <c r="AD7" i="1" s="1"/>
  <c r="AC8" i="1"/>
  <c r="AD8" i="1" s="1"/>
  <c r="AC9" i="1"/>
  <c r="AD9" i="1" s="1"/>
  <c r="AC10" i="1"/>
  <c r="AD10" i="1" s="1"/>
  <c r="AC11" i="1"/>
  <c r="AD11" i="1" s="1"/>
  <c r="AC12" i="1"/>
  <c r="AD12" i="1" s="1"/>
  <c r="AC13" i="1"/>
  <c r="AD13" i="1" s="1"/>
  <c r="AC14" i="1"/>
  <c r="AD14" i="1" s="1"/>
  <c r="AC15" i="1"/>
  <c r="AD15" i="1" s="1"/>
  <c r="AC16" i="1"/>
  <c r="AD16" i="1" s="1"/>
  <c r="AC17" i="1"/>
  <c r="AD17" i="1" s="1"/>
  <c r="AC18" i="1"/>
  <c r="AD18" i="1" s="1"/>
  <c r="AC19" i="1"/>
  <c r="AD19" i="1" s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2" i="1"/>
  <c r="AD2" i="1" s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2" i="1"/>
  <c r="W2" i="1" s="1"/>
  <c r="P3" i="1"/>
  <c r="Q3" i="1" s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" i="1"/>
  <c r="Q2" i="1" s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192" i="1"/>
  <c r="K192" i="1" s="1"/>
  <c r="J193" i="1"/>
  <c r="K193" i="1" s="1"/>
  <c r="J194" i="1"/>
  <c r="K194" i="1" s="1"/>
  <c r="J195" i="1"/>
  <c r="K195" i="1" s="1"/>
  <c r="J196" i="1"/>
  <c r="K196" i="1" s="1"/>
  <c r="J197" i="1"/>
  <c r="K197" i="1" s="1"/>
  <c r="J198" i="1"/>
  <c r="K198" i="1" s="1"/>
  <c r="J199" i="1"/>
  <c r="K199" i="1" s="1"/>
  <c r="J200" i="1"/>
  <c r="K200" i="1" s="1"/>
  <c r="J201" i="1"/>
  <c r="K201" i="1" s="1"/>
  <c r="J202" i="1"/>
  <c r="K202" i="1" s="1"/>
  <c r="J203" i="1"/>
  <c r="K203" i="1" s="1"/>
  <c r="J204" i="1"/>
  <c r="K204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1" i="1"/>
  <c r="K211" i="1" s="1"/>
  <c r="J212" i="1"/>
  <c r="K212" i="1" s="1"/>
  <c r="J213" i="1"/>
  <c r="K213" i="1" s="1"/>
  <c r="J214" i="1"/>
  <c r="K214" i="1" s="1"/>
  <c r="J215" i="1"/>
  <c r="K215" i="1" s="1"/>
  <c r="J216" i="1"/>
  <c r="K216" i="1" s="1"/>
  <c r="J217" i="1"/>
  <c r="K217" i="1" s="1"/>
  <c r="J218" i="1"/>
  <c r="K218" i="1" s="1"/>
  <c r="J219" i="1"/>
  <c r="K219" i="1" s="1"/>
  <c r="J220" i="1"/>
  <c r="K220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7" i="1"/>
  <c r="K227" i="1" s="1"/>
  <c r="J228" i="1"/>
  <c r="K228" i="1" s="1"/>
  <c r="J229" i="1"/>
  <c r="K229" i="1" s="1"/>
  <c r="J230" i="1"/>
  <c r="K230" i="1" s="1"/>
  <c r="J231" i="1"/>
  <c r="K231" i="1" s="1"/>
  <c r="J232" i="1"/>
  <c r="K232" i="1" s="1"/>
  <c r="J2" i="1"/>
  <c r="K2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BC3" i="1"/>
  <c r="BD3" i="1"/>
  <c r="BC4" i="1"/>
  <c r="BD4" i="1"/>
  <c r="BC5" i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D2" i="1"/>
  <c r="BC2" i="1"/>
  <c r="AW64" i="1"/>
  <c r="AV64" i="1"/>
  <c r="AW63" i="1"/>
  <c r="AV63" i="1"/>
  <c r="AW62" i="1"/>
  <c r="AV62" i="1"/>
  <c r="AW61" i="1"/>
  <c r="AV61" i="1"/>
  <c r="AW60" i="1"/>
  <c r="AV60" i="1"/>
  <c r="AW59" i="1"/>
  <c r="AV59" i="1"/>
  <c r="AW58" i="1"/>
  <c r="AV58" i="1"/>
  <c r="AW57" i="1"/>
  <c r="AV57" i="1"/>
  <c r="AW56" i="1"/>
  <c r="AV56" i="1"/>
  <c r="AW55" i="1"/>
  <c r="AV55" i="1"/>
  <c r="AW54" i="1"/>
  <c r="AV54" i="1"/>
  <c r="AW53" i="1"/>
  <c r="AV53" i="1"/>
  <c r="AW52" i="1"/>
  <c r="AV52" i="1"/>
  <c r="AW51" i="1"/>
  <c r="AV51" i="1"/>
  <c r="AW50" i="1"/>
  <c r="AV50" i="1"/>
  <c r="AW49" i="1"/>
  <c r="AV49" i="1"/>
  <c r="AW48" i="1"/>
  <c r="AV48" i="1"/>
  <c r="AW47" i="1"/>
  <c r="AV47" i="1"/>
  <c r="AW46" i="1"/>
  <c r="AV46" i="1"/>
  <c r="AW45" i="1"/>
  <c r="AV45" i="1"/>
  <c r="AW44" i="1"/>
  <c r="AV44" i="1"/>
  <c r="AW43" i="1"/>
  <c r="AV43" i="1"/>
  <c r="AW42" i="1"/>
  <c r="AV42" i="1"/>
  <c r="AW41" i="1"/>
  <c r="AV41" i="1"/>
  <c r="AW40" i="1"/>
  <c r="AV40" i="1"/>
  <c r="AW39" i="1"/>
  <c r="AV39" i="1"/>
  <c r="AW38" i="1"/>
  <c r="AV38" i="1"/>
  <c r="AW37" i="1"/>
  <c r="AV37" i="1"/>
  <c r="AW36" i="1"/>
  <c r="AV36" i="1"/>
  <c r="AW35" i="1"/>
  <c r="AV35" i="1"/>
  <c r="AW34" i="1"/>
  <c r="AV34" i="1"/>
  <c r="AW33" i="1"/>
  <c r="AV33" i="1"/>
  <c r="AW32" i="1"/>
  <c r="AV32" i="1"/>
  <c r="AW31" i="1"/>
  <c r="AV31" i="1"/>
  <c r="AW30" i="1"/>
  <c r="AV30" i="1"/>
  <c r="AW29" i="1"/>
  <c r="AV29" i="1"/>
  <c r="AW28" i="1"/>
  <c r="AV28" i="1"/>
  <c r="AW27" i="1"/>
  <c r="AV27" i="1"/>
  <c r="AW26" i="1"/>
  <c r="AV26" i="1"/>
  <c r="AW25" i="1"/>
  <c r="AV25" i="1"/>
  <c r="AW24" i="1"/>
  <c r="AV24" i="1"/>
  <c r="AW23" i="1"/>
  <c r="AV23" i="1"/>
  <c r="AW22" i="1"/>
  <c r="AV22" i="1"/>
  <c r="AW21" i="1"/>
  <c r="AV21" i="1"/>
  <c r="AW20" i="1"/>
  <c r="AV20" i="1"/>
  <c r="AW19" i="1"/>
  <c r="AV19" i="1"/>
  <c r="AW18" i="1"/>
  <c r="AV18" i="1"/>
  <c r="AW17" i="1"/>
  <c r="AV17" i="1"/>
  <c r="AW16" i="1"/>
  <c r="AV16" i="1"/>
  <c r="AW15" i="1"/>
  <c r="AV15" i="1"/>
  <c r="AW14" i="1"/>
  <c r="AV14" i="1"/>
  <c r="AW13" i="1"/>
  <c r="AV13" i="1"/>
  <c r="AW12" i="1"/>
  <c r="AV12" i="1"/>
  <c r="AW11" i="1"/>
  <c r="AV11" i="1"/>
  <c r="AW10" i="1"/>
  <c r="AV10" i="1"/>
  <c r="AW9" i="1"/>
  <c r="AV9" i="1"/>
  <c r="AW8" i="1"/>
  <c r="AV8" i="1"/>
  <c r="AW7" i="1"/>
  <c r="AV7" i="1"/>
  <c r="AW6" i="1"/>
  <c r="AV6" i="1"/>
  <c r="AW5" i="1"/>
  <c r="AV5" i="1"/>
  <c r="AW4" i="1"/>
  <c r="AV4" i="1"/>
  <c r="AW3" i="1"/>
  <c r="AV3" i="1"/>
  <c r="AW2" i="1"/>
  <c r="AV2" i="1"/>
  <c r="AP3" i="1"/>
  <c r="AQ3" i="1" s="1"/>
  <c r="AP4" i="1"/>
  <c r="AQ4" i="1" s="1"/>
  <c r="AP5" i="1"/>
  <c r="AQ5" i="1" s="1"/>
  <c r="AP6" i="1"/>
  <c r="AQ6" i="1" s="1"/>
  <c r="AP7" i="1"/>
  <c r="AQ7" i="1" s="1"/>
  <c r="AP8" i="1"/>
  <c r="AQ8" i="1" s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5" i="1"/>
  <c r="AQ15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P24" i="1"/>
  <c r="AQ24" i="1" s="1"/>
  <c r="AP25" i="1"/>
  <c r="AQ25" i="1" s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2" i="1"/>
  <c r="AQ32" i="1" s="1"/>
  <c r="AP33" i="1"/>
  <c r="AQ33" i="1" s="1"/>
  <c r="AP34" i="1"/>
  <c r="AQ34" i="1" s="1"/>
  <c r="AP35" i="1"/>
  <c r="AQ35" i="1" s="1"/>
  <c r="AP36" i="1"/>
  <c r="AQ36" i="1" s="1"/>
  <c r="AP37" i="1"/>
  <c r="AQ37" i="1" s="1"/>
  <c r="AP38" i="1"/>
  <c r="AQ38" i="1" s="1"/>
  <c r="AP39" i="1"/>
  <c r="AQ39" i="1" s="1"/>
  <c r="AP40" i="1"/>
  <c r="AQ40" i="1" s="1"/>
  <c r="AP41" i="1"/>
  <c r="AQ41" i="1" s="1"/>
  <c r="AP42" i="1"/>
  <c r="AQ42" i="1" s="1"/>
  <c r="AP43" i="1"/>
  <c r="AQ43" i="1" s="1"/>
  <c r="AP44" i="1"/>
  <c r="AQ44" i="1" s="1"/>
  <c r="AP45" i="1"/>
  <c r="AQ45" i="1" s="1"/>
  <c r="AP46" i="1"/>
  <c r="AQ46" i="1" s="1"/>
  <c r="AP47" i="1"/>
  <c r="AQ47" i="1" s="1"/>
  <c r="AP48" i="1"/>
  <c r="AQ48" i="1" s="1"/>
  <c r="AP49" i="1"/>
  <c r="AQ49" i="1" s="1"/>
  <c r="AP50" i="1"/>
  <c r="AQ50" i="1" s="1"/>
  <c r="AP51" i="1"/>
  <c r="AQ51" i="1" s="1"/>
  <c r="AP52" i="1"/>
  <c r="AQ52" i="1" s="1"/>
  <c r="AP53" i="1"/>
  <c r="AQ53" i="1" s="1"/>
  <c r="AP54" i="1"/>
  <c r="AQ54" i="1" s="1"/>
  <c r="AP55" i="1"/>
  <c r="AQ55" i="1" s="1"/>
  <c r="AP56" i="1"/>
  <c r="AQ56" i="1" s="1"/>
  <c r="AP57" i="1"/>
  <c r="AQ57" i="1" s="1"/>
  <c r="AP58" i="1"/>
  <c r="AQ58" i="1" s="1"/>
  <c r="AP59" i="1"/>
  <c r="AQ59" i="1" s="1"/>
  <c r="AP60" i="1"/>
  <c r="AQ60" i="1" s="1"/>
  <c r="AP61" i="1"/>
  <c r="AQ61" i="1" s="1"/>
  <c r="AP62" i="1"/>
  <c r="AQ62" i="1" s="1"/>
  <c r="AP63" i="1"/>
  <c r="AQ63" i="1" s="1"/>
  <c r="AP64" i="1"/>
  <c r="AQ64" i="1" s="1"/>
  <c r="AP65" i="1"/>
  <c r="AQ65" i="1" s="1"/>
  <c r="AP66" i="1"/>
  <c r="AQ66" i="1" s="1"/>
  <c r="AP67" i="1"/>
  <c r="AQ67" i="1" s="1"/>
  <c r="AP2" i="1"/>
  <c r="AQ2" i="1" s="1"/>
  <c r="AI3" i="1"/>
  <c r="AJ3" i="1" s="1"/>
  <c r="AI4" i="1"/>
  <c r="AJ4" i="1" s="1"/>
  <c r="AI5" i="1"/>
  <c r="AJ5" i="1" s="1"/>
  <c r="AI6" i="1"/>
  <c r="AJ6" i="1" s="1"/>
  <c r="AI7" i="1"/>
  <c r="AJ7" i="1" s="1"/>
  <c r="AI8" i="1"/>
  <c r="AJ8" i="1" s="1"/>
  <c r="AI9" i="1"/>
  <c r="AJ9" i="1" s="1"/>
  <c r="AI10" i="1"/>
  <c r="AJ10" i="1" s="1"/>
  <c r="AI11" i="1"/>
  <c r="AJ11" i="1" s="1"/>
  <c r="AI12" i="1"/>
  <c r="AJ12" i="1" s="1"/>
  <c r="AI13" i="1"/>
  <c r="AJ13" i="1" s="1"/>
  <c r="AI14" i="1"/>
  <c r="AJ14" i="1" s="1"/>
  <c r="AI15" i="1"/>
  <c r="AJ15" i="1" s="1"/>
  <c r="AI16" i="1"/>
  <c r="AJ16" i="1" s="1"/>
  <c r="AI17" i="1"/>
  <c r="AJ17" i="1" s="1"/>
  <c r="AI18" i="1"/>
  <c r="AJ18" i="1" s="1"/>
  <c r="AI19" i="1"/>
  <c r="AJ19" i="1" s="1"/>
  <c r="AI20" i="1"/>
  <c r="AJ20" i="1" s="1"/>
  <c r="AI21" i="1"/>
  <c r="AJ21" i="1" s="1"/>
  <c r="AI22" i="1"/>
  <c r="AJ22" i="1" s="1"/>
  <c r="AI23" i="1"/>
  <c r="AJ23" i="1" s="1"/>
  <c r="AI24" i="1"/>
  <c r="AJ24" i="1" s="1"/>
  <c r="AI25" i="1"/>
  <c r="AJ25" i="1" s="1"/>
  <c r="AI26" i="1"/>
  <c r="AJ26" i="1" s="1"/>
  <c r="AI27" i="1"/>
  <c r="AJ27" i="1" s="1"/>
  <c r="AI28" i="1"/>
  <c r="AJ28" i="1" s="1"/>
  <c r="AI29" i="1"/>
  <c r="AJ29" i="1" s="1"/>
  <c r="AI30" i="1"/>
  <c r="AJ30" i="1" s="1"/>
  <c r="AI31" i="1"/>
  <c r="AJ31" i="1" s="1"/>
  <c r="AI32" i="1"/>
  <c r="AJ32" i="1" s="1"/>
  <c r="AI33" i="1"/>
  <c r="AJ33" i="1" s="1"/>
  <c r="AI34" i="1"/>
  <c r="AJ34" i="1" s="1"/>
  <c r="AI35" i="1"/>
  <c r="AJ35" i="1" s="1"/>
  <c r="AI36" i="1"/>
  <c r="AJ36" i="1" s="1"/>
  <c r="AI37" i="1"/>
  <c r="AJ37" i="1" s="1"/>
  <c r="AI38" i="1"/>
  <c r="AJ38" i="1" s="1"/>
  <c r="AI39" i="1"/>
  <c r="AJ39" i="1" s="1"/>
  <c r="AI40" i="1"/>
  <c r="AJ40" i="1" s="1"/>
  <c r="AI41" i="1"/>
  <c r="AJ41" i="1" s="1"/>
  <c r="AI42" i="1"/>
  <c r="AJ42" i="1" s="1"/>
  <c r="AI43" i="1"/>
  <c r="AJ43" i="1" s="1"/>
  <c r="AI44" i="1"/>
  <c r="AJ44" i="1" s="1"/>
  <c r="AI45" i="1"/>
  <c r="AJ45" i="1" s="1"/>
  <c r="AI46" i="1"/>
  <c r="AJ46" i="1" s="1"/>
  <c r="AI47" i="1"/>
  <c r="AJ47" i="1" s="1"/>
  <c r="AI48" i="1"/>
  <c r="AJ48" i="1" s="1"/>
  <c r="AI49" i="1"/>
  <c r="AJ49" i="1" s="1"/>
  <c r="AI50" i="1"/>
  <c r="AJ50" i="1" s="1"/>
  <c r="AI51" i="1"/>
  <c r="AJ51" i="1" s="1"/>
  <c r="AI52" i="1"/>
  <c r="AJ52" i="1" s="1"/>
  <c r="AI53" i="1"/>
  <c r="AJ53" i="1" s="1"/>
  <c r="AI54" i="1"/>
  <c r="AJ54" i="1" s="1"/>
  <c r="AI55" i="1"/>
  <c r="AJ55" i="1" s="1"/>
  <c r="AI56" i="1"/>
  <c r="AJ56" i="1" s="1"/>
  <c r="AI57" i="1"/>
  <c r="AJ57" i="1" s="1"/>
  <c r="AI58" i="1"/>
  <c r="AJ58" i="1" s="1"/>
  <c r="AI59" i="1"/>
  <c r="AJ59" i="1" s="1"/>
  <c r="AI60" i="1"/>
  <c r="AJ60" i="1" s="1"/>
  <c r="AI61" i="1"/>
  <c r="AJ61" i="1" s="1"/>
  <c r="AI62" i="1"/>
  <c r="AJ62" i="1" s="1"/>
  <c r="AI63" i="1"/>
  <c r="AJ63" i="1" s="1"/>
  <c r="AI64" i="1"/>
  <c r="AJ64" i="1" s="1"/>
  <c r="AI65" i="1"/>
  <c r="AJ65" i="1" s="1"/>
  <c r="AI66" i="1"/>
  <c r="AJ66" i="1" s="1"/>
  <c r="AI67" i="1"/>
  <c r="AJ67" i="1" s="1"/>
  <c r="AI68" i="1"/>
  <c r="AJ68" i="1" s="1"/>
  <c r="AI69" i="1"/>
  <c r="AJ69" i="1" s="1"/>
  <c r="AI70" i="1"/>
  <c r="AJ70" i="1" s="1"/>
  <c r="AI71" i="1"/>
  <c r="AJ71" i="1" s="1"/>
  <c r="AI72" i="1"/>
  <c r="AJ72" i="1" s="1"/>
  <c r="AI73" i="1"/>
  <c r="AJ73" i="1" s="1"/>
  <c r="AI74" i="1"/>
  <c r="AJ74" i="1" s="1"/>
  <c r="AI75" i="1"/>
  <c r="AJ75" i="1" s="1"/>
  <c r="AI76" i="1"/>
  <c r="AJ76" i="1" s="1"/>
  <c r="AI77" i="1"/>
  <c r="AJ77" i="1" s="1"/>
  <c r="AI78" i="1"/>
  <c r="AJ78" i="1" s="1"/>
  <c r="AI79" i="1"/>
  <c r="AJ79" i="1" s="1"/>
  <c r="AI80" i="1"/>
  <c r="AJ80" i="1" s="1"/>
  <c r="AI81" i="1"/>
  <c r="AJ81" i="1" s="1"/>
  <c r="AI82" i="1"/>
  <c r="AJ82" i="1" s="1"/>
  <c r="AI83" i="1"/>
  <c r="AJ83" i="1" s="1"/>
  <c r="AI84" i="1"/>
  <c r="AJ84" i="1" s="1"/>
  <c r="AI85" i="1"/>
  <c r="AJ85" i="1" s="1"/>
  <c r="AI86" i="1"/>
  <c r="AJ86" i="1" s="1"/>
  <c r="AI87" i="1"/>
  <c r="AJ87" i="1" s="1"/>
  <c r="AI88" i="1"/>
  <c r="AJ88" i="1" s="1"/>
  <c r="AI89" i="1"/>
  <c r="AJ89" i="1" s="1"/>
  <c r="AI90" i="1"/>
  <c r="AJ90" i="1" s="1"/>
  <c r="AI91" i="1"/>
  <c r="AJ91" i="1" s="1"/>
  <c r="AI92" i="1"/>
  <c r="AJ92" i="1" s="1"/>
  <c r="AI93" i="1"/>
  <c r="AJ93" i="1" s="1"/>
  <c r="AI94" i="1"/>
  <c r="AJ94" i="1" s="1"/>
  <c r="AI95" i="1"/>
  <c r="AJ95" i="1" s="1"/>
  <c r="AI96" i="1"/>
  <c r="AJ96" i="1" s="1"/>
  <c r="AI97" i="1"/>
  <c r="AJ97" i="1" s="1"/>
  <c r="AI98" i="1"/>
  <c r="AJ98" i="1" s="1"/>
  <c r="AI99" i="1"/>
  <c r="AJ99" i="1" s="1"/>
  <c r="AI100" i="1"/>
  <c r="AJ100" i="1" s="1"/>
  <c r="AI101" i="1"/>
  <c r="AJ101" i="1" s="1"/>
  <c r="AI102" i="1"/>
  <c r="AJ102" i="1" s="1"/>
  <c r="AI103" i="1"/>
  <c r="AJ103" i="1" s="1"/>
  <c r="AI104" i="1"/>
  <c r="AJ104" i="1" s="1"/>
  <c r="AI105" i="1"/>
  <c r="AJ105" i="1" s="1"/>
  <c r="AI106" i="1"/>
  <c r="AJ106" i="1" s="1"/>
  <c r="AI107" i="1"/>
  <c r="AJ107" i="1" s="1"/>
  <c r="AI108" i="1"/>
  <c r="AJ108" i="1" s="1"/>
  <c r="AI109" i="1"/>
  <c r="AJ109" i="1" s="1"/>
  <c r="AI110" i="1"/>
  <c r="AJ110" i="1" s="1"/>
  <c r="AI111" i="1"/>
  <c r="AJ111" i="1" s="1"/>
  <c r="AI112" i="1"/>
  <c r="AJ112" i="1" s="1"/>
  <c r="AI113" i="1"/>
  <c r="AJ113" i="1" s="1"/>
  <c r="AI114" i="1"/>
  <c r="AJ114" i="1" s="1"/>
  <c r="AI115" i="1"/>
  <c r="AJ115" i="1" s="1"/>
  <c r="AI116" i="1"/>
  <c r="AJ116" i="1" s="1"/>
  <c r="AI117" i="1"/>
  <c r="AJ117" i="1" s="1"/>
  <c r="AI2" i="1"/>
  <c r="AJ2" i="1" s="1"/>
  <c r="D2" i="1"/>
  <c r="E2" i="1" s="1"/>
  <c r="AU14" i="9"/>
  <c r="AU13" i="9"/>
  <c r="AU12" i="9"/>
  <c r="AU11" i="9"/>
  <c r="AR14" i="9"/>
  <c r="AR13" i="9"/>
  <c r="AR12" i="9"/>
  <c r="AR11" i="9"/>
  <c r="AO14" i="9"/>
  <c r="AO13" i="9"/>
  <c r="AO12" i="9"/>
  <c r="AO11" i="9"/>
  <c r="AI14" i="9"/>
  <c r="AI13" i="9"/>
  <c r="AI12" i="9"/>
  <c r="AI11" i="9"/>
  <c r="AF14" i="9"/>
  <c r="AF13" i="9"/>
  <c r="AF12" i="9"/>
  <c r="AF11" i="9"/>
  <c r="AC14" i="9"/>
  <c r="AL14" i="9" s="1"/>
  <c r="AC13" i="9"/>
  <c r="AC12" i="9"/>
  <c r="AC11" i="9"/>
  <c r="AA41" i="9"/>
  <c r="AA40" i="9"/>
  <c r="AA39" i="9"/>
  <c r="AA38" i="9"/>
  <c r="AA37" i="9"/>
  <c r="AA24" i="9"/>
  <c r="AA23" i="9"/>
  <c r="AA22" i="9"/>
  <c r="AA21" i="9"/>
  <c r="AA20" i="9"/>
  <c r="AA19" i="9"/>
  <c r="AA33" i="9"/>
  <c r="AA32" i="9"/>
  <c r="AA31" i="9"/>
  <c r="AA30" i="9"/>
  <c r="AA29" i="9"/>
  <c r="AA28" i="9"/>
  <c r="AA50" i="9"/>
  <c r="AA49" i="9"/>
  <c r="AA48" i="9"/>
  <c r="AA47" i="9"/>
  <c r="AA46" i="9"/>
  <c r="AA45" i="9"/>
  <c r="W14" i="9"/>
  <c r="W13" i="9"/>
  <c r="W12" i="9"/>
  <c r="W11" i="9"/>
  <c r="T14" i="9"/>
  <c r="T13" i="9"/>
  <c r="T12" i="9"/>
  <c r="T11" i="9"/>
  <c r="Q14" i="9"/>
  <c r="Q13" i="9"/>
  <c r="Q12" i="9"/>
  <c r="Q11" i="9"/>
  <c r="K14" i="9"/>
  <c r="K13" i="9"/>
  <c r="K12" i="9"/>
  <c r="K11" i="9"/>
  <c r="H14" i="9"/>
  <c r="H13" i="9"/>
  <c r="H12" i="9"/>
  <c r="H11" i="9"/>
  <c r="E14" i="9"/>
  <c r="E13" i="9"/>
  <c r="E12" i="9"/>
  <c r="E11" i="9"/>
  <c r="AX12" i="9" l="1"/>
  <c r="AI64" i="2"/>
  <c r="BW64" i="2"/>
  <c r="BC64" i="2"/>
  <c r="AA68" i="2"/>
  <c r="BY44" i="2"/>
  <c r="BO42" i="2"/>
  <c r="BT42" i="2"/>
  <c r="BY43" i="2"/>
  <c r="BY42" i="2"/>
  <c r="BT44" i="2"/>
  <c r="BT43" i="2"/>
  <c r="BO43" i="2"/>
  <c r="BO44" i="2"/>
  <c r="BO49" i="2"/>
  <c r="BY49" i="2"/>
  <c r="BT50" i="2"/>
  <c r="BO51" i="2"/>
  <c r="BY51" i="2"/>
  <c r="BT52" i="2"/>
  <c r="BO53" i="2"/>
  <c r="BY53" i="2"/>
  <c r="AZ42" i="2"/>
  <c r="AZ44" i="2"/>
  <c r="AK43" i="2"/>
  <c r="BE42" i="2"/>
  <c r="AZ45" i="2"/>
  <c r="AF43" i="2"/>
  <c r="AZ41" i="2"/>
  <c r="BT36" i="2"/>
  <c r="BO37" i="2"/>
  <c r="BY37" i="2"/>
  <c r="BT38" i="2"/>
  <c r="BO39" i="2"/>
  <c r="BY39" i="2"/>
  <c r="BT40" i="2"/>
  <c r="BR41" i="2"/>
  <c r="BW45" i="2"/>
  <c r="BO46" i="2"/>
  <c r="BY46" i="2"/>
  <c r="BT47" i="2"/>
  <c r="BO48" i="2"/>
  <c r="BY48" i="2"/>
  <c r="BT49" i="2"/>
  <c r="BO50" i="2"/>
  <c r="BY50" i="2"/>
  <c r="BT51" i="2"/>
  <c r="BO52" i="2"/>
  <c r="BY52" i="2"/>
  <c r="BT53" i="2"/>
  <c r="AF42" i="2"/>
  <c r="AU44" i="2"/>
  <c r="AA42" i="2"/>
  <c r="AK44" i="2"/>
  <c r="AU43" i="2"/>
  <c r="BE43" i="2"/>
  <c r="BO36" i="2"/>
  <c r="BY36" i="2"/>
  <c r="BT37" i="2"/>
  <c r="BO38" i="2"/>
  <c r="BY38" i="2"/>
  <c r="BT39" i="2"/>
  <c r="BO40" i="2"/>
  <c r="BY40" i="2"/>
  <c r="BT41" i="2"/>
  <c r="BO45" i="2"/>
  <c r="BY45" i="2"/>
  <c r="BT46" i="2"/>
  <c r="BO47" i="2"/>
  <c r="BY47" i="2"/>
  <c r="BT48" i="2"/>
  <c r="AA43" i="2"/>
  <c r="AF44" i="2"/>
  <c r="AU36" i="2"/>
  <c r="BE36" i="2"/>
  <c r="AZ37" i="2"/>
  <c r="AU38" i="2"/>
  <c r="BE38" i="2"/>
  <c r="AZ39" i="2"/>
  <c r="AU40" i="2"/>
  <c r="BE40" i="2"/>
  <c r="BE45" i="2"/>
  <c r="AZ46" i="2"/>
  <c r="AU47" i="2"/>
  <c r="BE47" i="2"/>
  <c r="AZ48" i="2"/>
  <c r="AU49" i="2"/>
  <c r="BE49" i="2"/>
  <c r="AZ50" i="2"/>
  <c r="AU51" i="2"/>
  <c r="BE51" i="2"/>
  <c r="AZ52" i="2"/>
  <c r="AU53" i="2"/>
  <c r="BE53" i="2"/>
  <c r="BN41" i="2"/>
  <c r="BO41" i="2" s="1"/>
  <c r="BV41" i="2"/>
  <c r="BY41" i="2" s="1"/>
  <c r="BS45" i="2"/>
  <c r="BT45" i="2" s="1"/>
  <c r="AK42" i="2"/>
  <c r="AA44" i="2"/>
  <c r="AU42" i="2"/>
  <c r="AZ43" i="2"/>
  <c r="BE44" i="2"/>
  <c r="AZ36" i="2"/>
  <c r="AU37" i="2"/>
  <c r="BE37" i="2"/>
  <c r="AZ38" i="2"/>
  <c r="AU39" i="2"/>
  <c r="BE39" i="2"/>
  <c r="AZ40" i="2"/>
  <c r="AU46" i="2"/>
  <c r="BE46" i="2"/>
  <c r="AZ47" i="2"/>
  <c r="AU48" i="2"/>
  <c r="BE48" i="2"/>
  <c r="AZ49" i="2"/>
  <c r="AU50" i="2"/>
  <c r="BE50" i="2"/>
  <c r="AZ51" i="2"/>
  <c r="AU52" i="2"/>
  <c r="BE52" i="2"/>
  <c r="AZ53" i="2"/>
  <c r="AU41" i="2"/>
  <c r="AA36" i="2"/>
  <c r="AK36" i="2"/>
  <c r="AF37" i="2"/>
  <c r="AA38" i="2"/>
  <c r="AK38" i="2"/>
  <c r="AF39" i="2"/>
  <c r="AA40" i="2"/>
  <c r="AK40" i="2"/>
  <c r="AF41" i="2"/>
  <c r="AA45" i="2"/>
  <c r="AK45" i="2"/>
  <c r="AF46" i="2"/>
  <c r="AA47" i="2"/>
  <c r="AK47" i="2"/>
  <c r="AF48" i="2"/>
  <c r="AA49" i="2"/>
  <c r="AK49" i="2"/>
  <c r="AF50" i="2"/>
  <c r="AA51" i="2"/>
  <c r="AK51" i="2"/>
  <c r="AF52" i="2"/>
  <c r="AA53" i="2"/>
  <c r="AK53" i="2"/>
  <c r="BB41" i="2"/>
  <c r="BC41" i="2" s="1"/>
  <c r="AR45" i="2"/>
  <c r="AS45" i="2" s="1"/>
  <c r="AF36" i="2"/>
  <c r="AA37" i="2"/>
  <c r="AK37" i="2"/>
  <c r="AF38" i="2"/>
  <c r="AA39" i="2"/>
  <c r="AK39" i="2"/>
  <c r="AF40" i="2"/>
  <c r="AD41" i="2"/>
  <c r="AI45" i="2"/>
  <c r="AA46" i="2"/>
  <c r="AK46" i="2"/>
  <c r="AF47" i="2"/>
  <c r="AA48" i="2"/>
  <c r="AK48" i="2"/>
  <c r="AF49" i="2"/>
  <c r="AA50" i="2"/>
  <c r="AK50" i="2"/>
  <c r="AF51" i="2"/>
  <c r="AA52" i="2"/>
  <c r="AK52" i="2"/>
  <c r="AF53" i="2"/>
  <c r="Y41" i="2"/>
  <c r="AD45" i="2"/>
  <c r="Z41" i="2"/>
  <c r="AA41" i="2" s="1"/>
  <c r="AH41" i="2"/>
  <c r="AI41" i="2" s="1"/>
  <c r="AE45" i="2"/>
  <c r="AF45" i="2" s="1"/>
  <c r="AZ17" i="2"/>
  <c r="BY11" i="2"/>
  <c r="BT12" i="2"/>
  <c r="BO13" i="2"/>
  <c r="BY13" i="2"/>
  <c r="BT14" i="2"/>
  <c r="BO15" i="2"/>
  <c r="BY15" i="2"/>
  <c r="BT16" i="2"/>
  <c r="BO21" i="2"/>
  <c r="BY21" i="2"/>
  <c r="BT22" i="2"/>
  <c r="BO23" i="2"/>
  <c r="BY23" i="2"/>
  <c r="BT24" i="2"/>
  <c r="BO25" i="2"/>
  <c r="BY25" i="2"/>
  <c r="BT26" i="2"/>
  <c r="BO27" i="2"/>
  <c r="BY27" i="2"/>
  <c r="BO29" i="2"/>
  <c r="BY29" i="2"/>
  <c r="BR16" i="2"/>
  <c r="AU19" i="2"/>
  <c r="BT28" i="2"/>
  <c r="BT11" i="2"/>
  <c r="BO12" i="2"/>
  <c r="BY12" i="2"/>
  <c r="BT13" i="2"/>
  <c r="BO14" i="2"/>
  <c r="BY14" i="2"/>
  <c r="BT15" i="2"/>
  <c r="BO20" i="2"/>
  <c r="BY20" i="2"/>
  <c r="BT21" i="2"/>
  <c r="BO22" i="2"/>
  <c r="BY22" i="2"/>
  <c r="BT23" i="2"/>
  <c r="BO24" i="2"/>
  <c r="BY24" i="2"/>
  <c r="BT25" i="2"/>
  <c r="BO26" i="2"/>
  <c r="BY26" i="2"/>
  <c r="BT27" i="2"/>
  <c r="BO28" i="2"/>
  <c r="BY28" i="2"/>
  <c r="BT29" i="2"/>
  <c r="BO30" i="2"/>
  <c r="BY30" i="2"/>
  <c r="BE17" i="2"/>
  <c r="BE18" i="2"/>
  <c r="AK18" i="2"/>
  <c r="BO11" i="2"/>
  <c r="BW20" i="2"/>
  <c r="BT30" i="2"/>
  <c r="AU18" i="2"/>
  <c r="AZ19" i="2"/>
  <c r="AA24" i="2"/>
  <c r="AK27" i="2"/>
  <c r="BT17" i="2"/>
  <c r="BO18" i="2"/>
  <c r="BY18" i="2"/>
  <c r="BT19" i="2"/>
  <c r="AA11" i="2"/>
  <c r="AK11" i="2"/>
  <c r="AF12" i="2"/>
  <c r="AA13" i="2"/>
  <c r="AK13" i="2"/>
  <c r="AF14" i="2"/>
  <c r="AA15" i="2"/>
  <c r="AK15" i="2"/>
  <c r="AA17" i="2"/>
  <c r="AA19" i="2"/>
  <c r="AK19" i="2"/>
  <c r="AF22" i="2"/>
  <c r="AF29" i="2"/>
  <c r="AU17" i="2"/>
  <c r="AZ18" i="2"/>
  <c r="BE19" i="2"/>
  <c r="BO17" i="2"/>
  <c r="BY17" i="2"/>
  <c r="BT18" i="2"/>
  <c r="BO19" i="2"/>
  <c r="BY19" i="2"/>
  <c r="AF11" i="2"/>
  <c r="AA12" i="2"/>
  <c r="AK12" i="2"/>
  <c r="AF13" i="2"/>
  <c r="AA14" i="2"/>
  <c r="AK14" i="2"/>
  <c r="AF15" i="2"/>
  <c r="AA16" i="2"/>
  <c r="AF17" i="2"/>
  <c r="AK26" i="2"/>
  <c r="AA25" i="2"/>
  <c r="AF30" i="2"/>
  <c r="AK17" i="2"/>
  <c r="AF18" i="2"/>
  <c r="AF21" i="2"/>
  <c r="AD22" i="2"/>
  <c r="Y25" i="2"/>
  <c r="AI27" i="2"/>
  <c r="AD30" i="2"/>
  <c r="AK23" i="2"/>
  <c r="AF26" i="2"/>
  <c r="AA29" i="2"/>
  <c r="AU11" i="2"/>
  <c r="BE11" i="2"/>
  <c r="AZ12" i="2"/>
  <c r="AU13" i="2"/>
  <c r="BE13" i="2"/>
  <c r="AZ14" i="2"/>
  <c r="AU15" i="2"/>
  <c r="BE15" i="2"/>
  <c r="AZ16" i="2"/>
  <c r="AU20" i="2"/>
  <c r="BE20" i="2"/>
  <c r="AZ21" i="2"/>
  <c r="AU22" i="2"/>
  <c r="BE22" i="2"/>
  <c r="AZ23" i="2"/>
  <c r="AU24" i="2"/>
  <c r="BE24" i="2"/>
  <c r="AZ25" i="2"/>
  <c r="AU26" i="2"/>
  <c r="BE26" i="2"/>
  <c r="AZ27" i="2"/>
  <c r="AU28" i="2"/>
  <c r="BE28" i="2"/>
  <c r="AZ29" i="2"/>
  <c r="AU30" i="2"/>
  <c r="BE30" i="2"/>
  <c r="BN16" i="2"/>
  <c r="BO16" i="2" s="1"/>
  <c r="BV16" i="2"/>
  <c r="BY16" i="2" s="1"/>
  <c r="BS20" i="2"/>
  <c r="BT20" i="2" s="1"/>
  <c r="AA21" i="2"/>
  <c r="AK20" i="2"/>
  <c r="Y21" i="2"/>
  <c r="AK22" i="2"/>
  <c r="AF25" i="2"/>
  <c r="AA28" i="2"/>
  <c r="AZ11" i="2"/>
  <c r="AU12" i="2"/>
  <c r="BE12" i="2"/>
  <c r="AZ13" i="2"/>
  <c r="AU14" i="2"/>
  <c r="BE14" i="2"/>
  <c r="AZ15" i="2"/>
  <c r="AX16" i="2"/>
  <c r="BC20" i="2"/>
  <c r="AU21" i="2"/>
  <c r="BE21" i="2"/>
  <c r="AZ22" i="2"/>
  <c r="AU23" i="2"/>
  <c r="BE23" i="2"/>
  <c r="AZ24" i="2"/>
  <c r="AU25" i="2"/>
  <c r="BE25" i="2"/>
  <c r="AZ26" i="2"/>
  <c r="AU27" i="2"/>
  <c r="BE27" i="2"/>
  <c r="AZ28" i="2"/>
  <c r="AU29" i="2"/>
  <c r="BE29" i="2"/>
  <c r="AZ30" i="2"/>
  <c r="AF16" i="2"/>
  <c r="AD21" i="2"/>
  <c r="AI22" i="2"/>
  <c r="Y24" i="2"/>
  <c r="AD25" i="2"/>
  <c r="AI26" i="2"/>
  <c r="Y28" i="2"/>
  <c r="AD29" i="2"/>
  <c r="AK30" i="2"/>
  <c r="AT16" i="2"/>
  <c r="AU16" i="2" s="1"/>
  <c r="BB16" i="2"/>
  <c r="BE16" i="2" s="1"/>
  <c r="AY20" i="2"/>
  <c r="AZ20" i="2" s="1"/>
  <c r="AA18" i="2"/>
  <c r="AF19" i="2"/>
  <c r="AA22" i="2"/>
  <c r="AF23" i="2"/>
  <c r="AK24" i="2"/>
  <c r="AA26" i="2"/>
  <c r="AF27" i="2"/>
  <c r="AK28" i="2"/>
  <c r="AA30" i="2"/>
  <c r="AK21" i="2"/>
  <c r="Y22" i="2"/>
  <c r="AA23" i="2"/>
  <c r="AD23" i="2"/>
  <c r="AF24" i="2"/>
  <c r="AI24" i="2"/>
  <c r="AK25" i="2"/>
  <c r="Y26" i="2"/>
  <c r="AA27" i="2"/>
  <c r="AD27" i="2"/>
  <c r="AF28" i="2"/>
  <c r="AI28" i="2"/>
  <c r="AK29" i="2"/>
  <c r="Y30" i="2"/>
  <c r="AF20" i="2"/>
  <c r="AD20" i="2"/>
  <c r="AH16" i="2"/>
  <c r="AK16" i="2" s="1"/>
  <c r="X20" i="2"/>
  <c r="Y20" i="2" s="1"/>
  <c r="AX4" i="1"/>
  <c r="AX6" i="1"/>
  <c r="AX8" i="1"/>
  <c r="AX10" i="1"/>
  <c r="AX12" i="1"/>
  <c r="AX14" i="1"/>
  <c r="AX16" i="1"/>
  <c r="AX18" i="1"/>
  <c r="AX20" i="1"/>
  <c r="AX22" i="1"/>
  <c r="AX24" i="1"/>
  <c r="AX26" i="1"/>
  <c r="AX28" i="1"/>
  <c r="AX30" i="1"/>
  <c r="AX32" i="1"/>
  <c r="AX34" i="1"/>
  <c r="AX36" i="1"/>
  <c r="AX38" i="1"/>
  <c r="AX40" i="1"/>
  <c r="AX42" i="1"/>
  <c r="AX44" i="1"/>
  <c r="AX46" i="1"/>
  <c r="AX48" i="1"/>
  <c r="AX50" i="1"/>
  <c r="AX52" i="1"/>
  <c r="AX54" i="1"/>
  <c r="AX56" i="1"/>
  <c r="AX58" i="1"/>
  <c r="AX60" i="1"/>
  <c r="AX62" i="1"/>
  <c r="AX64" i="1"/>
  <c r="AX3" i="1"/>
  <c r="AX5" i="1"/>
  <c r="AX7" i="1"/>
  <c r="AX9" i="1"/>
  <c r="AX11" i="1"/>
  <c r="AX13" i="1"/>
  <c r="AX15" i="1"/>
  <c r="AX17" i="1"/>
  <c r="AX19" i="1"/>
  <c r="AX21" i="1"/>
  <c r="AX23" i="1"/>
  <c r="AX25" i="1"/>
  <c r="AX27" i="1"/>
  <c r="AX29" i="1"/>
  <c r="AX31" i="1"/>
  <c r="AX33" i="1"/>
  <c r="AX35" i="1"/>
  <c r="AX37" i="1"/>
  <c r="AX39" i="1"/>
  <c r="AX41" i="1"/>
  <c r="AX43" i="1"/>
  <c r="AX45" i="1"/>
  <c r="AX47" i="1"/>
  <c r="AX49" i="1"/>
  <c r="AX51" i="1"/>
  <c r="AX53" i="1"/>
  <c r="AX55" i="1"/>
  <c r="AX57" i="1"/>
  <c r="AX59" i="1"/>
  <c r="AX61" i="1"/>
  <c r="AX63" i="1"/>
  <c r="AX2" i="1"/>
  <c r="AX14" i="9"/>
  <c r="AL13" i="9"/>
  <c r="AX13" i="9"/>
  <c r="AL11" i="9"/>
  <c r="AX11" i="9"/>
  <c r="AL12" i="9"/>
  <c r="Z13" i="9"/>
  <c r="Z12" i="9"/>
  <c r="Z11" i="9"/>
  <c r="Z14" i="9"/>
  <c r="N13" i="9"/>
  <c r="N14" i="9"/>
  <c r="N12" i="9"/>
  <c r="AU15" i="9"/>
  <c r="AO15" i="9"/>
  <c r="AR15" i="9"/>
  <c r="AF15" i="9"/>
  <c r="W15" i="9"/>
  <c r="AA51" i="9"/>
  <c r="AA25" i="9"/>
  <c r="AI15" i="9"/>
  <c r="AC15" i="9"/>
  <c r="AA34" i="9"/>
  <c r="AA42" i="9"/>
  <c r="N11" i="9"/>
  <c r="T15" i="9"/>
  <c r="Q15" i="9"/>
  <c r="H15" i="9"/>
  <c r="K15" i="9"/>
  <c r="E15" i="9"/>
  <c r="BW16" i="2" l="1"/>
  <c r="AU45" i="2"/>
  <c r="BW41" i="2"/>
  <c r="BE41" i="2"/>
  <c r="AK41" i="2"/>
  <c r="BC16" i="2"/>
  <c r="AI16" i="2"/>
  <c r="AA20" i="2"/>
  <c r="AL15" i="9"/>
  <c r="AX15" i="9"/>
  <c r="BA13" i="9"/>
  <c r="Z15" i="9"/>
  <c r="BA12" i="9"/>
  <c r="BA14" i="9"/>
  <c r="N15" i="9"/>
  <c r="BA11" i="9"/>
  <c r="G11" i="9"/>
  <c r="G12" i="9"/>
  <c r="G13" i="9"/>
  <c r="G14" i="9"/>
  <c r="BA15" i="9" l="1"/>
  <c r="C77" i="2"/>
  <c r="G15" i="9"/>
  <c r="CJ8" i="7" l="1"/>
  <c r="CD8" i="7"/>
  <c r="BX8" i="7"/>
  <c r="BL8" i="7"/>
  <c r="BF8" i="7"/>
  <c r="AZ8" i="7"/>
  <c r="AN8" i="7"/>
  <c r="AH8" i="7"/>
  <c r="AB8" i="7"/>
  <c r="P8" i="7"/>
  <c r="J8" i="7"/>
  <c r="D8" i="7"/>
  <c r="D11" i="9"/>
  <c r="AT11" i="9"/>
  <c r="AQ11" i="9"/>
  <c r="AN11" i="9"/>
  <c r="AH11" i="9"/>
  <c r="AE11" i="9"/>
  <c r="AB11" i="9"/>
  <c r="V11" i="9"/>
  <c r="S11" i="9"/>
  <c r="P11" i="9"/>
  <c r="J11" i="9"/>
  <c r="AY48" i="9"/>
  <c r="AY9" i="9"/>
  <c r="AM48" i="9"/>
  <c r="AM49" i="9"/>
  <c r="O7" i="9"/>
  <c r="O8" i="9"/>
  <c r="O9" i="9"/>
  <c r="O47" i="9"/>
  <c r="O48" i="9"/>
  <c r="O49" i="9"/>
  <c r="AS51" i="9"/>
  <c r="AS14" i="9" s="1"/>
  <c r="AP51" i="9"/>
  <c r="AP14" i="9" s="1"/>
  <c r="AJ51" i="9"/>
  <c r="AJ14" i="9" s="1"/>
  <c r="AG51" i="9"/>
  <c r="AG14" i="9" s="1"/>
  <c r="AD51" i="9"/>
  <c r="AD14" i="9" s="1"/>
  <c r="X51" i="9"/>
  <c r="U51" i="9"/>
  <c r="U14" i="9" s="1"/>
  <c r="R51" i="9"/>
  <c r="R14" i="9" s="1"/>
  <c r="I51" i="9"/>
  <c r="I14" i="9" s="1"/>
  <c r="F51" i="9"/>
  <c r="F14" i="9" s="1"/>
  <c r="AY50" i="9"/>
  <c r="AM50" i="9"/>
  <c r="O50" i="9"/>
  <c r="AY49" i="9"/>
  <c r="AY47" i="9"/>
  <c r="AM47" i="9"/>
  <c r="AY46" i="9"/>
  <c r="AM46" i="9"/>
  <c r="O46" i="9"/>
  <c r="AY45" i="9"/>
  <c r="AM45" i="9"/>
  <c r="O45" i="9"/>
  <c r="AV13" i="9"/>
  <c r="AS42" i="9"/>
  <c r="AS13" i="9" s="1"/>
  <c r="AP42" i="9"/>
  <c r="AP13" i="9" s="1"/>
  <c r="AJ42" i="9"/>
  <c r="AJ13" i="9" s="1"/>
  <c r="AG42" i="9"/>
  <c r="AG13" i="9" s="1"/>
  <c r="AD42" i="9"/>
  <c r="AD13" i="9" s="1"/>
  <c r="X42" i="9"/>
  <c r="X13" i="9" s="1"/>
  <c r="U42" i="9"/>
  <c r="U13" i="9" s="1"/>
  <c r="R42" i="9"/>
  <c r="R13" i="9" s="1"/>
  <c r="I42" i="9"/>
  <c r="I13" i="9" s="1"/>
  <c r="F42" i="9"/>
  <c r="F13" i="9" s="1"/>
  <c r="AY41" i="9"/>
  <c r="AM41" i="9"/>
  <c r="O41" i="9"/>
  <c r="AY40" i="9"/>
  <c r="AM40" i="9"/>
  <c r="O40" i="9"/>
  <c r="AY39" i="9"/>
  <c r="AM39" i="9"/>
  <c r="O39" i="9"/>
  <c r="AY38" i="9"/>
  <c r="AM38" i="9"/>
  <c r="O38" i="9"/>
  <c r="AY37" i="9"/>
  <c r="AM37" i="9"/>
  <c r="O37" i="9"/>
  <c r="AS34" i="9"/>
  <c r="AS12" i="9" s="1"/>
  <c r="AP12" i="9"/>
  <c r="AJ34" i="9"/>
  <c r="AJ12" i="9" s="1"/>
  <c r="AG34" i="9"/>
  <c r="AG12" i="9" s="1"/>
  <c r="AD34" i="9"/>
  <c r="AD12" i="9" s="1"/>
  <c r="X34" i="9"/>
  <c r="X12" i="9" s="1"/>
  <c r="U34" i="9"/>
  <c r="R34" i="9"/>
  <c r="R12" i="9" s="1"/>
  <c r="I34" i="9"/>
  <c r="I12" i="9" s="1"/>
  <c r="F34" i="9"/>
  <c r="F12" i="9" s="1"/>
  <c r="AY33" i="9"/>
  <c r="AM33" i="9"/>
  <c r="O33" i="9"/>
  <c r="AY32" i="9"/>
  <c r="AM32" i="9"/>
  <c r="O32" i="9"/>
  <c r="AY31" i="9"/>
  <c r="AM31" i="9"/>
  <c r="O31" i="9"/>
  <c r="AY30" i="9"/>
  <c r="AM30" i="9"/>
  <c r="O30" i="9"/>
  <c r="AY29" i="9"/>
  <c r="AM29" i="9"/>
  <c r="O29" i="9"/>
  <c r="AY28" i="9"/>
  <c r="AM28" i="9"/>
  <c r="O28" i="9"/>
  <c r="AS25" i="9"/>
  <c r="AP25" i="9"/>
  <c r="AJ25" i="9"/>
  <c r="AG25" i="9"/>
  <c r="AG11" i="9" s="1"/>
  <c r="AD25" i="9"/>
  <c r="AD11" i="9" s="1"/>
  <c r="X25" i="9"/>
  <c r="X11" i="9" s="1"/>
  <c r="U25" i="9"/>
  <c r="U11" i="9" s="1"/>
  <c r="R25" i="9"/>
  <c r="R11" i="9" s="1"/>
  <c r="L11" i="9"/>
  <c r="I25" i="9"/>
  <c r="I11" i="9" s="1"/>
  <c r="F25" i="9"/>
  <c r="F11" i="9" s="1"/>
  <c r="AY24" i="9"/>
  <c r="AM24" i="9"/>
  <c r="O24" i="9"/>
  <c r="AY23" i="9"/>
  <c r="AM23" i="9"/>
  <c r="O23" i="9"/>
  <c r="AY22" i="9"/>
  <c r="AM22" i="9"/>
  <c r="O22" i="9"/>
  <c r="AY21" i="9"/>
  <c r="AM21" i="9"/>
  <c r="O21" i="9"/>
  <c r="AY20" i="9"/>
  <c r="AM20" i="9"/>
  <c r="O20" i="9"/>
  <c r="O19" i="9"/>
  <c r="BB19" i="9" s="1"/>
  <c r="BB25" i="9" s="1"/>
  <c r="AV14" i="9"/>
  <c r="AT14" i="9"/>
  <c r="AQ14" i="9"/>
  <c r="AN14" i="9"/>
  <c r="AH14" i="9"/>
  <c r="AE14" i="9"/>
  <c r="AB14" i="9"/>
  <c r="V14" i="9"/>
  <c r="S14" i="9"/>
  <c r="P14" i="9"/>
  <c r="L14" i="9"/>
  <c r="J14" i="9"/>
  <c r="D14" i="9"/>
  <c r="AT13" i="9"/>
  <c r="AQ13" i="9"/>
  <c r="AN13" i="9"/>
  <c r="AH13" i="9"/>
  <c r="AE13" i="9"/>
  <c r="AB13" i="9"/>
  <c r="V13" i="9"/>
  <c r="S13" i="9"/>
  <c r="P13" i="9"/>
  <c r="L13" i="9"/>
  <c r="J13" i="9"/>
  <c r="D13" i="9"/>
  <c r="AV12" i="9"/>
  <c r="AT12" i="9"/>
  <c r="AQ12" i="9"/>
  <c r="AN12" i="9"/>
  <c r="AH12" i="9"/>
  <c r="AE12" i="9"/>
  <c r="AB12" i="9"/>
  <c r="V12" i="9"/>
  <c r="S12" i="9"/>
  <c r="P12" i="9"/>
  <c r="L12" i="9"/>
  <c r="J12" i="9"/>
  <c r="D12" i="9"/>
  <c r="AM9" i="9"/>
  <c r="AY8" i="9"/>
  <c r="AM8" i="9"/>
  <c r="AY7" i="9"/>
  <c r="AM7" i="9"/>
  <c r="AY6" i="9"/>
  <c r="AM6" i="9"/>
  <c r="O6" i="9"/>
  <c r="AY5" i="9"/>
  <c r="AM5" i="9"/>
  <c r="O5" i="9"/>
  <c r="AY4" i="9"/>
  <c r="AM4" i="9"/>
  <c r="O4" i="9"/>
  <c r="AY3" i="9"/>
  <c r="AM3" i="9"/>
  <c r="O3" i="9"/>
  <c r="U21" i="2"/>
  <c r="U22" i="2"/>
  <c r="U23" i="2"/>
  <c r="U24" i="2"/>
  <c r="U25" i="2"/>
  <c r="U26" i="2"/>
  <c r="U27" i="2"/>
  <c r="U18" i="2"/>
  <c r="U12" i="2"/>
  <c r="U13" i="2"/>
  <c r="U14" i="2"/>
  <c r="U15" i="2"/>
  <c r="P15" i="9" l="1"/>
  <c r="BB48" i="9"/>
  <c r="BB21" i="9"/>
  <c r="BB37" i="9"/>
  <c r="BB42" i="9" s="1"/>
  <c r="BB30" i="9"/>
  <c r="BB31" i="9"/>
  <c r="BB39" i="9"/>
  <c r="AY34" i="9"/>
  <c r="AY13" i="9"/>
  <c r="O13" i="9"/>
  <c r="AA13" i="9"/>
  <c r="AJ11" i="9"/>
  <c r="AM11" i="9" s="1"/>
  <c r="AS11" i="9"/>
  <c r="AS15" i="9" s="1"/>
  <c r="BB8" i="9"/>
  <c r="BB6" i="9"/>
  <c r="AM13" i="9"/>
  <c r="BB7" i="9"/>
  <c r="BB5" i="9"/>
  <c r="AP11" i="9"/>
  <c r="AP15" i="9" s="1"/>
  <c r="AV11" i="9"/>
  <c r="AV15" i="9" s="1"/>
  <c r="AT15" i="9"/>
  <c r="AW13" i="9"/>
  <c r="O34" i="9"/>
  <c r="AM34" i="9"/>
  <c r="BB29" i="9"/>
  <c r="BB33" i="9"/>
  <c r="AQ15" i="9"/>
  <c r="AY25" i="9"/>
  <c r="BB23" i="9"/>
  <c r="L15" i="9"/>
  <c r="BB32" i="9"/>
  <c r="BB47" i="9"/>
  <c r="BB9" i="9"/>
  <c r="BB49" i="9"/>
  <c r="O11" i="9"/>
  <c r="M11" i="9"/>
  <c r="AW11" i="9"/>
  <c r="AK11" i="9"/>
  <c r="Y12" i="9"/>
  <c r="Y11" i="9"/>
  <c r="M12" i="9"/>
  <c r="CP8" i="7"/>
  <c r="BR8" i="7"/>
  <c r="AT8" i="7"/>
  <c r="V8" i="7"/>
  <c r="AW14" i="9"/>
  <c r="AW12" i="9"/>
  <c r="AK12" i="9"/>
  <c r="AK13" i="9"/>
  <c r="AK14" i="9"/>
  <c r="Y13" i="9"/>
  <c r="Y14" i="9"/>
  <c r="M13" i="9"/>
  <c r="BB28" i="9"/>
  <c r="BB34" i="9" s="1"/>
  <c r="AM14" i="9"/>
  <c r="X14" i="9"/>
  <c r="U12" i="9"/>
  <c r="BB4" i="9"/>
  <c r="D15" i="9"/>
  <c r="AM12" i="9"/>
  <c r="I15" i="9"/>
  <c r="AA11" i="9"/>
  <c r="AD15" i="9"/>
  <c r="AY12" i="9"/>
  <c r="M14" i="9"/>
  <c r="AG15" i="9"/>
  <c r="O12" i="9"/>
  <c r="AB15" i="9"/>
  <c r="AN15" i="9"/>
  <c r="BB3" i="9"/>
  <c r="S15" i="9"/>
  <c r="AE15" i="9"/>
  <c r="O14" i="9"/>
  <c r="AY14" i="9"/>
  <c r="F15" i="9"/>
  <c r="R15" i="9"/>
  <c r="BB22" i="9"/>
  <c r="O25" i="9"/>
  <c r="J15" i="9"/>
  <c r="V15" i="9"/>
  <c r="AH15" i="9"/>
  <c r="BB20" i="9"/>
  <c r="BB24" i="9"/>
  <c r="O51" i="9"/>
  <c r="AM51" i="9"/>
  <c r="O42" i="9"/>
  <c r="AM42" i="9"/>
  <c r="AY42" i="9"/>
  <c r="BB38" i="9"/>
  <c r="BB40" i="9"/>
  <c r="BB41" i="9"/>
  <c r="BB45" i="9"/>
  <c r="BB46" i="9"/>
  <c r="BB50" i="9"/>
  <c r="AY51" i="9"/>
  <c r="R31" i="2"/>
  <c r="AJ15" i="9" l="1"/>
  <c r="AM15" i="9" s="1"/>
  <c r="BB13" i="9"/>
  <c r="AA14" i="9"/>
  <c r="AA12" i="9"/>
  <c r="BB12" i="9" s="1"/>
  <c r="U15" i="9"/>
  <c r="X15" i="9"/>
  <c r="AY11" i="9"/>
  <c r="AZ11" i="9"/>
  <c r="AZ13" i="9"/>
  <c r="CV8" i="7"/>
  <c r="AZ12" i="9"/>
  <c r="O15" i="9"/>
  <c r="AZ14" i="9"/>
  <c r="AW15" i="9"/>
  <c r="M15" i="9"/>
  <c r="AK15" i="9"/>
  <c r="Y15" i="9"/>
  <c r="AF22" i="6"/>
  <c r="AA16" i="6"/>
  <c r="BB11" i="9" l="1"/>
  <c r="AA15" i="9"/>
  <c r="BB14" i="9"/>
  <c r="AY15" i="9"/>
  <c r="AZ15" i="9"/>
  <c r="AP16" i="6"/>
  <c r="AA22" i="6"/>
  <c r="BB15" i="9" l="1"/>
  <c r="AF51" i="7"/>
  <c r="AL51" i="7"/>
  <c r="AR51" i="7"/>
  <c r="AF30" i="7"/>
  <c r="AL30" i="7"/>
  <c r="AR30" i="7"/>
  <c r="BO47" i="6"/>
  <c r="AK31" i="6"/>
  <c r="AF31" i="6"/>
  <c r="AA31" i="6"/>
  <c r="AS46" i="7"/>
  <c r="AX46" i="7"/>
  <c r="CZ46" i="7" s="1"/>
  <c r="AM46" i="7"/>
  <c r="Q51" i="5"/>
  <c r="G51" i="5"/>
  <c r="CD5" i="5" l="1"/>
  <c r="BJ5" i="5"/>
  <c r="BJ7" i="5"/>
  <c r="BJ8" i="5"/>
  <c r="BJ9" i="5"/>
  <c r="AP5" i="5"/>
  <c r="AP7" i="5"/>
  <c r="AP8" i="5"/>
  <c r="AP9" i="5"/>
  <c r="CE99" i="2" l="1"/>
  <c r="BZ99" i="2"/>
  <c r="BU99" i="2"/>
  <c r="BP99" i="2"/>
  <c r="BK99" i="2"/>
  <c r="BF99" i="2"/>
  <c r="BA99" i="2"/>
  <c r="AV99" i="2"/>
  <c r="AQ99" i="2"/>
  <c r="AL99" i="2"/>
  <c r="AG99" i="2"/>
  <c r="AB99" i="2"/>
  <c r="W99" i="2"/>
  <c r="R99" i="2"/>
  <c r="M99" i="2"/>
  <c r="H99" i="2"/>
  <c r="C99" i="2"/>
  <c r="CC97" i="2"/>
  <c r="CA97" i="2"/>
  <c r="CB97" i="2" s="1"/>
  <c r="BI97" i="2"/>
  <c r="BG97" i="2"/>
  <c r="BH97" i="2" s="1"/>
  <c r="AO97" i="2"/>
  <c r="AM97" i="2"/>
  <c r="AN97" i="2" s="1"/>
  <c r="U97" i="2"/>
  <c r="S97" i="2"/>
  <c r="T97" i="2" s="1"/>
  <c r="Q97" i="2"/>
  <c r="O97" i="2"/>
  <c r="L97" i="2"/>
  <c r="J97" i="2"/>
  <c r="G97" i="2"/>
  <c r="E97" i="2"/>
  <c r="CK11" i="7"/>
  <c r="CK10" i="7"/>
  <c r="CK9" i="7"/>
  <c r="CK8" i="7"/>
  <c r="CE11" i="7"/>
  <c r="CE10" i="7"/>
  <c r="CE9" i="7"/>
  <c r="CE8" i="7"/>
  <c r="BY11" i="7"/>
  <c r="BY10" i="7"/>
  <c r="BY9" i="7"/>
  <c r="BY8" i="7"/>
  <c r="BM11" i="7"/>
  <c r="BM10" i="7"/>
  <c r="BM9" i="7"/>
  <c r="BM8" i="7"/>
  <c r="BG11" i="7"/>
  <c r="BG10" i="7"/>
  <c r="BG9" i="7"/>
  <c r="BG8" i="7"/>
  <c r="BA11" i="7"/>
  <c r="BA10" i="7"/>
  <c r="BA9" i="7"/>
  <c r="BA8" i="7"/>
  <c r="AO11" i="7"/>
  <c r="AO10" i="7"/>
  <c r="AO9" i="7"/>
  <c r="AO8" i="7"/>
  <c r="AI11" i="7"/>
  <c r="AI10" i="7"/>
  <c r="AI9" i="7"/>
  <c r="AI8" i="7"/>
  <c r="AC11" i="7"/>
  <c r="AC10" i="7"/>
  <c r="AC9" i="7"/>
  <c r="AC8" i="7"/>
  <c r="Q11" i="7"/>
  <c r="Q10" i="7"/>
  <c r="Q9" i="7"/>
  <c r="Q8" i="7"/>
  <c r="K11" i="7"/>
  <c r="K10" i="7"/>
  <c r="K9" i="7"/>
  <c r="K8" i="7"/>
  <c r="E11" i="7"/>
  <c r="E10" i="7"/>
  <c r="E9" i="7"/>
  <c r="E8" i="7"/>
  <c r="AK48" i="6"/>
  <c r="AK49" i="6"/>
  <c r="AF48" i="6"/>
  <c r="AF49" i="6"/>
  <c r="AA47" i="6"/>
  <c r="AA48" i="6"/>
  <c r="AA49" i="6"/>
  <c r="L48" i="6"/>
  <c r="L49" i="6"/>
  <c r="L47" i="6"/>
  <c r="Q48" i="6"/>
  <c r="Q49" i="6"/>
  <c r="CD7" i="5"/>
  <c r="CI7" i="5" s="1"/>
  <c r="CD8" i="5"/>
  <c r="AB7" i="5"/>
  <c r="AS45" i="7"/>
  <c r="AM45" i="7"/>
  <c r="AP97" i="2" l="1"/>
  <c r="BJ97" i="2"/>
  <c r="CD97" i="2"/>
  <c r="CF97" i="2"/>
  <c r="CG97" i="2" s="1"/>
  <c r="CH97" i="2"/>
  <c r="V97" i="2"/>
  <c r="CQ9" i="7"/>
  <c r="AU10" i="7"/>
  <c r="CK12" i="7"/>
  <c r="CQ11" i="7"/>
  <c r="BG12" i="7"/>
  <c r="AC12" i="7"/>
  <c r="W11" i="7"/>
  <c r="CQ10" i="7"/>
  <c r="CE12" i="7"/>
  <c r="BY12" i="7"/>
  <c r="CQ8" i="7"/>
  <c r="BM12" i="7"/>
  <c r="BS11" i="7"/>
  <c r="BS10" i="7"/>
  <c r="BS9" i="7"/>
  <c r="BA12" i="7"/>
  <c r="BS8" i="7"/>
  <c r="AO12" i="7"/>
  <c r="AU11" i="7"/>
  <c r="AI12" i="7"/>
  <c r="AU9" i="7"/>
  <c r="AU8" i="7"/>
  <c r="W9" i="7"/>
  <c r="Q12" i="7"/>
  <c r="W10" i="7"/>
  <c r="K12" i="7"/>
  <c r="E12" i="7"/>
  <c r="W8" i="7"/>
  <c r="CI97" i="2" l="1"/>
  <c r="CQ12" i="7"/>
  <c r="BS12" i="7"/>
  <c r="CW10" i="7"/>
  <c r="CW11" i="7"/>
  <c r="AU12" i="7"/>
  <c r="CW9" i="7"/>
  <c r="W12" i="7"/>
  <c r="CW8" i="7"/>
  <c r="P54" i="2"/>
  <c r="CW12" i="7" l="1"/>
  <c r="K54" i="2"/>
  <c r="N51" i="7" l="1"/>
  <c r="T51" i="7" l="1"/>
  <c r="V5" i="5" l="1"/>
  <c r="CI5" i="5" s="1"/>
  <c r="CD32" i="5" l="1"/>
  <c r="CB32" i="5"/>
  <c r="CC32" i="5" s="1"/>
  <c r="BZ32" i="5"/>
  <c r="BX32" i="5"/>
  <c r="BU32" i="5"/>
  <c r="BS32" i="5"/>
  <c r="BP32" i="5"/>
  <c r="BN32" i="5"/>
  <c r="BJ32" i="5"/>
  <c r="BH32" i="5"/>
  <c r="BI32" i="5" s="1"/>
  <c r="BF32" i="5"/>
  <c r="BD32" i="5"/>
  <c r="BA32" i="5"/>
  <c r="AY32" i="5"/>
  <c r="AV32" i="5"/>
  <c r="AT32" i="5"/>
  <c r="AP32" i="5"/>
  <c r="AN32" i="5"/>
  <c r="AO32" i="5" s="1"/>
  <c r="AL32" i="5"/>
  <c r="AJ32" i="5"/>
  <c r="AG32" i="5"/>
  <c r="AE32" i="5"/>
  <c r="AB32" i="5"/>
  <c r="Z32" i="5"/>
  <c r="V32" i="5"/>
  <c r="T32" i="5"/>
  <c r="U32" i="5" s="1"/>
  <c r="R32" i="5"/>
  <c r="P32" i="5"/>
  <c r="M32" i="5"/>
  <c r="K32" i="5"/>
  <c r="H32" i="5"/>
  <c r="F32" i="5"/>
  <c r="CD46" i="6"/>
  <c r="CB46" i="6"/>
  <c r="CC46" i="6" s="1"/>
  <c r="BZ46" i="6"/>
  <c r="BX46" i="6"/>
  <c r="BU46" i="6"/>
  <c r="BS46" i="6"/>
  <c r="BP46" i="6"/>
  <c r="BN46" i="6"/>
  <c r="BJ46" i="6"/>
  <c r="BH46" i="6"/>
  <c r="BI46" i="6" s="1"/>
  <c r="BF46" i="6"/>
  <c r="BD46" i="6"/>
  <c r="BA46" i="6"/>
  <c r="AY46" i="6"/>
  <c r="AV46" i="6"/>
  <c r="AT46" i="6"/>
  <c r="AP46" i="6"/>
  <c r="AN46" i="6"/>
  <c r="CG46" i="6" s="1"/>
  <c r="CH46" i="6" s="1"/>
  <c r="AL46" i="6"/>
  <c r="AJ46" i="6"/>
  <c r="AG46" i="6"/>
  <c r="AE46" i="6"/>
  <c r="AB46" i="6"/>
  <c r="Z46" i="6"/>
  <c r="V46" i="6"/>
  <c r="T46" i="6"/>
  <c r="U46" i="6" s="1"/>
  <c r="R46" i="6"/>
  <c r="P46" i="6"/>
  <c r="M46" i="6"/>
  <c r="K46" i="6"/>
  <c r="H46" i="6"/>
  <c r="F46" i="6"/>
  <c r="AU40" i="6"/>
  <c r="AU10" i="6" s="1"/>
  <c r="L40" i="6"/>
  <c r="BY42" i="5"/>
  <c r="BT42" i="5"/>
  <c r="BO42" i="5"/>
  <c r="BE42" i="5"/>
  <c r="AZ42" i="5"/>
  <c r="AU42" i="5"/>
  <c r="AK42" i="5"/>
  <c r="AF42" i="5"/>
  <c r="AA42" i="5"/>
  <c r="BY10" i="6"/>
  <c r="BY9" i="6"/>
  <c r="BY8" i="6"/>
  <c r="BT10" i="6"/>
  <c r="BT9" i="6"/>
  <c r="BT8" i="6"/>
  <c r="BO10" i="6"/>
  <c r="BO9" i="6"/>
  <c r="BO8" i="6"/>
  <c r="BE10" i="6"/>
  <c r="BE9" i="6"/>
  <c r="BE8" i="6"/>
  <c r="AZ10" i="6"/>
  <c r="AZ9" i="6"/>
  <c r="AZ8" i="6"/>
  <c r="AU9" i="6"/>
  <c r="AU8" i="6"/>
  <c r="AF10" i="6"/>
  <c r="AF9" i="6"/>
  <c r="AF8" i="6"/>
  <c r="AA10" i="6"/>
  <c r="AA9" i="6"/>
  <c r="AA8" i="6"/>
  <c r="L31" i="6"/>
  <c r="U85" i="2"/>
  <c r="AG45" i="7"/>
  <c r="AX45" i="7"/>
  <c r="CZ45" i="7" s="1"/>
  <c r="U45" i="7"/>
  <c r="Z45" i="7"/>
  <c r="O45" i="7"/>
  <c r="I45" i="7"/>
  <c r="CD49" i="5"/>
  <c r="BY51" i="5"/>
  <c r="BT51" i="5"/>
  <c r="BO51" i="5"/>
  <c r="BE51" i="5"/>
  <c r="AZ51" i="5"/>
  <c r="AU51" i="5"/>
  <c r="AK51" i="5"/>
  <c r="AF51" i="5"/>
  <c r="AA51" i="5"/>
  <c r="L51" i="5"/>
  <c r="BJ47" i="5"/>
  <c r="CD47" i="5"/>
  <c r="CX45" i="7"/>
  <c r="AA50" i="6" l="1"/>
  <c r="AA11" i="6" s="1"/>
  <c r="AF50" i="6"/>
  <c r="AF11" i="6" s="1"/>
  <c r="AF12" i="6" s="1"/>
  <c r="AK50" i="6"/>
  <c r="Q50" i="6"/>
  <c r="DA45" i="7"/>
  <c r="BE50" i="6"/>
  <c r="BE11" i="6" s="1"/>
  <c r="BE12" i="6" s="1"/>
  <c r="W46" i="6"/>
  <c r="AQ46" i="6"/>
  <c r="BK46" i="6"/>
  <c r="CE46" i="6"/>
  <c r="W32" i="5"/>
  <c r="AQ32" i="5"/>
  <c r="CE32" i="5"/>
  <c r="BK32" i="5"/>
  <c r="CG32" i="5"/>
  <c r="CH32" i="5" s="1"/>
  <c r="CI32" i="5"/>
  <c r="BY50" i="6"/>
  <c r="BY11" i="6" s="1"/>
  <c r="BY12" i="6" s="1"/>
  <c r="AU50" i="6"/>
  <c r="AU11" i="6" s="1"/>
  <c r="AU12" i="6" s="1"/>
  <c r="BT50" i="6"/>
  <c r="BT11" i="6" s="1"/>
  <c r="BT12" i="6" s="1"/>
  <c r="BO50" i="6"/>
  <c r="BO11" i="6" s="1"/>
  <c r="BO12" i="6" s="1"/>
  <c r="L50" i="6"/>
  <c r="L11" i="6" s="1"/>
  <c r="AZ50" i="6"/>
  <c r="AZ11" i="6" s="1"/>
  <c r="AZ12" i="6" s="1"/>
  <c r="AO46" i="6"/>
  <c r="CI46" i="6"/>
  <c r="CJ46" i="6" s="1"/>
  <c r="CI47" i="5"/>
  <c r="CJ11" i="7"/>
  <c r="CJ10" i="7"/>
  <c r="CJ9" i="7"/>
  <c r="CD11" i="7"/>
  <c r="CD10" i="7"/>
  <c r="CD9" i="7"/>
  <c r="BX11" i="7"/>
  <c r="BX10" i="7"/>
  <c r="BX9" i="7"/>
  <c r="BL11" i="7"/>
  <c r="BL10" i="7"/>
  <c r="BL9" i="7"/>
  <c r="BF11" i="7"/>
  <c r="BF10" i="7"/>
  <c r="BF9" i="7"/>
  <c r="AZ11" i="7"/>
  <c r="AZ10" i="7"/>
  <c r="AZ9" i="7"/>
  <c r="AN11" i="7"/>
  <c r="AN10" i="7"/>
  <c r="AN9" i="7"/>
  <c r="AH11" i="7"/>
  <c r="AH10" i="7"/>
  <c r="AH9" i="7"/>
  <c r="AB11" i="7"/>
  <c r="AB10" i="7"/>
  <c r="AB9" i="7"/>
  <c r="P11" i="7"/>
  <c r="P10" i="7"/>
  <c r="P9" i="7"/>
  <c r="J11" i="7"/>
  <c r="J10" i="7"/>
  <c r="J9" i="7"/>
  <c r="D11" i="7"/>
  <c r="D10" i="7"/>
  <c r="D9" i="7"/>
  <c r="AA12" i="6" l="1"/>
  <c r="BS31" i="2"/>
  <c r="BD31" i="2"/>
  <c r="BD4" i="2" s="1"/>
  <c r="BX31" i="2"/>
  <c r="CJ32" i="5"/>
  <c r="BN31" i="2"/>
  <c r="BN4" i="2" s="1"/>
  <c r="BR9" i="7"/>
  <c r="AT9" i="7"/>
  <c r="AT11" i="7"/>
  <c r="CP9" i="7"/>
  <c r="AT10" i="7"/>
  <c r="BR10" i="7"/>
  <c r="CP10" i="7"/>
  <c r="BR11" i="7"/>
  <c r="CP11" i="7"/>
  <c r="AT12" i="7" l="1"/>
  <c r="CP12" i="7"/>
  <c r="BR12" i="7"/>
  <c r="H51" i="7" l="1"/>
  <c r="L10" i="6"/>
  <c r="L9" i="6"/>
  <c r="L8" i="6"/>
  <c r="L12" i="6" l="1"/>
  <c r="I12" i="5"/>
  <c r="F51" i="7"/>
  <c r="F11" i="7" s="1"/>
  <c r="CT50" i="7"/>
  <c r="CR50" i="7"/>
  <c r="CS50" i="7" s="1"/>
  <c r="CO50" i="7"/>
  <c r="CM50" i="7"/>
  <c r="CI50" i="7"/>
  <c r="CG50" i="7"/>
  <c r="CC50" i="7"/>
  <c r="CA50" i="7"/>
  <c r="BV50" i="7"/>
  <c r="BT50" i="7"/>
  <c r="BU50" i="7" s="1"/>
  <c r="BQ50" i="7"/>
  <c r="BO50" i="7"/>
  <c r="BK50" i="7"/>
  <c r="BI50" i="7"/>
  <c r="BE50" i="7"/>
  <c r="BC50" i="7"/>
  <c r="AX50" i="7"/>
  <c r="AV50" i="7"/>
  <c r="AW50" i="7" s="1"/>
  <c r="AS50" i="7"/>
  <c r="AQ50" i="7"/>
  <c r="AM50" i="7"/>
  <c r="AK50" i="7"/>
  <c r="AG50" i="7"/>
  <c r="AE50" i="7"/>
  <c r="Z50" i="7"/>
  <c r="X50" i="7"/>
  <c r="Y50" i="7" s="1"/>
  <c r="U50" i="7"/>
  <c r="S50" i="7"/>
  <c r="O50" i="7"/>
  <c r="M50" i="7"/>
  <c r="I50" i="7"/>
  <c r="G50" i="7"/>
  <c r="D10" i="6"/>
  <c r="D9" i="6"/>
  <c r="J50" i="6"/>
  <c r="J11" i="6" s="1"/>
  <c r="G50" i="6"/>
  <c r="E50" i="6"/>
  <c r="E11" i="6" s="1"/>
  <c r="BV11" i="6"/>
  <c r="BV10" i="6"/>
  <c r="BV9" i="6"/>
  <c r="BV8" i="6"/>
  <c r="BQ11" i="6"/>
  <c r="BQ10" i="6"/>
  <c r="BQ9" i="6"/>
  <c r="BQ8" i="6"/>
  <c r="BL11" i="6"/>
  <c r="BL10" i="6"/>
  <c r="BN10" i="6" s="1"/>
  <c r="BL9" i="6"/>
  <c r="BN9" i="6" s="1"/>
  <c r="BL8" i="6"/>
  <c r="BN8" i="6" s="1"/>
  <c r="BB11" i="6"/>
  <c r="BB10" i="6"/>
  <c r="BB9" i="6"/>
  <c r="BB8" i="6"/>
  <c r="AW11" i="6"/>
  <c r="AW10" i="6"/>
  <c r="AW9" i="6"/>
  <c r="AW8" i="6"/>
  <c r="AR11" i="6"/>
  <c r="AR10" i="6"/>
  <c r="AR9" i="6"/>
  <c r="AR8" i="6"/>
  <c r="AH11" i="6"/>
  <c r="AH10" i="6"/>
  <c r="AH9" i="6"/>
  <c r="AH8" i="6"/>
  <c r="AC11" i="6"/>
  <c r="AC10" i="6"/>
  <c r="AC9" i="6"/>
  <c r="AC8" i="6"/>
  <c r="X11" i="6"/>
  <c r="X10" i="6"/>
  <c r="X9" i="6"/>
  <c r="X8" i="6"/>
  <c r="N11" i="6"/>
  <c r="N10" i="6"/>
  <c r="N9" i="6"/>
  <c r="N8" i="6"/>
  <c r="I11" i="6"/>
  <c r="I10" i="6"/>
  <c r="I9" i="6"/>
  <c r="I8" i="6"/>
  <c r="D11" i="6"/>
  <c r="D8" i="6"/>
  <c r="AL50" i="5"/>
  <c r="M50" i="5"/>
  <c r="D14" i="5"/>
  <c r="D13" i="5"/>
  <c r="D12" i="5"/>
  <c r="CB6" i="5"/>
  <c r="CC6" i="5" s="1"/>
  <c r="BX6" i="5"/>
  <c r="BZ6" i="5" s="1"/>
  <c r="BS6" i="5"/>
  <c r="BU6" i="5" s="1"/>
  <c r="BN6" i="5"/>
  <c r="BP6" i="5" s="1"/>
  <c r="BH6" i="5"/>
  <c r="BI6" i="5" s="1"/>
  <c r="BD6" i="5"/>
  <c r="BF6" i="5" s="1"/>
  <c r="AY6" i="5"/>
  <c r="BA6" i="5" s="1"/>
  <c r="AT6" i="5"/>
  <c r="AN6" i="5"/>
  <c r="AO6" i="5" s="1"/>
  <c r="AJ6" i="5"/>
  <c r="AL6" i="5" s="1"/>
  <c r="Z6" i="5"/>
  <c r="T6" i="5"/>
  <c r="P6" i="5"/>
  <c r="R6" i="5" s="1"/>
  <c r="K6" i="5"/>
  <c r="M6" i="5" s="1"/>
  <c r="F6" i="5"/>
  <c r="BV14" i="5"/>
  <c r="BV13" i="5"/>
  <c r="BV12" i="5"/>
  <c r="BV11" i="5"/>
  <c r="BQ14" i="5"/>
  <c r="BQ13" i="5"/>
  <c r="BQ12" i="5"/>
  <c r="BQ11" i="5"/>
  <c r="BL14" i="5"/>
  <c r="BL13" i="5"/>
  <c r="BL12" i="5"/>
  <c r="BL11" i="5"/>
  <c r="BB14" i="5"/>
  <c r="BB13" i="5"/>
  <c r="BB12" i="5"/>
  <c r="BB11" i="5"/>
  <c r="AW14" i="5"/>
  <c r="AW13" i="5"/>
  <c r="AW12" i="5"/>
  <c r="AW11" i="5"/>
  <c r="AR14" i="5"/>
  <c r="AR13" i="5"/>
  <c r="AR12" i="5"/>
  <c r="AR11" i="5"/>
  <c r="AH14" i="5"/>
  <c r="AH13" i="5"/>
  <c r="AH12" i="5"/>
  <c r="AH11" i="5"/>
  <c r="AC14" i="5"/>
  <c r="AC13" i="5"/>
  <c r="AC12" i="5"/>
  <c r="AC11" i="5"/>
  <c r="X14" i="5"/>
  <c r="X13" i="5"/>
  <c r="X12" i="5"/>
  <c r="X11" i="5"/>
  <c r="N13" i="5"/>
  <c r="N12" i="5"/>
  <c r="N11" i="5"/>
  <c r="I14" i="5"/>
  <c r="I13" i="5"/>
  <c r="I11" i="5"/>
  <c r="D11" i="5"/>
  <c r="CB50" i="5"/>
  <c r="CC50" i="5" s="1"/>
  <c r="CD50" i="5"/>
  <c r="BZ50" i="5"/>
  <c r="BX50" i="5"/>
  <c r="BU50" i="5"/>
  <c r="BS50" i="5"/>
  <c r="BP50" i="5"/>
  <c r="BN50" i="5"/>
  <c r="BH50" i="5"/>
  <c r="BI50" i="5" s="1"/>
  <c r="BJ50" i="5"/>
  <c r="BF50" i="5"/>
  <c r="BD50" i="5"/>
  <c r="BA50" i="5"/>
  <c r="AY50" i="5"/>
  <c r="AV50" i="5"/>
  <c r="AT50" i="5"/>
  <c r="AN50" i="5"/>
  <c r="CG50" i="5" s="1"/>
  <c r="AP50" i="5"/>
  <c r="AJ50" i="5"/>
  <c r="AG50" i="5"/>
  <c r="AE50" i="5"/>
  <c r="AB50" i="5"/>
  <c r="Z50" i="5"/>
  <c r="T50" i="5"/>
  <c r="U50" i="5" s="1"/>
  <c r="V50" i="5"/>
  <c r="R50" i="5"/>
  <c r="P50" i="5"/>
  <c r="K50" i="5"/>
  <c r="H50" i="5"/>
  <c r="F50" i="5"/>
  <c r="E51" i="5"/>
  <c r="E14" i="5" s="1"/>
  <c r="CN51" i="7"/>
  <c r="CN11" i="7" s="1"/>
  <c r="CL51" i="7"/>
  <c r="CM51" i="7" s="1"/>
  <c r="CH51" i="7"/>
  <c r="CF51" i="7"/>
  <c r="CB51" i="7"/>
  <c r="CB11" i="7" s="1"/>
  <c r="BZ51" i="7"/>
  <c r="CA51" i="7" s="1"/>
  <c r="BP51" i="7"/>
  <c r="BP11" i="7" s="1"/>
  <c r="BN51" i="7"/>
  <c r="BN11" i="7" s="1"/>
  <c r="BO11" i="7" s="1"/>
  <c r="BJ51" i="7"/>
  <c r="BH51" i="7"/>
  <c r="BH11" i="7" s="1"/>
  <c r="BI11" i="7" s="1"/>
  <c r="BD51" i="7"/>
  <c r="BD11" i="7" s="1"/>
  <c r="BB51" i="7"/>
  <c r="BB11" i="7" s="1"/>
  <c r="AP51" i="7"/>
  <c r="AP11" i="7" s="1"/>
  <c r="AQ11" i="7" s="1"/>
  <c r="AL11" i="7"/>
  <c r="AJ51" i="7"/>
  <c r="AJ11" i="7" s="1"/>
  <c r="AF11" i="7"/>
  <c r="AD51" i="7"/>
  <c r="AE51" i="7" s="1"/>
  <c r="R51" i="7"/>
  <c r="L51" i="7"/>
  <c r="M51" i="7" s="1"/>
  <c r="CT44" i="7"/>
  <c r="CR44" i="7"/>
  <c r="CS44" i="7" s="1"/>
  <c r="CO44" i="7"/>
  <c r="CM44" i="7"/>
  <c r="CI44" i="7"/>
  <c r="CG44" i="7"/>
  <c r="CC44" i="7"/>
  <c r="CA44" i="7"/>
  <c r="BV44" i="7"/>
  <c r="BT44" i="7"/>
  <c r="BQ44" i="7"/>
  <c r="BO44" i="7"/>
  <c r="BK44" i="7"/>
  <c r="BE44" i="7"/>
  <c r="BC44" i="7"/>
  <c r="AX44" i="7"/>
  <c r="AV44" i="7"/>
  <c r="AS44" i="7"/>
  <c r="AQ44" i="7"/>
  <c r="AM44" i="7"/>
  <c r="AK44" i="7"/>
  <c r="AG44" i="7"/>
  <c r="AE44" i="7"/>
  <c r="Z44" i="7"/>
  <c r="X44" i="7"/>
  <c r="U44" i="7"/>
  <c r="S44" i="7"/>
  <c r="O44" i="7"/>
  <c r="M44" i="7"/>
  <c r="I44" i="7"/>
  <c r="G44" i="7"/>
  <c r="CT43" i="7"/>
  <c r="CR43" i="7"/>
  <c r="CO43" i="7"/>
  <c r="CM43" i="7"/>
  <c r="CI43" i="7"/>
  <c r="CG43" i="7"/>
  <c r="CC43" i="7"/>
  <c r="CA43" i="7"/>
  <c r="BV43" i="7"/>
  <c r="BT43" i="7"/>
  <c r="BQ43" i="7"/>
  <c r="BO43" i="7"/>
  <c r="BK43" i="7"/>
  <c r="BE43" i="7"/>
  <c r="BC43" i="7"/>
  <c r="AX43" i="7"/>
  <c r="AV43" i="7"/>
  <c r="AW43" i="7" s="1"/>
  <c r="AS43" i="7"/>
  <c r="AQ43" i="7"/>
  <c r="AM43" i="7"/>
  <c r="AK43" i="7"/>
  <c r="AG43" i="7"/>
  <c r="AE43" i="7"/>
  <c r="Z43" i="7"/>
  <c r="X43" i="7"/>
  <c r="Y43" i="7" s="1"/>
  <c r="U43" i="7"/>
  <c r="S43" i="7"/>
  <c r="O43" i="7"/>
  <c r="M43" i="7"/>
  <c r="I43" i="7"/>
  <c r="G43" i="7"/>
  <c r="CT42" i="7"/>
  <c r="CR42" i="7"/>
  <c r="CO42" i="7"/>
  <c r="CM42" i="7"/>
  <c r="CI42" i="7"/>
  <c r="CG42" i="7"/>
  <c r="CC42" i="7"/>
  <c r="CA42" i="7"/>
  <c r="BV42" i="7"/>
  <c r="BT42" i="7"/>
  <c r="BQ42" i="7"/>
  <c r="BO42" i="7"/>
  <c r="BK42" i="7"/>
  <c r="BE42" i="7"/>
  <c r="BC42" i="7"/>
  <c r="AX42" i="7"/>
  <c r="AV42" i="7"/>
  <c r="AS42" i="7"/>
  <c r="AQ42" i="7"/>
  <c r="AM42" i="7"/>
  <c r="AK42" i="7"/>
  <c r="AG42" i="7"/>
  <c r="AE42" i="7"/>
  <c r="Z42" i="7"/>
  <c r="X42" i="7"/>
  <c r="U42" i="7"/>
  <c r="S42" i="7"/>
  <c r="O42" i="7"/>
  <c r="M42" i="7"/>
  <c r="I42" i="7"/>
  <c r="G42" i="7"/>
  <c r="CN39" i="7"/>
  <c r="CL39" i="7"/>
  <c r="CM39" i="7" s="1"/>
  <c r="CH39" i="7"/>
  <c r="CF39" i="7"/>
  <c r="CF10" i="7" s="1"/>
  <c r="CB39" i="7"/>
  <c r="CB10" i="7" s="1"/>
  <c r="BZ39" i="7"/>
  <c r="BZ10" i="7" s="1"/>
  <c r="BP39" i="7"/>
  <c r="BP10" i="7" s="1"/>
  <c r="BN39" i="7"/>
  <c r="BO39" i="7" s="1"/>
  <c r="BJ39" i="7"/>
  <c r="BJ10" i="7" s="1"/>
  <c r="BH39" i="7"/>
  <c r="BH10" i="7" s="1"/>
  <c r="BD39" i="7"/>
  <c r="BB39" i="7"/>
  <c r="BC39" i="7" s="1"/>
  <c r="AR39" i="7"/>
  <c r="AR10" i="7" s="1"/>
  <c r="AP39" i="7"/>
  <c r="AQ39" i="7" s="1"/>
  <c r="AL39" i="7"/>
  <c r="AJ39" i="7"/>
  <c r="AJ10" i="7" s="1"/>
  <c r="AF39" i="7"/>
  <c r="AD39" i="7"/>
  <c r="AD10" i="7" s="1"/>
  <c r="T39" i="7"/>
  <c r="R39" i="7"/>
  <c r="S39" i="7" s="1"/>
  <c r="N39" i="7"/>
  <c r="N10" i="7" s="1"/>
  <c r="L39" i="7"/>
  <c r="L10" i="7" s="1"/>
  <c r="M10" i="7" s="1"/>
  <c r="H39" i="7"/>
  <c r="F39" i="7"/>
  <c r="F10" i="7" s="1"/>
  <c r="G10" i="7" s="1"/>
  <c r="CT38" i="7"/>
  <c r="CR38" i="7"/>
  <c r="CO38" i="7"/>
  <c r="CM38" i="7"/>
  <c r="CI38" i="7"/>
  <c r="CG38" i="7"/>
  <c r="CC38" i="7"/>
  <c r="CA38" i="7"/>
  <c r="BV38" i="7"/>
  <c r="BT38" i="7"/>
  <c r="BQ38" i="7"/>
  <c r="BO38" i="7"/>
  <c r="BK38" i="7"/>
  <c r="BE38" i="7"/>
  <c r="BC38" i="7"/>
  <c r="AX38" i="7"/>
  <c r="AV38" i="7"/>
  <c r="AS38" i="7"/>
  <c r="AQ38" i="7"/>
  <c r="AM38" i="7"/>
  <c r="AK38" i="7"/>
  <c r="AG38" i="7"/>
  <c r="AE38" i="7"/>
  <c r="Z38" i="7"/>
  <c r="X38" i="7"/>
  <c r="Y38" i="7" s="1"/>
  <c r="U38" i="7"/>
  <c r="S38" i="7"/>
  <c r="O38" i="7"/>
  <c r="M38" i="7"/>
  <c r="I38" i="7"/>
  <c r="G38" i="7"/>
  <c r="CT37" i="7"/>
  <c r="CR37" i="7"/>
  <c r="CS37" i="7" s="1"/>
  <c r="CO37" i="7"/>
  <c r="CM37" i="7"/>
  <c r="CI37" i="7"/>
  <c r="CG37" i="7"/>
  <c r="CC37" i="7"/>
  <c r="CA37" i="7"/>
  <c r="BV37" i="7"/>
  <c r="BT37" i="7"/>
  <c r="BQ37" i="7"/>
  <c r="BO37" i="7"/>
  <c r="BK37" i="7"/>
  <c r="BE37" i="7"/>
  <c r="BC37" i="7"/>
  <c r="AX37" i="7"/>
  <c r="AV37" i="7"/>
  <c r="AS37" i="7"/>
  <c r="AQ37" i="7"/>
  <c r="AM37" i="7"/>
  <c r="AK37" i="7"/>
  <c r="AG37" i="7"/>
  <c r="AE37" i="7"/>
  <c r="Z37" i="7"/>
  <c r="X37" i="7"/>
  <c r="U37" i="7"/>
  <c r="S37" i="7"/>
  <c r="O37" i="7"/>
  <c r="M37" i="7"/>
  <c r="I37" i="7"/>
  <c r="G37" i="7"/>
  <c r="CT36" i="7"/>
  <c r="CR36" i="7"/>
  <c r="CS36" i="7" s="1"/>
  <c r="CO36" i="7"/>
  <c r="CM36" i="7"/>
  <c r="CI36" i="7"/>
  <c r="CG36" i="7"/>
  <c r="CC36" i="7"/>
  <c r="CA36" i="7"/>
  <c r="BV36" i="7"/>
  <c r="BT36" i="7"/>
  <c r="BU36" i="7" s="1"/>
  <c r="BQ36" i="7"/>
  <c r="BO36" i="7"/>
  <c r="BK36" i="7"/>
  <c r="BE36" i="7"/>
  <c r="BC36" i="7"/>
  <c r="AX36" i="7"/>
  <c r="AV36" i="7"/>
  <c r="AS36" i="7"/>
  <c r="AQ36" i="7"/>
  <c r="AM36" i="7"/>
  <c r="AK36" i="7"/>
  <c r="AG36" i="7"/>
  <c r="AE36" i="7"/>
  <c r="Z36" i="7"/>
  <c r="X36" i="7"/>
  <c r="U36" i="7"/>
  <c r="S36" i="7"/>
  <c r="O36" i="7"/>
  <c r="M36" i="7"/>
  <c r="I36" i="7"/>
  <c r="G36" i="7"/>
  <c r="CT35" i="7"/>
  <c r="CR35" i="7"/>
  <c r="CS35" i="7" s="1"/>
  <c r="CO35" i="7"/>
  <c r="CM35" i="7"/>
  <c r="CI35" i="7"/>
  <c r="CG35" i="7"/>
  <c r="CC35" i="7"/>
  <c r="CA35" i="7"/>
  <c r="BV35" i="7"/>
  <c r="BT35" i="7"/>
  <c r="BQ35" i="7"/>
  <c r="BO35" i="7"/>
  <c r="BK35" i="7"/>
  <c r="BE35" i="7"/>
  <c r="BC35" i="7"/>
  <c r="AX35" i="7"/>
  <c r="AV35" i="7"/>
  <c r="AW35" i="7" s="1"/>
  <c r="AS35" i="7"/>
  <c r="AQ35" i="7"/>
  <c r="AM35" i="7"/>
  <c r="AK35" i="7"/>
  <c r="AG35" i="7"/>
  <c r="AE35" i="7"/>
  <c r="Z35" i="7"/>
  <c r="X35" i="7"/>
  <c r="U35" i="7"/>
  <c r="S35" i="7"/>
  <c r="O35" i="7"/>
  <c r="M35" i="7"/>
  <c r="I35" i="7"/>
  <c r="G35" i="7"/>
  <c r="CT34" i="7"/>
  <c r="CR34" i="7"/>
  <c r="CO34" i="7"/>
  <c r="CM34" i="7"/>
  <c r="CI34" i="7"/>
  <c r="CG34" i="7"/>
  <c r="CC34" i="7"/>
  <c r="CA34" i="7"/>
  <c r="BV34" i="7"/>
  <c r="BT34" i="7"/>
  <c r="BQ34" i="7"/>
  <c r="BO34" i="7"/>
  <c r="BK34" i="7"/>
  <c r="BE34" i="7"/>
  <c r="BC34" i="7"/>
  <c r="AX34" i="7"/>
  <c r="AV34" i="7"/>
  <c r="AW34" i="7" s="1"/>
  <c r="AS34" i="7"/>
  <c r="AQ34" i="7"/>
  <c r="AM34" i="7"/>
  <c r="AK34" i="7"/>
  <c r="AG34" i="7"/>
  <c r="AE34" i="7"/>
  <c r="Z34" i="7"/>
  <c r="X34" i="7"/>
  <c r="U34" i="7"/>
  <c r="S34" i="7"/>
  <c r="O34" i="7"/>
  <c r="M34" i="7"/>
  <c r="I34" i="7"/>
  <c r="G34" i="7"/>
  <c r="CT33" i="7"/>
  <c r="CR33" i="7"/>
  <c r="CS33" i="7" s="1"/>
  <c r="CO33" i="7"/>
  <c r="CM33" i="7"/>
  <c r="CI33" i="7"/>
  <c r="CG33" i="7"/>
  <c r="CC33" i="7"/>
  <c r="CA33" i="7"/>
  <c r="BV33" i="7"/>
  <c r="BT33" i="7"/>
  <c r="BQ33" i="7"/>
  <c r="BO33" i="7"/>
  <c r="BK33" i="7"/>
  <c r="BE33" i="7"/>
  <c r="BC33" i="7"/>
  <c r="AX33" i="7"/>
  <c r="AV33" i="7"/>
  <c r="AS33" i="7"/>
  <c r="AQ33" i="7"/>
  <c r="AM33" i="7"/>
  <c r="AK33" i="7"/>
  <c r="AG33" i="7"/>
  <c r="AE33" i="7"/>
  <c r="Z33" i="7"/>
  <c r="X33" i="7"/>
  <c r="U33" i="7"/>
  <c r="S33" i="7"/>
  <c r="O33" i="7"/>
  <c r="M33" i="7"/>
  <c r="I33" i="7"/>
  <c r="G33" i="7"/>
  <c r="CN30" i="7"/>
  <c r="CN9" i="7" s="1"/>
  <c r="CL30" i="7"/>
  <c r="CL9" i="7" s="1"/>
  <c r="CM9" i="7" s="1"/>
  <c r="CH30" i="7"/>
  <c r="CH9" i="7" s="1"/>
  <c r="CF30" i="7"/>
  <c r="CG30" i="7" s="1"/>
  <c r="CB30" i="7"/>
  <c r="CB9" i="7" s="1"/>
  <c r="BZ30" i="7"/>
  <c r="CA30" i="7" s="1"/>
  <c r="BP30" i="7"/>
  <c r="BP9" i="7" s="1"/>
  <c r="BN30" i="7"/>
  <c r="BN9" i="7" s="1"/>
  <c r="BO9" i="7" s="1"/>
  <c r="BJ30" i="7"/>
  <c r="BJ9" i="7" s="1"/>
  <c r="BH30" i="7"/>
  <c r="BH9" i="7" s="1"/>
  <c r="BI9" i="7" s="1"/>
  <c r="BD30" i="7"/>
  <c r="BD9" i="7" s="1"/>
  <c r="BB30" i="7"/>
  <c r="BC30" i="7" s="1"/>
  <c r="AR9" i="7"/>
  <c r="AP30" i="7"/>
  <c r="AP9" i="7" s="1"/>
  <c r="AQ9" i="7" s="1"/>
  <c r="AL9" i="7"/>
  <c r="AJ30" i="7"/>
  <c r="AF9" i="7"/>
  <c r="AD30" i="7"/>
  <c r="AE30" i="7" s="1"/>
  <c r="T30" i="7"/>
  <c r="R30" i="7"/>
  <c r="R9" i="7" s="1"/>
  <c r="N30" i="7"/>
  <c r="L30" i="7"/>
  <c r="M30" i="7" s="1"/>
  <c r="H30" i="7"/>
  <c r="H9" i="7" s="1"/>
  <c r="F30" i="7"/>
  <c r="G30" i="7" s="1"/>
  <c r="CT29" i="7"/>
  <c r="CR29" i="7"/>
  <c r="CS29" i="7" s="1"/>
  <c r="CO29" i="7"/>
  <c r="CM29" i="7"/>
  <c r="CI29" i="7"/>
  <c r="CG29" i="7"/>
  <c r="CC29" i="7"/>
  <c r="CA29" i="7"/>
  <c r="BV29" i="7"/>
  <c r="BT29" i="7"/>
  <c r="BQ29" i="7"/>
  <c r="BO29" i="7"/>
  <c r="BK29" i="7"/>
  <c r="BE29" i="7"/>
  <c r="BC29" i="7"/>
  <c r="AX29" i="7"/>
  <c r="AV29" i="7"/>
  <c r="AW29" i="7" s="1"/>
  <c r="AS29" i="7"/>
  <c r="AQ29" i="7"/>
  <c r="AM29" i="7"/>
  <c r="AK29" i="7"/>
  <c r="AG29" i="7"/>
  <c r="AE29" i="7"/>
  <c r="Z29" i="7"/>
  <c r="X29" i="7"/>
  <c r="Y29" i="7" s="1"/>
  <c r="U29" i="7"/>
  <c r="S29" i="7"/>
  <c r="O29" i="7"/>
  <c r="M29" i="7"/>
  <c r="I29" i="7"/>
  <c r="G29" i="7"/>
  <c r="CT28" i="7"/>
  <c r="CR28" i="7"/>
  <c r="CS28" i="7" s="1"/>
  <c r="CO28" i="7"/>
  <c r="CM28" i="7"/>
  <c r="CI28" i="7"/>
  <c r="CG28" i="7"/>
  <c r="CC28" i="7"/>
  <c r="CA28" i="7"/>
  <c r="BV28" i="7"/>
  <c r="BT28" i="7"/>
  <c r="BQ28" i="7"/>
  <c r="BO28" i="7"/>
  <c r="BK28" i="7"/>
  <c r="BE28" i="7"/>
  <c r="BC28" i="7"/>
  <c r="AX28" i="7"/>
  <c r="AV28" i="7"/>
  <c r="AS28" i="7"/>
  <c r="AQ28" i="7"/>
  <c r="AM28" i="7"/>
  <c r="AK28" i="7"/>
  <c r="AG28" i="7"/>
  <c r="AE28" i="7"/>
  <c r="Z28" i="7"/>
  <c r="X28" i="7"/>
  <c r="Y28" i="7" s="1"/>
  <c r="U28" i="7"/>
  <c r="S28" i="7"/>
  <c r="O28" i="7"/>
  <c r="M28" i="7"/>
  <c r="I28" i="7"/>
  <c r="G28" i="7"/>
  <c r="CT27" i="7"/>
  <c r="CR27" i="7"/>
  <c r="CS27" i="7" s="1"/>
  <c r="CO27" i="7"/>
  <c r="CM27" i="7"/>
  <c r="CI27" i="7"/>
  <c r="CG27" i="7"/>
  <c r="CC27" i="7"/>
  <c r="CA27" i="7"/>
  <c r="BV27" i="7"/>
  <c r="BT27" i="7"/>
  <c r="BQ27" i="7"/>
  <c r="BO27" i="7"/>
  <c r="BK27" i="7"/>
  <c r="BE27" i="7"/>
  <c r="BC27" i="7"/>
  <c r="AX27" i="7"/>
  <c r="AV27" i="7"/>
  <c r="AS27" i="7"/>
  <c r="AQ27" i="7"/>
  <c r="AM27" i="7"/>
  <c r="AK27" i="7"/>
  <c r="AG27" i="7"/>
  <c r="AE27" i="7"/>
  <c r="Z27" i="7"/>
  <c r="X27" i="7"/>
  <c r="Y27" i="7" s="1"/>
  <c r="U27" i="7"/>
  <c r="S27" i="7"/>
  <c r="O27" i="7"/>
  <c r="M27" i="7"/>
  <c r="I27" i="7"/>
  <c r="G27" i="7"/>
  <c r="CT26" i="7"/>
  <c r="CR26" i="7"/>
  <c r="CS26" i="7" s="1"/>
  <c r="CO26" i="7"/>
  <c r="CM26" i="7"/>
  <c r="CI26" i="7"/>
  <c r="CG26" i="7"/>
  <c r="CC26" i="7"/>
  <c r="CA26" i="7"/>
  <c r="BV26" i="7"/>
  <c r="BT26" i="7"/>
  <c r="BQ26" i="7"/>
  <c r="BO26" i="7"/>
  <c r="BK26" i="7"/>
  <c r="BE26" i="7"/>
  <c r="BC26" i="7"/>
  <c r="AX26" i="7"/>
  <c r="AV26" i="7"/>
  <c r="AS26" i="7"/>
  <c r="AQ26" i="7"/>
  <c r="AM26" i="7"/>
  <c r="AK26" i="7"/>
  <c r="AG26" i="7"/>
  <c r="AE26" i="7"/>
  <c r="Z26" i="7"/>
  <c r="X26" i="7"/>
  <c r="Y26" i="7" s="1"/>
  <c r="U26" i="7"/>
  <c r="S26" i="7"/>
  <c r="O26" i="7"/>
  <c r="M26" i="7"/>
  <c r="I26" i="7"/>
  <c r="G26" i="7"/>
  <c r="CT25" i="7"/>
  <c r="CR25" i="7"/>
  <c r="CS25" i="7" s="1"/>
  <c r="CO25" i="7"/>
  <c r="CM25" i="7"/>
  <c r="CI25" i="7"/>
  <c r="CG25" i="7"/>
  <c r="CC25" i="7"/>
  <c r="CA25" i="7"/>
  <c r="BV25" i="7"/>
  <c r="BT25" i="7"/>
  <c r="BQ25" i="7"/>
  <c r="BO25" i="7"/>
  <c r="BK25" i="7"/>
  <c r="BE25" i="7"/>
  <c r="BC25" i="7"/>
  <c r="AX25" i="7"/>
  <c r="AV25" i="7"/>
  <c r="AW25" i="7" s="1"/>
  <c r="AS25" i="7"/>
  <c r="AQ25" i="7"/>
  <c r="AM25" i="7"/>
  <c r="AK25" i="7"/>
  <c r="AG25" i="7"/>
  <c r="AE25" i="7"/>
  <c r="Z25" i="7"/>
  <c r="X25" i="7"/>
  <c r="U25" i="7"/>
  <c r="S25" i="7"/>
  <c r="O25" i="7"/>
  <c r="M25" i="7"/>
  <c r="I25" i="7"/>
  <c r="G25" i="7"/>
  <c r="CN22" i="7"/>
  <c r="CL22" i="7"/>
  <c r="CM22" i="7" s="1"/>
  <c r="CH22" i="7"/>
  <c r="CH8" i="7" s="1"/>
  <c r="CF22" i="7"/>
  <c r="CF8" i="7" s="1"/>
  <c r="CB22" i="7"/>
  <c r="CB8" i="7" s="1"/>
  <c r="BZ22" i="7"/>
  <c r="BZ8" i="7" s="1"/>
  <c r="BP22" i="7"/>
  <c r="BN22" i="7"/>
  <c r="BO22" i="7" s="1"/>
  <c r="BJ22" i="7"/>
  <c r="BJ8" i="7" s="1"/>
  <c r="BH22" i="7"/>
  <c r="BH8" i="7" s="1"/>
  <c r="BD22" i="7"/>
  <c r="BD8" i="7" s="1"/>
  <c r="BB22" i="7"/>
  <c r="AR22" i="7"/>
  <c r="AR8" i="7" s="1"/>
  <c r="AP22" i="7"/>
  <c r="AP8" i="7" s="1"/>
  <c r="AL22" i="7"/>
  <c r="AL8" i="7" s="1"/>
  <c r="AJ22" i="7"/>
  <c r="AF22" i="7"/>
  <c r="AF8" i="7" s="1"/>
  <c r="AD22" i="7"/>
  <c r="AD8" i="7" s="1"/>
  <c r="AE8" i="7" s="1"/>
  <c r="T22" i="7"/>
  <c r="R22" i="7"/>
  <c r="S22" i="7" s="1"/>
  <c r="N22" i="7"/>
  <c r="N8" i="7" s="1"/>
  <c r="L22" i="7"/>
  <c r="M22" i="7" s="1"/>
  <c r="H22" i="7"/>
  <c r="F22" i="7"/>
  <c r="F8" i="7" s="1"/>
  <c r="CT21" i="7"/>
  <c r="CR21" i="7"/>
  <c r="CS21" i="7" s="1"/>
  <c r="CO21" i="7"/>
  <c r="CM21" i="7"/>
  <c r="CI21" i="7"/>
  <c r="CG21" i="7"/>
  <c r="CC21" i="7"/>
  <c r="CA21" i="7"/>
  <c r="BV21" i="7"/>
  <c r="BT21" i="7"/>
  <c r="BQ21" i="7"/>
  <c r="BO21" i="7"/>
  <c r="BK21" i="7"/>
  <c r="BE21" i="7"/>
  <c r="BC21" i="7"/>
  <c r="AX21" i="7"/>
  <c r="AV21" i="7"/>
  <c r="AS21" i="7"/>
  <c r="AQ21" i="7"/>
  <c r="AM21" i="7"/>
  <c r="AK21" i="7"/>
  <c r="AG21" i="7"/>
  <c r="AE21" i="7"/>
  <c r="Z21" i="7"/>
  <c r="X21" i="7"/>
  <c r="Y21" i="7" s="1"/>
  <c r="U21" i="7"/>
  <c r="S21" i="7"/>
  <c r="O21" i="7"/>
  <c r="M21" i="7"/>
  <c r="I21" i="7"/>
  <c r="G21" i="7"/>
  <c r="CT20" i="7"/>
  <c r="CR20" i="7"/>
  <c r="CS20" i="7" s="1"/>
  <c r="CO20" i="7"/>
  <c r="CM20" i="7"/>
  <c r="CI20" i="7"/>
  <c r="CG20" i="7"/>
  <c r="CC20" i="7"/>
  <c r="CA20" i="7"/>
  <c r="BV20" i="7"/>
  <c r="BT20" i="7"/>
  <c r="BQ20" i="7"/>
  <c r="BO20" i="7"/>
  <c r="BK20" i="7"/>
  <c r="BI20" i="7"/>
  <c r="BE20" i="7"/>
  <c r="BC20" i="7"/>
  <c r="AX20" i="7"/>
  <c r="AV20" i="7"/>
  <c r="AW20" i="7" s="1"/>
  <c r="AS20" i="7"/>
  <c r="AQ20" i="7"/>
  <c r="AM20" i="7"/>
  <c r="AK20" i="7"/>
  <c r="AG20" i="7"/>
  <c r="AE20" i="7"/>
  <c r="Z20" i="7"/>
  <c r="X20" i="7"/>
  <c r="U20" i="7"/>
  <c r="S20" i="7"/>
  <c r="O20" i="7"/>
  <c r="M20" i="7"/>
  <c r="I20" i="7"/>
  <c r="G20" i="7"/>
  <c r="CT19" i="7"/>
  <c r="CR19" i="7"/>
  <c r="CS19" i="7" s="1"/>
  <c r="CO19" i="7"/>
  <c r="CM19" i="7"/>
  <c r="CI19" i="7"/>
  <c r="CG19" i="7"/>
  <c r="CC19" i="7"/>
  <c r="CA19" i="7"/>
  <c r="BV19" i="7"/>
  <c r="BT19" i="7"/>
  <c r="BQ19" i="7"/>
  <c r="BO19" i="7"/>
  <c r="BK19" i="7"/>
  <c r="BE19" i="7"/>
  <c r="BC19" i="7"/>
  <c r="AX19" i="7"/>
  <c r="AV19" i="7"/>
  <c r="AW19" i="7" s="1"/>
  <c r="AS19" i="7"/>
  <c r="AQ19" i="7"/>
  <c r="AM19" i="7"/>
  <c r="AK19" i="7"/>
  <c r="AG19" i="7"/>
  <c r="AE19" i="7"/>
  <c r="Z19" i="7"/>
  <c r="X19" i="7"/>
  <c r="Y19" i="7" s="1"/>
  <c r="U19" i="7"/>
  <c r="S19" i="7"/>
  <c r="O19" i="7"/>
  <c r="M19" i="7"/>
  <c r="I19" i="7"/>
  <c r="G19" i="7"/>
  <c r="CT18" i="7"/>
  <c r="CR18" i="7"/>
  <c r="CS18" i="7" s="1"/>
  <c r="CO18" i="7"/>
  <c r="CM18" i="7"/>
  <c r="CI18" i="7"/>
  <c r="CG18" i="7"/>
  <c r="CC18" i="7"/>
  <c r="CA18" i="7"/>
  <c r="BV18" i="7"/>
  <c r="BT18" i="7"/>
  <c r="BQ18" i="7"/>
  <c r="BO18" i="7"/>
  <c r="BK18" i="7"/>
  <c r="BE18" i="7"/>
  <c r="BC18" i="7"/>
  <c r="AX18" i="7"/>
  <c r="AV18" i="7"/>
  <c r="AS18" i="7"/>
  <c r="AQ18" i="7"/>
  <c r="AM18" i="7"/>
  <c r="AK18" i="7"/>
  <c r="AG18" i="7"/>
  <c r="AE18" i="7"/>
  <c r="Z18" i="7"/>
  <c r="X18" i="7"/>
  <c r="Y18" i="7" s="1"/>
  <c r="U18" i="7"/>
  <c r="S18" i="7"/>
  <c r="O18" i="7"/>
  <c r="M18" i="7"/>
  <c r="I18" i="7"/>
  <c r="G18" i="7"/>
  <c r="CT17" i="7"/>
  <c r="CR17" i="7"/>
  <c r="CO17" i="7"/>
  <c r="CM17" i="7"/>
  <c r="CI17" i="7"/>
  <c r="CG17" i="7"/>
  <c r="CC17" i="7"/>
  <c r="CA17" i="7"/>
  <c r="BV17" i="7"/>
  <c r="BT17" i="7"/>
  <c r="BQ17" i="7"/>
  <c r="BO17" i="7"/>
  <c r="BK17" i="7"/>
  <c r="BE17" i="7"/>
  <c r="BC17" i="7"/>
  <c r="AX17" i="7"/>
  <c r="AV17" i="7"/>
  <c r="AS17" i="7"/>
  <c r="AQ17" i="7"/>
  <c r="AM17" i="7"/>
  <c r="AK17" i="7"/>
  <c r="AG17" i="7"/>
  <c r="AE17" i="7"/>
  <c r="Z17" i="7"/>
  <c r="X17" i="7"/>
  <c r="U17" i="7"/>
  <c r="S17" i="7"/>
  <c r="O17" i="7"/>
  <c r="M17" i="7"/>
  <c r="I17" i="7"/>
  <c r="G17" i="7"/>
  <c r="CR12" i="7"/>
  <c r="CJ12" i="7"/>
  <c r="BU106" i="2" s="1"/>
  <c r="CD12" i="7"/>
  <c r="BP106" i="2" s="1"/>
  <c r="BX12" i="7"/>
  <c r="BK106" i="2" s="1"/>
  <c r="BT12" i="7"/>
  <c r="BL12" i="7"/>
  <c r="BA106" i="2" s="1"/>
  <c r="BF12" i="7"/>
  <c r="AV106" i="2" s="1"/>
  <c r="AZ12" i="7"/>
  <c r="AQ106" i="2" s="1"/>
  <c r="AV12" i="7"/>
  <c r="AN12" i="7"/>
  <c r="AG106" i="2" s="1"/>
  <c r="AH12" i="7"/>
  <c r="AB106" i="2" s="1"/>
  <c r="AB12" i="7"/>
  <c r="W106" i="2" s="1"/>
  <c r="X12" i="7"/>
  <c r="P12" i="7"/>
  <c r="M106" i="2" s="1"/>
  <c r="J12" i="7"/>
  <c r="H106" i="2" s="1"/>
  <c r="D12" i="7"/>
  <c r="C106" i="2" s="1"/>
  <c r="V11" i="7"/>
  <c r="T11" i="7"/>
  <c r="N11" i="7"/>
  <c r="H11" i="7"/>
  <c r="V10" i="7"/>
  <c r="V9" i="7"/>
  <c r="CT6" i="7"/>
  <c r="CR6" i="7"/>
  <c r="CS6" i="7" s="1"/>
  <c r="CO6" i="7"/>
  <c r="CM6" i="7"/>
  <c r="CI6" i="7"/>
  <c r="CG6" i="7"/>
  <c r="CC6" i="7"/>
  <c r="CA6" i="7"/>
  <c r="BV6" i="7"/>
  <c r="BT6" i="7"/>
  <c r="BQ6" i="7"/>
  <c r="BO6" i="7"/>
  <c r="BK6" i="7"/>
  <c r="BI6" i="7"/>
  <c r="BE6" i="7"/>
  <c r="BC6" i="7"/>
  <c r="AX6" i="7"/>
  <c r="AV6" i="7"/>
  <c r="AS6" i="7"/>
  <c r="AQ6" i="7"/>
  <c r="AM6" i="7"/>
  <c r="AK6" i="7"/>
  <c r="AG6" i="7"/>
  <c r="AE6" i="7"/>
  <c r="Z6" i="7"/>
  <c r="X6" i="7"/>
  <c r="Y6" i="7" s="1"/>
  <c r="U6" i="7"/>
  <c r="S6" i="7"/>
  <c r="O6" i="7"/>
  <c r="M6" i="7"/>
  <c r="I6" i="7"/>
  <c r="G6" i="7"/>
  <c r="CT5" i="7"/>
  <c r="CR5" i="7"/>
  <c r="CO5" i="7"/>
  <c r="CM5" i="7"/>
  <c r="CI5" i="7"/>
  <c r="CG5" i="7"/>
  <c r="CC5" i="7"/>
  <c r="CA5" i="7"/>
  <c r="BV5" i="7"/>
  <c r="BT5" i="7"/>
  <c r="BU5" i="7" s="1"/>
  <c r="BQ5" i="7"/>
  <c r="BO5" i="7"/>
  <c r="BK5" i="7"/>
  <c r="BI5" i="7"/>
  <c r="BE5" i="7"/>
  <c r="BC5" i="7"/>
  <c r="AX5" i="7"/>
  <c r="AV5" i="7"/>
  <c r="AS5" i="7"/>
  <c r="AQ5" i="7"/>
  <c r="AM5" i="7"/>
  <c r="AK5" i="7"/>
  <c r="AG5" i="7"/>
  <c r="AE5" i="7"/>
  <c r="Z5" i="7"/>
  <c r="X5" i="7"/>
  <c r="Y5" i="7" s="1"/>
  <c r="U5" i="7"/>
  <c r="S5" i="7"/>
  <c r="O5" i="7"/>
  <c r="M5" i="7"/>
  <c r="I5" i="7"/>
  <c r="G5" i="7"/>
  <c r="CT4" i="7"/>
  <c r="CR4" i="7"/>
  <c r="CS4" i="7" s="1"/>
  <c r="CO4" i="7"/>
  <c r="CM4" i="7"/>
  <c r="CI4" i="7"/>
  <c r="CG4" i="7"/>
  <c r="CC4" i="7"/>
  <c r="CA4" i="7"/>
  <c r="BV4" i="7"/>
  <c r="BT4" i="7"/>
  <c r="BQ4" i="7"/>
  <c r="BO4" i="7"/>
  <c r="BK4" i="7"/>
  <c r="BI4" i="7"/>
  <c r="BE4" i="7"/>
  <c r="BC4" i="7"/>
  <c r="AX4" i="7"/>
  <c r="AV4" i="7"/>
  <c r="AW4" i="7" s="1"/>
  <c r="AS4" i="7"/>
  <c r="AQ4" i="7"/>
  <c r="AM4" i="7"/>
  <c r="AK4" i="7"/>
  <c r="AG4" i="7"/>
  <c r="AE4" i="7"/>
  <c r="Z4" i="7"/>
  <c r="X4" i="7"/>
  <c r="Y4" i="7" s="1"/>
  <c r="U4" i="7"/>
  <c r="S4" i="7"/>
  <c r="O4" i="7"/>
  <c r="M4" i="7"/>
  <c r="I4" i="7"/>
  <c r="G4" i="7"/>
  <c r="CT3" i="7"/>
  <c r="CR3" i="7"/>
  <c r="CS3" i="7" s="1"/>
  <c r="CO3" i="7"/>
  <c r="CM3" i="7"/>
  <c r="CI3" i="7"/>
  <c r="CG3" i="7"/>
  <c r="CC3" i="7"/>
  <c r="CA3" i="7"/>
  <c r="BV3" i="7"/>
  <c r="BT3" i="7"/>
  <c r="BQ3" i="7"/>
  <c r="BO3" i="7"/>
  <c r="BK3" i="7"/>
  <c r="BI3" i="7"/>
  <c r="BE3" i="7"/>
  <c r="BC3" i="7"/>
  <c r="AV3" i="7"/>
  <c r="AW3" i="7" s="1"/>
  <c r="AS3" i="7"/>
  <c r="AQ3" i="7"/>
  <c r="AM3" i="7"/>
  <c r="AK3" i="7"/>
  <c r="AG3" i="7"/>
  <c r="AE3" i="7"/>
  <c r="Z3" i="7"/>
  <c r="X3" i="7"/>
  <c r="U3" i="7"/>
  <c r="S3" i="7"/>
  <c r="O3" i="7"/>
  <c r="M3" i="7"/>
  <c r="I3" i="7"/>
  <c r="G3" i="7"/>
  <c r="BW50" i="6"/>
  <c r="BZ50" i="6" s="1"/>
  <c r="BR50" i="6"/>
  <c r="BU50" i="6" s="1"/>
  <c r="BP50" i="6"/>
  <c r="BN50" i="6"/>
  <c r="BC50" i="6"/>
  <c r="BF50" i="6" s="1"/>
  <c r="AX50" i="6"/>
  <c r="BA50" i="6" s="1"/>
  <c r="AS50" i="6"/>
  <c r="AV50" i="6" s="1"/>
  <c r="AI50" i="6"/>
  <c r="AJ50" i="6" s="1"/>
  <c r="AD50" i="6"/>
  <c r="AD11" i="6" s="1"/>
  <c r="AG11" i="6" s="1"/>
  <c r="Y50" i="6"/>
  <c r="Z50" i="6" s="1"/>
  <c r="Q11" i="6"/>
  <c r="O50" i="6"/>
  <c r="P50" i="6" s="1"/>
  <c r="K50" i="6"/>
  <c r="M50" i="6"/>
  <c r="CD45" i="6"/>
  <c r="CB45" i="6"/>
  <c r="CC45" i="6" s="1"/>
  <c r="BZ45" i="6"/>
  <c r="BX45" i="6"/>
  <c r="BU45" i="6"/>
  <c r="BS45" i="6"/>
  <c r="BP45" i="6"/>
  <c r="BN45" i="6"/>
  <c r="BJ45" i="6"/>
  <c r="BH45" i="6"/>
  <c r="BF45" i="6"/>
  <c r="BD45" i="6"/>
  <c r="BA45" i="6"/>
  <c r="AV45" i="6"/>
  <c r="AT45" i="6"/>
  <c r="AP45" i="6"/>
  <c r="AN45" i="6"/>
  <c r="AL45" i="6"/>
  <c r="AJ45" i="6"/>
  <c r="AG45" i="6"/>
  <c r="AE45" i="6"/>
  <c r="AB45" i="6"/>
  <c r="Z45" i="6"/>
  <c r="V45" i="6"/>
  <c r="T45" i="6"/>
  <c r="U45" i="6" s="1"/>
  <c r="R45" i="6"/>
  <c r="P45" i="6"/>
  <c r="M45" i="6"/>
  <c r="K45" i="6"/>
  <c r="H45" i="6"/>
  <c r="F45" i="6"/>
  <c r="CD44" i="6"/>
  <c r="CB44" i="6"/>
  <c r="BZ44" i="6"/>
  <c r="BX44" i="6"/>
  <c r="BU44" i="6"/>
  <c r="BS44" i="6"/>
  <c r="BP44" i="6"/>
  <c r="BN44" i="6"/>
  <c r="BJ44" i="6"/>
  <c r="BH44" i="6"/>
  <c r="BI44" i="6" s="1"/>
  <c r="BF44" i="6"/>
  <c r="BD44" i="6"/>
  <c r="BA44" i="6"/>
  <c r="AV44" i="6"/>
  <c r="AT44" i="6"/>
  <c r="AP44" i="6"/>
  <c r="AN44" i="6"/>
  <c r="AO44" i="6" s="1"/>
  <c r="AL44" i="6"/>
  <c r="AJ44" i="6"/>
  <c r="AG44" i="6"/>
  <c r="AE44" i="6"/>
  <c r="AB44" i="6"/>
  <c r="Z44" i="6"/>
  <c r="V44" i="6"/>
  <c r="T44" i="6"/>
  <c r="U44" i="6" s="1"/>
  <c r="R44" i="6"/>
  <c r="P44" i="6"/>
  <c r="M44" i="6"/>
  <c r="K44" i="6"/>
  <c r="H44" i="6"/>
  <c r="F44" i="6"/>
  <c r="CD43" i="6"/>
  <c r="CB43" i="6"/>
  <c r="CC43" i="6" s="1"/>
  <c r="BZ43" i="6"/>
  <c r="BX43" i="6"/>
  <c r="BU43" i="6"/>
  <c r="BS43" i="6"/>
  <c r="BP43" i="6"/>
  <c r="BN43" i="6"/>
  <c r="BJ43" i="6"/>
  <c r="BH43" i="6"/>
  <c r="BI43" i="6" s="1"/>
  <c r="BF43" i="6"/>
  <c r="BD43" i="6"/>
  <c r="BA43" i="6"/>
  <c r="AY43" i="6"/>
  <c r="AV43" i="6"/>
  <c r="AT43" i="6"/>
  <c r="AP43" i="6"/>
  <c r="AN43" i="6"/>
  <c r="AL43" i="6"/>
  <c r="AJ43" i="6"/>
  <c r="AG43" i="6"/>
  <c r="AE43" i="6"/>
  <c r="AB43" i="6"/>
  <c r="Z43" i="6"/>
  <c r="V43" i="6"/>
  <c r="T43" i="6"/>
  <c r="U43" i="6" s="1"/>
  <c r="R43" i="6"/>
  <c r="P43" i="6"/>
  <c r="M43" i="6"/>
  <c r="K43" i="6"/>
  <c r="H43" i="6"/>
  <c r="F43" i="6"/>
  <c r="BW40" i="6"/>
  <c r="BZ40" i="6" s="1"/>
  <c r="BR40" i="6"/>
  <c r="BU40" i="6" s="1"/>
  <c r="BP40" i="6"/>
  <c r="BN40" i="6"/>
  <c r="BC40" i="6"/>
  <c r="BF40" i="6" s="1"/>
  <c r="AX40" i="6"/>
  <c r="BA40" i="6" s="1"/>
  <c r="AS40" i="6"/>
  <c r="AV40" i="6" s="1"/>
  <c r="AK40" i="6"/>
  <c r="AK10" i="6" s="1"/>
  <c r="AP10" i="6" s="1"/>
  <c r="AI40" i="6"/>
  <c r="AJ40" i="6" s="1"/>
  <c r="AD40" i="6"/>
  <c r="AG40" i="6" s="1"/>
  <c r="Y40" i="6"/>
  <c r="Z40" i="6" s="1"/>
  <c r="Q40" i="6"/>
  <c r="Q10" i="6" s="1"/>
  <c r="O40" i="6"/>
  <c r="P40" i="6" s="1"/>
  <c r="J40" i="6"/>
  <c r="M40" i="6" s="1"/>
  <c r="G40" i="6"/>
  <c r="E40" i="6"/>
  <c r="F40" i="6" s="1"/>
  <c r="CD39" i="6"/>
  <c r="CB39" i="6"/>
  <c r="BZ39" i="6"/>
  <c r="BX39" i="6"/>
  <c r="BU39" i="6"/>
  <c r="BS39" i="6"/>
  <c r="BP39" i="6"/>
  <c r="BN39" i="6"/>
  <c r="BJ39" i="6"/>
  <c r="BH39" i="6"/>
  <c r="BF39" i="6"/>
  <c r="BD39" i="6"/>
  <c r="BA39" i="6"/>
  <c r="AV39" i="6"/>
  <c r="AT39" i="6"/>
  <c r="AP39" i="6"/>
  <c r="AN39" i="6"/>
  <c r="AL39" i="6"/>
  <c r="AJ39" i="6"/>
  <c r="AG39" i="6"/>
  <c r="AE39" i="6"/>
  <c r="AB39" i="6"/>
  <c r="Z39" i="6"/>
  <c r="V39" i="6"/>
  <c r="T39" i="6"/>
  <c r="U39" i="6" s="1"/>
  <c r="R39" i="6"/>
  <c r="P39" i="6"/>
  <c r="M39" i="6"/>
  <c r="K39" i="6"/>
  <c r="H39" i="6"/>
  <c r="F39" i="6"/>
  <c r="CD38" i="6"/>
  <c r="CB38" i="6"/>
  <c r="CC38" i="6" s="1"/>
  <c r="BZ38" i="6"/>
  <c r="BX38" i="6"/>
  <c r="BU38" i="6"/>
  <c r="BS38" i="6"/>
  <c r="BP38" i="6"/>
  <c r="BN38" i="6"/>
  <c r="BJ38" i="6"/>
  <c r="BH38" i="6"/>
  <c r="BF38" i="6"/>
  <c r="BD38" i="6"/>
  <c r="BA38" i="6"/>
  <c r="AV38" i="6"/>
  <c r="AT38" i="6"/>
  <c r="AP38" i="6"/>
  <c r="AN38" i="6"/>
  <c r="AL38" i="6"/>
  <c r="AJ38" i="6"/>
  <c r="AG38" i="6"/>
  <c r="AE38" i="6"/>
  <c r="AB38" i="6"/>
  <c r="Z38" i="6"/>
  <c r="V38" i="6"/>
  <c r="T38" i="6"/>
  <c r="R38" i="6"/>
  <c r="P38" i="6"/>
  <c r="M38" i="6"/>
  <c r="K38" i="6"/>
  <c r="H38" i="6"/>
  <c r="F38" i="6"/>
  <c r="CD37" i="6"/>
  <c r="CB37" i="6"/>
  <c r="CC37" i="6" s="1"/>
  <c r="BZ37" i="6"/>
  <c r="BX37" i="6"/>
  <c r="BU37" i="6"/>
  <c r="BS37" i="6"/>
  <c r="BP37" i="6"/>
  <c r="BN37" i="6"/>
  <c r="BJ37" i="6"/>
  <c r="BH37" i="6"/>
  <c r="BI37" i="6" s="1"/>
  <c r="BF37" i="6"/>
  <c r="BD37" i="6"/>
  <c r="BA37" i="6"/>
  <c r="AY37" i="6"/>
  <c r="AV37" i="6"/>
  <c r="AT37" i="6"/>
  <c r="AP37" i="6"/>
  <c r="AN37" i="6"/>
  <c r="AL37" i="6"/>
  <c r="AJ37" i="6"/>
  <c r="AG37" i="6"/>
  <c r="AE37" i="6"/>
  <c r="AB37" i="6"/>
  <c r="Z37" i="6"/>
  <c r="V37" i="6"/>
  <c r="T37" i="6"/>
  <c r="U37" i="6" s="1"/>
  <c r="R37" i="6"/>
  <c r="P37" i="6"/>
  <c r="M37" i="6"/>
  <c r="K37" i="6"/>
  <c r="H37" i="6"/>
  <c r="F37" i="6"/>
  <c r="CD36" i="6"/>
  <c r="CB36" i="6"/>
  <c r="CC36" i="6" s="1"/>
  <c r="BZ36" i="6"/>
  <c r="BX36" i="6"/>
  <c r="BU36" i="6"/>
  <c r="BS36" i="6"/>
  <c r="BP36" i="6"/>
  <c r="BN36" i="6"/>
  <c r="BJ36" i="6"/>
  <c r="BH36" i="6"/>
  <c r="BI36" i="6" s="1"/>
  <c r="BF36" i="6"/>
  <c r="BD36" i="6"/>
  <c r="BA36" i="6"/>
  <c r="AV36" i="6"/>
  <c r="AT36" i="6"/>
  <c r="AP36" i="6"/>
  <c r="AN36" i="6"/>
  <c r="AO36" i="6" s="1"/>
  <c r="AL36" i="6"/>
  <c r="AJ36" i="6"/>
  <c r="AG36" i="6"/>
  <c r="AE36" i="6"/>
  <c r="AB36" i="6"/>
  <c r="Z36" i="6"/>
  <c r="V36" i="6"/>
  <c r="T36" i="6"/>
  <c r="R36" i="6"/>
  <c r="P36" i="6"/>
  <c r="M36" i="6"/>
  <c r="K36" i="6"/>
  <c r="H36" i="6"/>
  <c r="F36" i="6"/>
  <c r="CD35" i="6"/>
  <c r="CB35" i="6"/>
  <c r="CC35" i="6" s="1"/>
  <c r="BZ35" i="6"/>
  <c r="BX35" i="6"/>
  <c r="BU35" i="6"/>
  <c r="BS35" i="6"/>
  <c r="BP35" i="6"/>
  <c r="BN35" i="6"/>
  <c r="BJ35" i="6"/>
  <c r="BH35" i="6"/>
  <c r="BF35" i="6"/>
  <c r="BD35" i="6"/>
  <c r="BA35" i="6"/>
  <c r="AV35" i="6"/>
  <c r="AT35" i="6"/>
  <c r="AP35" i="6"/>
  <c r="AN35" i="6"/>
  <c r="AL35" i="6"/>
  <c r="AJ35" i="6"/>
  <c r="AG35" i="6"/>
  <c r="AE35" i="6"/>
  <c r="AB35" i="6"/>
  <c r="Z35" i="6"/>
  <c r="V35" i="6"/>
  <c r="T35" i="6"/>
  <c r="U35" i="6" s="1"/>
  <c r="R35" i="6"/>
  <c r="P35" i="6"/>
  <c r="M35" i="6"/>
  <c r="K35" i="6"/>
  <c r="H35" i="6"/>
  <c r="F35" i="6"/>
  <c r="CD34" i="6"/>
  <c r="CB34" i="6"/>
  <c r="BZ34" i="6"/>
  <c r="BX34" i="6"/>
  <c r="BU34" i="6"/>
  <c r="BS34" i="6"/>
  <c r="BP34" i="6"/>
  <c r="BN34" i="6"/>
  <c r="BJ34" i="6"/>
  <c r="BH34" i="6"/>
  <c r="BF34" i="6"/>
  <c r="BD34" i="6"/>
  <c r="BA34" i="6"/>
  <c r="AV34" i="6"/>
  <c r="AT34" i="6"/>
  <c r="AP34" i="6"/>
  <c r="AN34" i="6"/>
  <c r="AL34" i="6"/>
  <c r="AJ34" i="6"/>
  <c r="AG34" i="6"/>
  <c r="AE34" i="6"/>
  <c r="AB34" i="6"/>
  <c r="Z34" i="6"/>
  <c r="V34" i="6"/>
  <c r="T34" i="6"/>
  <c r="R34" i="6"/>
  <c r="P34" i="6"/>
  <c r="M34" i="6"/>
  <c r="K34" i="6"/>
  <c r="H34" i="6"/>
  <c r="F34" i="6"/>
  <c r="BW31" i="6"/>
  <c r="BX31" i="6" s="1"/>
  <c r="BR31" i="6"/>
  <c r="BS31" i="6" s="1"/>
  <c r="BP31" i="6"/>
  <c r="BN31" i="6"/>
  <c r="BC31" i="6"/>
  <c r="BD31" i="6" s="1"/>
  <c r="AX31" i="6"/>
  <c r="BA31" i="6" s="1"/>
  <c r="AS31" i="6"/>
  <c r="AT31" i="6" s="1"/>
  <c r="AK9" i="6"/>
  <c r="AI31" i="6"/>
  <c r="AJ31" i="6" s="1"/>
  <c r="AD31" i="6"/>
  <c r="AG31" i="6" s="1"/>
  <c r="Y31" i="6"/>
  <c r="AB31" i="6" s="1"/>
  <c r="Q31" i="6"/>
  <c r="Q9" i="6" s="1"/>
  <c r="O31" i="6"/>
  <c r="P31" i="6" s="1"/>
  <c r="J31" i="6"/>
  <c r="M31" i="6" s="1"/>
  <c r="G31" i="6"/>
  <c r="E31" i="6"/>
  <c r="F31" i="6" s="1"/>
  <c r="CD30" i="6"/>
  <c r="CB30" i="6"/>
  <c r="CC30" i="6" s="1"/>
  <c r="BZ30" i="6"/>
  <c r="BX30" i="6"/>
  <c r="BU30" i="6"/>
  <c r="BS30" i="6"/>
  <c r="BP30" i="6"/>
  <c r="BN30" i="6"/>
  <c r="BJ30" i="6"/>
  <c r="BH30" i="6"/>
  <c r="BF30" i="6"/>
  <c r="BD30" i="6"/>
  <c r="BA30" i="6"/>
  <c r="AV30" i="6"/>
  <c r="AT30" i="6"/>
  <c r="AP30" i="6"/>
  <c r="AN30" i="6"/>
  <c r="AL30" i="6"/>
  <c r="AJ30" i="6"/>
  <c r="AG30" i="6"/>
  <c r="AE30" i="6"/>
  <c r="AB30" i="6"/>
  <c r="Z30" i="6"/>
  <c r="V30" i="6"/>
  <c r="T30" i="6"/>
  <c r="U30" i="6" s="1"/>
  <c r="R30" i="6"/>
  <c r="P30" i="6"/>
  <c r="M30" i="6"/>
  <c r="K30" i="6"/>
  <c r="H30" i="6"/>
  <c r="F30" i="6"/>
  <c r="CD29" i="6"/>
  <c r="CB29" i="6"/>
  <c r="CC29" i="6" s="1"/>
  <c r="BZ29" i="6"/>
  <c r="BX29" i="6"/>
  <c r="BU29" i="6"/>
  <c r="BS29" i="6"/>
  <c r="BP29" i="6"/>
  <c r="BN29" i="6"/>
  <c r="BJ29" i="6"/>
  <c r="BH29" i="6"/>
  <c r="BI29" i="6" s="1"/>
  <c r="BF29" i="6"/>
  <c r="BD29" i="6"/>
  <c r="BA29" i="6"/>
  <c r="AY29" i="6"/>
  <c r="AV29" i="6"/>
  <c r="AT29" i="6"/>
  <c r="AP29" i="6"/>
  <c r="CI29" i="6" s="1"/>
  <c r="AN29" i="6"/>
  <c r="AO29" i="6" s="1"/>
  <c r="AL29" i="6"/>
  <c r="AJ29" i="6"/>
  <c r="AG29" i="6"/>
  <c r="AE29" i="6"/>
  <c r="AB29" i="6"/>
  <c r="Z29" i="6"/>
  <c r="V29" i="6"/>
  <c r="T29" i="6"/>
  <c r="U29" i="6" s="1"/>
  <c r="R29" i="6"/>
  <c r="P29" i="6"/>
  <c r="M29" i="6"/>
  <c r="K29" i="6"/>
  <c r="H29" i="6"/>
  <c r="F29" i="6"/>
  <c r="CD28" i="6"/>
  <c r="CB28" i="6"/>
  <c r="CC28" i="6" s="1"/>
  <c r="BZ28" i="6"/>
  <c r="BX28" i="6"/>
  <c r="BU28" i="6"/>
  <c r="BS28" i="6"/>
  <c r="BP28" i="6"/>
  <c r="BN28" i="6"/>
  <c r="BJ28" i="6"/>
  <c r="BH28" i="6"/>
  <c r="BF28" i="6"/>
  <c r="BD28" i="6"/>
  <c r="BA28" i="6"/>
  <c r="AV28" i="6"/>
  <c r="AT28" i="6"/>
  <c r="AP28" i="6"/>
  <c r="AN28" i="6"/>
  <c r="AL28" i="6"/>
  <c r="AJ28" i="6"/>
  <c r="AG28" i="6"/>
  <c r="AE28" i="6"/>
  <c r="AB28" i="6"/>
  <c r="Z28" i="6"/>
  <c r="V28" i="6"/>
  <c r="T28" i="6"/>
  <c r="R28" i="6"/>
  <c r="P28" i="6"/>
  <c r="M28" i="6"/>
  <c r="K28" i="6"/>
  <c r="H28" i="6"/>
  <c r="F28" i="6"/>
  <c r="CD27" i="6"/>
  <c r="CB27" i="6"/>
  <c r="CC27" i="6" s="1"/>
  <c r="BZ27" i="6"/>
  <c r="BX27" i="6"/>
  <c r="BU27" i="6"/>
  <c r="BS27" i="6"/>
  <c r="BP27" i="6"/>
  <c r="BN27" i="6"/>
  <c r="BJ27" i="6"/>
  <c r="BH27" i="6"/>
  <c r="BF27" i="6"/>
  <c r="BD27" i="6"/>
  <c r="BA27" i="6"/>
  <c r="AV27" i="6"/>
  <c r="AT27" i="6"/>
  <c r="AP27" i="6"/>
  <c r="AN27" i="6"/>
  <c r="AL27" i="6"/>
  <c r="AJ27" i="6"/>
  <c r="AG27" i="6"/>
  <c r="AE27" i="6"/>
  <c r="AB27" i="6"/>
  <c r="Z27" i="6"/>
  <c r="V27" i="6"/>
  <c r="T27" i="6"/>
  <c r="U27" i="6" s="1"/>
  <c r="R27" i="6"/>
  <c r="P27" i="6"/>
  <c r="M27" i="6"/>
  <c r="K27" i="6"/>
  <c r="H27" i="6"/>
  <c r="F27" i="6"/>
  <c r="CD26" i="6"/>
  <c r="CB26" i="6"/>
  <c r="BZ26" i="6"/>
  <c r="BX26" i="6"/>
  <c r="BU26" i="6"/>
  <c r="BS26" i="6"/>
  <c r="BP26" i="6"/>
  <c r="BN26" i="6"/>
  <c r="BJ26" i="6"/>
  <c r="BH26" i="6"/>
  <c r="BI26" i="6" s="1"/>
  <c r="BF26" i="6"/>
  <c r="BD26" i="6"/>
  <c r="BA26" i="6"/>
  <c r="AV26" i="6"/>
  <c r="AT26" i="6"/>
  <c r="AP26" i="6"/>
  <c r="AN26" i="6"/>
  <c r="AO26" i="6" s="1"/>
  <c r="AL26" i="6"/>
  <c r="AJ26" i="6"/>
  <c r="AG26" i="6"/>
  <c r="AE26" i="6"/>
  <c r="AB26" i="6"/>
  <c r="Z26" i="6"/>
  <c r="V26" i="6"/>
  <c r="T26" i="6"/>
  <c r="U26" i="6" s="1"/>
  <c r="R26" i="6"/>
  <c r="P26" i="6"/>
  <c r="M26" i="6"/>
  <c r="K26" i="6"/>
  <c r="H26" i="6"/>
  <c r="F26" i="6"/>
  <c r="CD25" i="6"/>
  <c r="CB25" i="6"/>
  <c r="CC25" i="6" s="1"/>
  <c r="BZ25" i="6"/>
  <c r="BX25" i="6"/>
  <c r="BU25" i="6"/>
  <c r="BS25" i="6"/>
  <c r="BP25" i="6"/>
  <c r="BN25" i="6"/>
  <c r="BJ25" i="6"/>
  <c r="BH25" i="6"/>
  <c r="BF25" i="6"/>
  <c r="BD25" i="6"/>
  <c r="BA25" i="6"/>
  <c r="AY25" i="6"/>
  <c r="AV25" i="6"/>
  <c r="AT25" i="6"/>
  <c r="AP25" i="6"/>
  <c r="AN25" i="6"/>
  <c r="AL25" i="6"/>
  <c r="AJ25" i="6"/>
  <c r="AG25" i="6"/>
  <c r="AE25" i="6"/>
  <c r="AB25" i="6"/>
  <c r="Z25" i="6"/>
  <c r="V25" i="6"/>
  <c r="T25" i="6"/>
  <c r="R25" i="6"/>
  <c r="P25" i="6"/>
  <c r="M25" i="6"/>
  <c r="K25" i="6"/>
  <c r="H25" i="6"/>
  <c r="F25" i="6"/>
  <c r="BW22" i="6"/>
  <c r="BX22" i="6" s="1"/>
  <c r="BR22" i="6"/>
  <c r="BU22" i="6" s="1"/>
  <c r="BP22" i="6"/>
  <c r="BN22" i="6"/>
  <c r="BC22" i="6"/>
  <c r="BD22" i="6" s="1"/>
  <c r="AX22" i="6"/>
  <c r="BA22" i="6" s="1"/>
  <c r="AS22" i="6"/>
  <c r="AT22" i="6" s="1"/>
  <c r="AK22" i="6"/>
  <c r="AK8" i="6" s="1"/>
  <c r="AI22" i="6"/>
  <c r="AD22" i="6"/>
  <c r="AG22" i="6" s="1"/>
  <c r="Y22" i="6"/>
  <c r="AB22" i="6" s="1"/>
  <c r="Q22" i="6"/>
  <c r="Q8" i="6" s="1"/>
  <c r="O22" i="6"/>
  <c r="J22" i="6"/>
  <c r="M22" i="6" s="1"/>
  <c r="G22" i="6"/>
  <c r="G8" i="6" s="1"/>
  <c r="E22" i="6"/>
  <c r="CD21" i="6"/>
  <c r="CB21" i="6"/>
  <c r="CC21" i="6" s="1"/>
  <c r="BZ21" i="6"/>
  <c r="BX21" i="6"/>
  <c r="BU21" i="6"/>
  <c r="BS21" i="6"/>
  <c r="BP21" i="6"/>
  <c r="BN21" i="6"/>
  <c r="BJ21" i="6"/>
  <c r="BH21" i="6"/>
  <c r="BI21" i="6" s="1"/>
  <c r="BF21" i="6"/>
  <c r="BD21" i="6"/>
  <c r="BA21" i="6"/>
  <c r="AY21" i="6"/>
  <c r="AV21" i="6"/>
  <c r="AT21" i="6"/>
  <c r="AP21" i="6"/>
  <c r="AN21" i="6"/>
  <c r="AO21" i="6" s="1"/>
  <c r="AL21" i="6"/>
  <c r="AJ21" i="6"/>
  <c r="AG21" i="6"/>
  <c r="AE21" i="6"/>
  <c r="AB21" i="6"/>
  <c r="Z21" i="6"/>
  <c r="V21" i="6"/>
  <c r="T21" i="6"/>
  <c r="R21" i="6"/>
  <c r="P21" i="6"/>
  <c r="M21" i="6"/>
  <c r="K21" i="6"/>
  <c r="H21" i="6"/>
  <c r="F21" i="6"/>
  <c r="CD20" i="6"/>
  <c r="CB20" i="6"/>
  <c r="CC20" i="6" s="1"/>
  <c r="BZ20" i="6"/>
  <c r="BX20" i="6"/>
  <c r="BU20" i="6"/>
  <c r="BS20" i="6"/>
  <c r="BP20" i="6"/>
  <c r="BN20" i="6"/>
  <c r="BJ20" i="6"/>
  <c r="BH20" i="6"/>
  <c r="BF20" i="6"/>
  <c r="BD20" i="6"/>
  <c r="BA20" i="6"/>
  <c r="AV20" i="6"/>
  <c r="AT20" i="6"/>
  <c r="AP20" i="6"/>
  <c r="AN20" i="6"/>
  <c r="AL20" i="6"/>
  <c r="AJ20" i="6"/>
  <c r="AG20" i="6"/>
  <c r="AE20" i="6"/>
  <c r="AB20" i="6"/>
  <c r="Z20" i="6"/>
  <c r="V20" i="6"/>
  <c r="T20" i="6"/>
  <c r="U20" i="6" s="1"/>
  <c r="R20" i="6"/>
  <c r="P20" i="6"/>
  <c r="M20" i="6"/>
  <c r="K20" i="6"/>
  <c r="H20" i="6"/>
  <c r="F20" i="6"/>
  <c r="CD19" i="6"/>
  <c r="CB19" i="6"/>
  <c r="CC19" i="6" s="1"/>
  <c r="BZ19" i="6"/>
  <c r="BX19" i="6"/>
  <c r="BU19" i="6"/>
  <c r="BS19" i="6"/>
  <c r="BP19" i="6"/>
  <c r="BN19" i="6"/>
  <c r="BJ19" i="6"/>
  <c r="BH19" i="6"/>
  <c r="BF19" i="6"/>
  <c r="BD19" i="6"/>
  <c r="BA19" i="6"/>
  <c r="AV19" i="6"/>
  <c r="AT19" i="6"/>
  <c r="AP19" i="6"/>
  <c r="AN19" i="6"/>
  <c r="AL19" i="6"/>
  <c r="AJ19" i="6"/>
  <c r="AG19" i="6"/>
  <c r="AE19" i="6"/>
  <c r="AB19" i="6"/>
  <c r="Z19" i="6"/>
  <c r="V19" i="6"/>
  <c r="T19" i="6"/>
  <c r="U19" i="6" s="1"/>
  <c r="R19" i="6"/>
  <c r="P19" i="6"/>
  <c r="M19" i="6"/>
  <c r="K19" i="6"/>
  <c r="H19" i="6"/>
  <c r="F19" i="6"/>
  <c r="CD18" i="6"/>
  <c r="CB18" i="6"/>
  <c r="BZ18" i="6"/>
  <c r="BX18" i="6"/>
  <c r="BU18" i="6"/>
  <c r="BS18" i="6"/>
  <c r="BP18" i="6"/>
  <c r="BN18" i="6"/>
  <c r="BJ18" i="6"/>
  <c r="BH18" i="6"/>
  <c r="BI18" i="6" s="1"/>
  <c r="BF18" i="6"/>
  <c r="BD18" i="6"/>
  <c r="BA18" i="6"/>
  <c r="AV18" i="6"/>
  <c r="AT18" i="6"/>
  <c r="AP18" i="6"/>
  <c r="AN18" i="6"/>
  <c r="AO18" i="6" s="1"/>
  <c r="AL18" i="6"/>
  <c r="AJ18" i="6"/>
  <c r="AG18" i="6"/>
  <c r="AE18" i="6"/>
  <c r="AB18" i="6"/>
  <c r="Z18" i="6"/>
  <c r="V18" i="6"/>
  <c r="T18" i="6"/>
  <c r="U18" i="6" s="1"/>
  <c r="R18" i="6"/>
  <c r="P18" i="6"/>
  <c r="M18" i="6"/>
  <c r="K18" i="6"/>
  <c r="H18" i="6"/>
  <c r="F18" i="6"/>
  <c r="CD17" i="6"/>
  <c r="CB17" i="6"/>
  <c r="CC17" i="6" s="1"/>
  <c r="BZ17" i="6"/>
  <c r="BX17" i="6"/>
  <c r="BU17" i="6"/>
  <c r="BS17" i="6"/>
  <c r="BP17" i="6"/>
  <c r="BN17" i="6"/>
  <c r="BJ17" i="6"/>
  <c r="BH17" i="6"/>
  <c r="BI17" i="6" s="1"/>
  <c r="BF17" i="6"/>
  <c r="BD17" i="6"/>
  <c r="BA17" i="6"/>
  <c r="AY17" i="6"/>
  <c r="AV17" i="6"/>
  <c r="AT17" i="6"/>
  <c r="AP17" i="6"/>
  <c r="AN17" i="6"/>
  <c r="AO17" i="6" s="1"/>
  <c r="AL17" i="6"/>
  <c r="AJ17" i="6"/>
  <c r="AG17" i="6"/>
  <c r="AE17" i="6"/>
  <c r="AB17" i="6"/>
  <c r="Z17" i="6"/>
  <c r="V17" i="6"/>
  <c r="T17" i="6"/>
  <c r="U17" i="6" s="1"/>
  <c r="R17" i="6"/>
  <c r="P17" i="6"/>
  <c r="M17" i="6"/>
  <c r="K17" i="6"/>
  <c r="H17" i="6"/>
  <c r="F17" i="6"/>
  <c r="CB12" i="6"/>
  <c r="BZ12" i="6"/>
  <c r="BU12" i="6"/>
  <c r="BP12" i="6"/>
  <c r="BJ12" i="6"/>
  <c r="BH12" i="6"/>
  <c r="BF12" i="6"/>
  <c r="BA12" i="6"/>
  <c r="AV12" i="6"/>
  <c r="AG12" i="6"/>
  <c r="AB12" i="6"/>
  <c r="T12" i="6"/>
  <c r="CD11" i="6"/>
  <c r="BP11" i="6"/>
  <c r="BJ11" i="6"/>
  <c r="AI11" i="6"/>
  <c r="Y11" i="6"/>
  <c r="CD10" i="6"/>
  <c r="BP10" i="6"/>
  <c r="BJ10" i="6"/>
  <c r="J10" i="6"/>
  <c r="M10" i="6" s="1"/>
  <c r="CD9" i="6"/>
  <c r="BP9" i="6"/>
  <c r="BJ9" i="6"/>
  <c r="CD8" i="6"/>
  <c r="BP8" i="6"/>
  <c r="BJ8" i="6"/>
  <c r="CD6" i="6"/>
  <c r="CB6" i="6"/>
  <c r="CC6" i="6" s="1"/>
  <c r="BZ6" i="6"/>
  <c r="BX6" i="6"/>
  <c r="BU6" i="6"/>
  <c r="BS6" i="6"/>
  <c r="BP6" i="6"/>
  <c r="BN6" i="6"/>
  <c r="BJ6" i="6"/>
  <c r="BH6" i="6"/>
  <c r="BI6" i="6" s="1"/>
  <c r="BF6" i="6"/>
  <c r="BD6" i="6"/>
  <c r="BA6" i="6"/>
  <c r="AY6" i="6"/>
  <c r="AV6" i="6"/>
  <c r="AT6" i="6"/>
  <c r="AP6" i="6"/>
  <c r="AN6" i="6"/>
  <c r="AO6" i="6" s="1"/>
  <c r="AL6" i="6"/>
  <c r="AJ6" i="6"/>
  <c r="AG6" i="6"/>
  <c r="AE6" i="6"/>
  <c r="AB6" i="6"/>
  <c r="Z6" i="6"/>
  <c r="V6" i="6"/>
  <c r="T6" i="6"/>
  <c r="R6" i="6"/>
  <c r="P6" i="6"/>
  <c r="M6" i="6"/>
  <c r="K6" i="6"/>
  <c r="H6" i="6"/>
  <c r="F6" i="6"/>
  <c r="CD5" i="6"/>
  <c r="CB5" i="6"/>
  <c r="CC5" i="6" s="1"/>
  <c r="BZ5" i="6"/>
  <c r="BX5" i="6"/>
  <c r="BU5" i="6"/>
  <c r="BS5" i="6"/>
  <c r="BP5" i="6"/>
  <c r="BN5" i="6"/>
  <c r="BJ5" i="6"/>
  <c r="BH5" i="6"/>
  <c r="BI5" i="6" s="1"/>
  <c r="BF5" i="6"/>
  <c r="BD5" i="6"/>
  <c r="BA5" i="6"/>
  <c r="AY5" i="6"/>
  <c r="AV5" i="6"/>
  <c r="AT5" i="6"/>
  <c r="AP5" i="6"/>
  <c r="AN5" i="6"/>
  <c r="AL5" i="6"/>
  <c r="AJ5" i="6"/>
  <c r="AG5" i="6"/>
  <c r="AE5" i="6"/>
  <c r="AB5" i="6"/>
  <c r="Z5" i="6"/>
  <c r="V5" i="6"/>
  <c r="T5" i="6"/>
  <c r="U5" i="6" s="1"/>
  <c r="R5" i="6"/>
  <c r="P5" i="6"/>
  <c r="M5" i="6"/>
  <c r="K5" i="6"/>
  <c r="H5" i="6"/>
  <c r="F5" i="6"/>
  <c r="CD4" i="6"/>
  <c r="CB4" i="6"/>
  <c r="CC4" i="6" s="1"/>
  <c r="BZ4" i="6"/>
  <c r="BX4" i="6"/>
  <c r="BU4" i="6"/>
  <c r="BS4" i="6"/>
  <c r="BP4" i="6"/>
  <c r="BN4" i="6"/>
  <c r="BJ4" i="6"/>
  <c r="BH4" i="6"/>
  <c r="BI4" i="6" s="1"/>
  <c r="BF4" i="6"/>
  <c r="BD4" i="6"/>
  <c r="BA4" i="6"/>
  <c r="AY4" i="6"/>
  <c r="AV4" i="6"/>
  <c r="AT4" i="6"/>
  <c r="AP4" i="6"/>
  <c r="AN4" i="6"/>
  <c r="AO4" i="6" s="1"/>
  <c r="AL4" i="6"/>
  <c r="AJ4" i="6"/>
  <c r="AG4" i="6"/>
  <c r="AE4" i="6"/>
  <c r="AB4" i="6"/>
  <c r="Z4" i="6"/>
  <c r="V4" i="6"/>
  <c r="T4" i="6"/>
  <c r="U4" i="6" s="1"/>
  <c r="R4" i="6"/>
  <c r="P4" i="6"/>
  <c r="M4" i="6"/>
  <c r="K4" i="6"/>
  <c r="H4" i="6"/>
  <c r="F4" i="6"/>
  <c r="CD3" i="6"/>
  <c r="CB3" i="6"/>
  <c r="CC3" i="6" s="1"/>
  <c r="BZ3" i="6"/>
  <c r="BX3" i="6"/>
  <c r="BU3" i="6"/>
  <c r="BS3" i="6"/>
  <c r="BP3" i="6"/>
  <c r="BN3" i="6"/>
  <c r="BJ3" i="6"/>
  <c r="BH3" i="6"/>
  <c r="BI3" i="6" s="1"/>
  <c r="BF3" i="6"/>
  <c r="BD3" i="6"/>
  <c r="BA3" i="6"/>
  <c r="AY3" i="6"/>
  <c r="AV3" i="6"/>
  <c r="AT3" i="6"/>
  <c r="AP3" i="6"/>
  <c r="AN3" i="6"/>
  <c r="AL3" i="6"/>
  <c r="AJ3" i="6"/>
  <c r="AG3" i="6"/>
  <c r="AE3" i="6"/>
  <c r="AB3" i="6"/>
  <c r="Z3" i="6"/>
  <c r="V3" i="6"/>
  <c r="T3" i="6"/>
  <c r="U3" i="6" s="1"/>
  <c r="R3" i="6"/>
  <c r="P3" i="6"/>
  <c r="M3" i="6"/>
  <c r="K3" i="6"/>
  <c r="H3" i="6"/>
  <c r="F3" i="6"/>
  <c r="BW51" i="5"/>
  <c r="BX51" i="5" s="1"/>
  <c r="BR51" i="5"/>
  <c r="BS51" i="5" s="1"/>
  <c r="BO14" i="5"/>
  <c r="BM51" i="5"/>
  <c r="BM14" i="5" s="1"/>
  <c r="BC51" i="5"/>
  <c r="BD51" i="5" s="1"/>
  <c r="AX51" i="5"/>
  <c r="BA51" i="5" s="1"/>
  <c r="AS51" i="5"/>
  <c r="AS14" i="5" s="1"/>
  <c r="AI51" i="5"/>
  <c r="AJ51" i="5" s="1"/>
  <c r="AD51" i="5"/>
  <c r="AD14" i="5" s="1"/>
  <c r="Y51" i="5"/>
  <c r="AB51" i="5" s="1"/>
  <c r="O51" i="5"/>
  <c r="P51" i="5" s="1"/>
  <c r="J51" i="5"/>
  <c r="K51" i="5" s="1"/>
  <c r="CD46" i="5"/>
  <c r="CB46" i="5"/>
  <c r="CC46" i="5" s="1"/>
  <c r="BZ46" i="5"/>
  <c r="BX46" i="5"/>
  <c r="BU46" i="5"/>
  <c r="BS46" i="5"/>
  <c r="BP46" i="5"/>
  <c r="BN46" i="5"/>
  <c r="BJ46" i="5"/>
  <c r="BH46" i="5"/>
  <c r="BF46" i="5"/>
  <c r="BD46" i="5"/>
  <c r="BA46" i="5"/>
  <c r="AY46" i="5"/>
  <c r="AV46" i="5"/>
  <c r="AT46" i="5"/>
  <c r="AP46" i="5"/>
  <c r="AN46" i="5"/>
  <c r="AL46" i="5"/>
  <c r="AJ46" i="5"/>
  <c r="AG46" i="5"/>
  <c r="AE46" i="5"/>
  <c r="AB46" i="5"/>
  <c r="Z46" i="5"/>
  <c r="V46" i="5"/>
  <c r="T46" i="5"/>
  <c r="U46" i="5" s="1"/>
  <c r="R46" i="5"/>
  <c r="P46" i="5"/>
  <c r="M46" i="5"/>
  <c r="K46" i="5"/>
  <c r="H46" i="5"/>
  <c r="F46" i="5"/>
  <c r="CD45" i="5"/>
  <c r="CB45" i="5"/>
  <c r="BZ45" i="5"/>
  <c r="BX45" i="5"/>
  <c r="BU45" i="5"/>
  <c r="BS45" i="5"/>
  <c r="BP45" i="5"/>
  <c r="BN45" i="5"/>
  <c r="BJ45" i="5"/>
  <c r="BH45" i="5"/>
  <c r="BF45" i="5"/>
  <c r="BD45" i="5"/>
  <c r="BA45" i="5"/>
  <c r="AV45" i="5"/>
  <c r="AT45" i="5"/>
  <c r="AP45" i="5"/>
  <c r="AN45" i="5"/>
  <c r="AL45" i="5"/>
  <c r="AJ45" i="5"/>
  <c r="AG45" i="5"/>
  <c r="AE45" i="5"/>
  <c r="AB45" i="5"/>
  <c r="Z45" i="5"/>
  <c r="V45" i="5"/>
  <c r="T45" i="5"/>
  <c r="U45" i="5" s="1"/>
  <c r="R45" i="5"/>
  <c r="P45" i="5"/>
  <c r="M45" i="5"/>
  <c r="K45" i="5"/>
  <c r="H45" i="5"/>
  <c r="F45" i="5"/>
  <c r="BW42" i="5"/>
  <c r="BX42" i="5" s="1"/>
  <c r="BR42" i="5"/>
  <c r="BS42" i="5" s="1"/>
  <c r="BM42" i="5"/>
  <c r="BN42" i="5" s="1"/>
  <c r="BC42" i="5"/>
  <c r="BD42" i="5" s="1"/>
  <c r="AZ13" i="5"/>
  <c r="AX42" i="5"/>
  <c r="AX13" i="5" s="1"/>
  <c r="AS42" i="5"/>
  <c r="AT42" i="5" s="1"/>
  <c r="AK13" i="5"/>
  <c r="AI42" i="5"/>
  <c r="AJ42" i="5" s="1"/>
  <c r="AD42" i="5"/>
  <c r="AG42" i="5" s="1"/>
  <c r="Y42" i="5"/>
  <c r="Z42" i="5" s="1"/>
  <c r="Q42" i="5"/>
  <c r="O42" i="5"/>
  <c r="P42" i="5" s="1"/>
  <c r="L42" i="5"/>
  <c r="L13" i="5" s="1"/>
  <c r="J42" i="5"/>
  <c r="G42" i="5"/>
  <c r="G13" i="5" s="1"/>
  <c r="E42" i="5"/>
  <c r="CD41" i="5"/>
  <c r="CB41" i="5"/>
  <c r="CC41" i="5" s="1"/>
  <c r="BZ41" i="5"/>
  <c r="BX41" i="5"/>
  <c r="BU41" i="5"/>
  <c r="BS41" i="5"/>
  <c r="BP41" i="5"/>
  <c r="BN41" i="5"/>
  <c r="BJ41" i="5"/>
  <c r="BH41" i="5"/>
  <c r="BF41" i="5"/>
  <c r="BD41" i="5"/>
  <c r="BA41" i="5"/>
  <c r="AV41" i="5"/>
  <c r="AT41" i="5"/>
  <c r="AP41" i="5"/>
  <c r="AN41" i="5"/>
  <c r="AO41" i="5" s="1"/>
  <c r="AL41" i="5"/>
  <c r="AJ41" i="5"/>
  <c r="AG41" i="5"/>
  <c r="AE41" i="5"/>
  <c r="AB41" i="5"/>
  <c r="Z41" i="5"/>
  <c r="V41" i="5"/>
  <c r="T41" i="5"/>
  <c r="R41" i="5"/>
  <c r="P41" i="5"/>
  <c r="M41" i="5"/>
  <c r="K41" i="5"/>
  <c r="H41" i="5"/>
  <c r="F41" i="5"/>
  <c r="CD40" i="5"/>
  <c r="CB40" i="5"/>
  <c r="BZ40" i="5"/>
  <c r="BX40" i="5"/>
  <c r="BU40" i="5"/>
  <c r="BS40" i="5"/>
  <c r="BP40" i="5"/>
  <c r="BN40" i="5"/>
  <c r="BJ40" i="5"/>
  <c r="BH40" i="5"/>
  <c r="BF40" i="5"/>
  <c r="BD40" i="5"/>
  <c r="BA40" i="5"/>
  <c r="AV40" i="5"/>
  <c r="AT40" i="5"/>
  <c r="AP40" i="5"/>
  <c r="AN40" i="5"/>
  <c r="AL40" i="5"/>
  <c r="AJ40" i="5"/>
  <c r="AG40" i="5"/>
  <c r="AE40" i="5"/>
  <c r="AB40" i="5"/>
  <c r="Z40" i="5"/>
  <c r="V40" i="5"/>
  <c r="T40" i="5"/>
  <c r="U40" i="5" s="1"/>
  <c r="R40" i="5"/>
  <c r="P40" i="5"/>
  <c r="M40" i="5"/>
  <c r="K40" i="5"/>
  <c r="H40" i="5"/>
  <c r="F40" i="5"/>
  <c r="CD39" i="5"/>
  <c r="CB39" i="5"/>
  <c r="CC39" i="5" s="1"/>
  <c r="BZ39" i="5"/>
  <c r="BX39" i="5"/>
  <c r="BU39" i="5"/>
  <c r="BS39" i="5"/>
  <c r="BP39" i="5"/>
  <c r="BN39" i="5"/>
  <c r="BJ39" i="5"/>
  <c r="BH39" i="5"/>
  <c r="BF39" i="5"/>
  <c r="BD39" i="5"/>
  <c r="BA39" i="5"/>
  <c r="AV39" i="5"/>
  <c r="AT39" i="5"/>
  <c r="AP39" i="5"/>
  <c r="AN39" i="5"/>
  <c r="AO39" i="5" s="1"/>
  <c r="AL39" i="5"/>
  <c r="AJ39" i="5"/>
  <c r="AG39" i="5"/>
  <c r="AE39" i="5"/>
  <c r="AB39" i="5"/>
  <c r="Z39" i="5"/>
  <c r="V39" i="5"/>
  <c r="T39" i="5"/>
  <c r="U39" i="5" s="1"/>
  <c r="R39" i="5"/>
  <c r="P39" i="5"/>
  <c r="M39" i="5"/>
  <c r="K39" i="5"/>
  <c r="H39" i="5"/>
  <c r="F39" i="5"/>
  <c r="CD38" i="5"/>
  <c r="CB38" i="5"/>
  <c r="CC38" i="5" s="1"/>
  <c r="BZ38" i="5"/>
  <c r="BX38" i="5"/>
  <c r="BU38" i="5"/>
  <c r="BS38" i="5"/>
  <c r="BP38" i="5"/>
  <c r="BN38" i="5"/>
  <c r="BJ38" i="5"/>
  <c r="BH38" i="5"/>
  <c r="BF38" i="5"/>
  <c r="BD38" i="5"/>
  <c r="BA38" i="5"/>
  <c r="BI38" i="5"/>
  <c r="AV38" i="5"/>
  <c r="AT38" i="5"/>
  <c r="AP38" i="5"/>
  <c r="CI38" i="5" s="1"/>
  <c r="AN38" i="5"/>
  <c r="AL38" i="5"/>
  <c r="AJ38" i="5"/>
  <c r="AG38" i="5"/>
  <c r="AE38" i="5"/>
  <c r="AB38" i="5"/>
  <c r="Z38" i="5"/>
  <c r="V38" i="5"/>
  <c r="T38" i="5"/>
  <c r="R38" i="5"/>
  <c r="P38" i="5"/>
  <c r="M38" i="5"/>
  <c r="K38" i="5"/>
  <c r="H38" i="5"/>
  <c r="F38" i="5"/>
  <c r="CD37" i="5"/>
  <c r="CB37" i="5"/>
  <c r="BZ37" i="5"/>
  <c r="BX37" i="5"/>
  <c r="BU37" i="5"/>
  <c r="BS37" i="5"/>
  <c r="BP37" i="5"/>
  <c r="BN37" i="5"/>
  <c r="BJ37" i="5"/>
  <c r="BH37" i="5"/>
  <c r="BF37" i="5"/>
  <c r="BD37" i="5"/>
  <c r="BA37" i="5"/>
  <c r="AV37" i="5"/>
  <c r="AT37" i="5"/>
  <c r="AP37" i="5"/>
  <c r="AN37" i="5"/>
  <c r="AL37" i="5"/>
  <c r="AJ37" i="5"/>
  <c r="AG37" i="5"/>
  <c r="AE37" i="5"/>
  <c r="AB37" i="5"/>
  <c r="Z37" i="5"/>
  <c r="V37" i="5"/>
  <c r="T37" i="5"/>
  <c r="U37" i="5" s="1"/>
  <c r="R37" i="5"/>
  <c r="P37" i="5"/>
  <c r="M37" i="5"/>
  <c r="K37" i="5"/>
  <c r="H37" i="5"/>
  <c r="F37" i="5"/>
  <c r="BY34" i="5"/>
  <c r="BW34" i="5"/>
  <c r="BX34" i="5" s="1"/>
  <c r="BT34" i="5"/>
  <c r="BT12" i="5" s="1"/>
  <c r="BR34" i="5"/>
  <c r="BS34" i="5" s="1"/>
  <c r="BO34" i="5"/>
  <c r="BO12" i="5" s="1"/>
  <c r="BM34" i="5"/>
  <c r="BE34" i="5"/>
  <c r="BC34" i="5"/>
  <c r="BD34" i="5" s="1"/>
  <c r="AZ34" i="5"/>
  <c r="AZ12" i="5" s="1"/>
  <c r="AX34" i="5"/>
  <c r="AY34" i="5" s="1"/>
  <c r="AU34" i="5"/>
  <c r="AU12" i="5" s="1"/>
  <c r="AS34" i="5"/>
  <c r="AS12" i="5" s="1"/>
  <c r="AK34" i="5"/>
  <c r="AK12" i="5" s="1"/>
  <c r="AI34" i="5"/>
  <c r="AI12" i="5" s="1"/>
  <c r="AF34" i="5"/>
  <c r="AF12" i="5" s="1"/>
  <c r="AD34" i="5"/>
  <c r="AD12" i="5" s="1"/>
  <c r="AA34" i="5"/>
  <c r="Y34" i="5"/>
  <c r="Z34" i="5" s="1"/>
  <c r="Q34" i="5"/>
  <c r="O34" i="5"/>
  <c r="P34" i="5" s="1"/>
  <c r="L34" i="5"/>
  <c r="L12" i="5" s="1"/>
  <c r="J34" i="5"/>
  <c r="J12" i="5" s="1"/>
  <c r="G34" i="5"/>
  <c r="G12" i="5" s="1"/>
  <c r="E34" i="5"/>
  <c r="CD33" i="5"/>
  <c r="CB33" i="5"/>
  <c r="CC33" i="5" s="1"/>
  <c r="BZ33" i="5"/>
  <c r="BX33" i="5"/>
  <c r="BU33" i="5"/>
  <c r="BS33" i="5"/>
  <c r="BP33" i="5"/>
  <c r="BN33" i="5"/>
  <c r="BJ33" i="5"/>
  <c r="BH33" i="5"/>
  <c r="BI33" i="5" s="1"/>
  <c r="BF33" i="5"/>
  <c r="BD33" i="5"/>
  <c r="BA33" i="5"/>
  <c r="AY33" i="5"/>
  <c r="AV33" i="5"/>
  <c r="AT33" i="5"/>
  <c r="AP33" i="5"/>
  <c r="CI33" i="5" s="1"/>
  <c r="AN33" i="5"/>
  <c r="AL33" i="5"/>
  <c r="AJ33" i="5"/>
  <c r="AG33" i="5"/>
  <c r="AE33" i="5"/>
  <c r="AB33" i="5"/>
  <c r="Z33" i="5"/>
  <c r="V33" i="5"/>
  <c r="T33" i="5"/>
  <c r="U33" i="5" s="1"/>
  <c r="R33" i="5"/>
  <c r="P33" i="5"/>
  <c r="M33" i="5"/>
  <c r="K33" i="5"/>
  <c r="H33" i="5"/>
  <c r="F33" i="5"/>
  <c r="CD31" i="5"/>
  <c r="CB31" i="5"/>
  <c r="CC31" i="5" s="1"/>
  <c r="BZ31" i="5"/>
  <c r="BX31" i="5"/>
  <c r="BU31" i="5"/>
  <c r="BS31" i="5"/>
  <c r="BP31" i="5"/>
  <c r="BN31" i="5"/>
  <c r="BJ31" i="5"/>
  <c r="BH31" i="5"/>
  <c r="BF31" i="5"/>
  <c r="BD31" i="5"/>
  <c r="BA31" i="5"/>
  <c r="AV31" i="5"/>
  <c r="AT31" i="5"/>
  <c r="AP31" i="5"/>
  <c r="AN31" i="5"/>
  <c r="AL31" i="5"/>
  <c r="AJ31" i="5"/>
  <c r="AG31" i="5"/>
  <c r="AE31" i="5"/>
  <c r="AB31" i="5"/>
  <c r="Z31" i="5"/>
  <c r="V31" i="5"/>
  <c r="T31" i="5"/>
  <c r="R31" i="5"/>
  <c r="P31" i="5"/>
  <c r="M31" i="5"/>
  <c r="K31" i="5"/>
  <c r="H31" i="5"/>
  <c r="F31" i="5"/>
  <c r="CD30" i="5"/>
  <c r="CB30" i="5"/>
  <c r="CC30" i="5" s="1"/>
  <c r="BZ30" i="5"/>
  <c r="BX30" i="5"/>
  <c r="BU30" i="5"/>
  <c r="BS30" i="5"/>
  <c r="BP30" i="5"/>
  <c r="BN30" i="5"/>
  <c r="BJ30" i="5"/>
  <c r="BH30" i="5"/>
  <c r="BF30" i="5"/>
  <c r="BD30" i="5"/>
  <c r="BA30" i="5"/>
  <c r="AY30" i="5"/>
  <c r="AV30" i="5"/>
  <c r="AT30" i="5"/>
  <c r="AP30" i="5"/>
  <c r="CI30" i="5" s="1"/>
  <c r="AN30" i="5"/>
  <c r="AO30" i="5" s="1"/>
  <c r="AL30" i="5"/>
  <c r="AJ30" i="5"/>
  <c r="AG30" i="5"/>
  <c r="AE30" i="5"/>
  <c r="AB30" i="5"/>
  <c r="Z30" i="5"/>
  <c r="V30" i="5"/>
  <c r="T30" i="5"/>
  <c r="R30" i="5"/>
  <c r="P30" i="5"/>
  <c r="M30" i="5"/>
  <c r="K30" i="5"/>
  <c r="H30" i="5"/>
  <c r="F30" i="5"/>
  <c r="CD29" i="5"/>
  <c r="CB29" i="5"/>
  <c r="CC29" i="5" s="1"/>
  <c r="BZ29" i="5"/>
  <c r="BX29" i="5"/>
  <c r="BU29" i="5"/>
  <c r="BS29" i="5"/>
  <c r="BP29" i="5"/>
  <c r="BN29" i="5"/>
  <c r="BJ29" i="5"/>
  <c r="BH29" i="5"/>
  <c r="BF29" i="5"/>
  <c r="BD29" i="5"/>
  <c r="BA29" i="5"/>
  <c r="AV29" i="5"/>
  <c r="AT29" i="5"/>
  <c r="AP29" i="5"/>
  <c r="AN29" i="5"/>
  <c r="AO29" i="5" s="1"/>
  <c r="AL29" i="5"/>
  <c r="AJ29" i="5"/>
  <c r="AG29" i="5"/>
  <c r="AE29" i="5"/>
  <c r="AB29" i="5"/>
  <c r="Z29" i="5"/>
  <c r="V29" i="5"/>
  <c r="T29" i="5"/>
  <c r="U29" i="5" s="1"/>
  <c r="R29" i="5"/>
  <c r="P29" i="5"/>
  <c r="M29" i="5"/>
  <c r="K29" i="5"/>
  <c r="H29" i="5"/>
  <c r="F29" i="5"/>
  <c r="CD28" i="5"/>
  <c r="CB28" i="5"/>
  <c r="CC28" i="5" s="1"/>
  <c r="BZ28" i="5"/>
  <c r="BX28" i="5"/>
  <c r="BU28" i="5"/>
  <c r="BS28" i="5"/>
  <c r="BP28" i="5"/>
  <c r="BN28" i="5"/>
  <c r="BJ28" i="5"/>
  <c r="BH28" i="5"/>
  <c r="BF28" i="5"/>
  <c r="BD28" i="5"/>
  <c r="BA28" i="5"/>
  <c r="AV28" i="5"/>
  <c r="AT28" i="5"/>
  <c r="AP28" i="5"/>
  <c r="AN28" i="5"/>
  <c r="AO28" i="5" s="1"/>
  <c r="AL28" i="5"/>
  <c r="AJ28" i="5"/>
  <c r="AG28" i="5"/>
  <c r="AE28" i="5"/>
  <c r="AB28" i="5"/>
  <c r="Z28" i="5"/>
  <c r="V28" i="5"/>
  <c r="T28" i="5"/>
  <c r="U28" i="5" s="1"/>
  <c r="R28" i="5"/>
  <c r="P28" i="5"/>
  <c r="M28" i="5"/>
  <c r="K28" i="5"/>
  <c r="H28" i="5"/>
  <c r="F28" i="5"/>
  <c r="BY25" i="5"/>
  <c r="BY11" i="5" s="1"/>
  <c r="BW25" i="5"/>
  <c r="BT25" i="5"/>
  <c r="BT11" i="5" s="1"/>
  <c r="BR25" i="5"/>
  <c r="BS25" i="5" s="1"/>
  <c r="BO25" i="5"/>
  <c r="BO11" i="5" s="1"/>
  <c r="BM25" i="5"/>
  <c r="BN25" i="5" s="1"/>
  <c r="BE25" i="5"/>
  <c r="BC25" i="5"/>
  <c r="BD25" i="5" s="1"/>
  <c r="AZ25" i="5"/>
  <c r="AZ11" i="5" s="1"/>
  <c r="AX25" i="5"/>
  <c r="AX11" i="5" s="1"/>
  <c r="AU25" i="5"/>
  <c r="AS25" i="5"/>
  <c r="AT25" i="5" s="1"/>
  <c r="AK25" i="5"/>
  <c r="AK11" i="5" s="1"/>
  <c r="AI25" i="5"/>
  <c r="AI11" i="5" s="1"/>
  <c r="AF25" i="5"/>
  <c r="AF11" i="5" s="1"/>
  <c r="AD25" i="5"/>
  <c r="AE25" i="5" s="1"/>
  <c r="AA25" i="5"/>
  <c r="Y25" i="5"/>
  <c r="Y11" i="5" s="1"/>
  <c r="Q25" i="5"/>
  <c r="Q11" i="5" s="1"/>
  <c r="O25" i="5"/>
  <c r="L25" i="5"/>
  <c r="L11" i="5" s="1"/>
  <c r="J25" i="5"/>
  <c r="G25" i="5"/>
  <c r="G11" i="5" s="1"/>
  <c r="E25" i="5"/>
  <c r="F25" i="5" s="1"/>
  <c r="CD24" i="5"/>
  <c r="CB24" i="5"/>
  <c r="CC24" i="5" s="1"/>
  <c r="BZ24" i="5"/>
  <c r="BX24" i="5"/>
  <c r="BU24" i="5"/>
  <c r="BS24" i="5"/>
  <c r="BP24" i="5"/>
  <c r="BN24" i="5"/>
  <c r="BJ24" i="5"/>
  <c r="BH24" i="5"/>
  <c r="BF24" i="5"/>
  <c r="BD24" i="5"/>
  <c r="BA24" i="5"/>
  <c r="AV24" i="5"/>
  <c r="AT24" i="5"/>
  <c r="AP24" i="5"/>
  <c r="AN24" i="5"/>
  <c r="AO24" i="5" s="1"/>
  <c r="AL24" i="5"/>
  <c r="AJ24" i="5"/>
  <c r="AG24" i="5"/>
  <c r="AE24" i="5"/>
  <c r="AB24" i="5"/>
  <c r="Z24" i="5"/>
  <c r="V24" i="5"/>
  <c r="T24" i="5"/>
  <c r="R24" i="5"/>
  <c r="P24" i="5"/>
  <c r="M24" i="5"/>
  <c r="K24" i="5"/>
  <c r="H24" i="5"/>
  <c r="F24" i="5"/>
  <c r="CD23" i="5"/>
  <c r="CB23" i="5"/>
  <c r="CC23" i="5" s="1"/>
  <c r="BZ23" i="5"/>
  <c r="BX23" i="5"/>
  <c r="BU23" i="5"/>
  <c r="BS23" i="5"/>
  <c r="BP23" i="5"/>
  <c r="BN23" i="5"/>
  <c r="BJ23" i="5"/>
  <c r="BH23" i="5"/>
  <c r="BF23" i="5"/>
  <c r="BD23" i="5"/>
  <c r="BA23" i="5"/>
  <c r="AV23" i="5"/>
  <c r="AT23" i="5"/>
  <c r="AP23" i="5"/>
  <c r="AN23" i="5"/>
  <c r="AO23" i="5" s="1"/>
  <c r="AL23" i="5"/>
  <c r="AJ23" i="5"/>
  <c r="AG23" i="5"/>
  <c r="AE23" i="5"/>
  <c r="AB23" i="5"/>
  <c r="Z23" i="5"/>
  <c r="V23" i="5"/>
  <c r="T23" i="5"/>
  <c r="U23" i="5" s="1"/>
  <c r="R23" i="5"/>
  <c r="P23" i="5"/>
  <c r="M23" i="5"/>
  <c r="K23" i="5"/>
  <c r="H23" i="5"/>
  <c r="F23" i="5"/>
  <c r="CD22" i="5"/>
  <c r="CB22" i="5"/>
  <c r="CC22" i="5" s="1"/>
  <c r="BZ22" i="5"/>
  <c r="BX22" i="5"/>
  <c r="BU22" i="5"/>
  <c r="BS22" i="5"/>
  <c r="BP22" i="5"/>
  <c r="BN22" i="5"/>
  <c r="BJ22" i="5"/>
  <c r="BH22" i="5"/>
  <c r="BI22" i="5" s="1"/>
  <c r="BF22" i="5"/>
  <c r="BD22" i="5"/>
  <c r="BA22" i="5"/>
  <c r="AV22" i="5"/>
  <c r="AT22" i="5"/>
  <c r="AP22" i="5"/>
  <c r="AN22" i="5"/>
  <c r="AL22" i="5"/>
  <c r="AJ22" i="5"/>
  <c r="AG22" i="5"/>
  <c r="AE22" i="5"/>
  <c r="AB22" i="5"/>
  <c r="Z22" i="5"/>
  <c r="V22" i="5"/>
  <c r="T22" i="5"/>
  <c r="U22" i="5" s="1"/>
  <c r="R22" i="5"/>
  <c r="P22" i="5"/>
  <c r="M22" i="5"/>
  <c r="K22" i="5"/>
  <c r="H22" i="5"/>
  <c r="F22" i="5"/>
  <c r="CD21" i="5"/>
  <c r="CB21" i="5"/>
  <c r="CC21" i="5" s="1"/>
  <c r="BZ21" i="5"/>
  <c r="BX21" i="5"/>
  <c r="BU21" i="5"/>
  <c r="BS21" i="5"/>
  <c r="BP21" i="5"/>
  <c r="BN21" i="5"/>
  <c r="BJ21" i="5"/>
  <c r="BH21" i="5"/>
  <c r="BF21" i="5"/>
  <c r="BD21" i="5"/>
  <c r="BA21" i="5"/>
  <c r="AY21" i="5"/>
  <c r="AV21" i="5"/>
  <c r="AT21" i="5"/>
  <c r="AP21" i="5"/>
  <c r="AN21" i="5"/>
  <c r="AL21" i="5"/>
  <c r="AJ21" i="5"/>
  <c r="AG21" i="5"/>
  <c r="AE21" i="5"/>
  <c r="AB21" i="5"/>
  <c r="Z21" i="5"/>
  <c r="V21" i="5"/>
  <c r="T21" i="5"/>
  <c r="R21" i="5"/>
  <c r="P21" i="5"/>
  <c r="M21" i="5"/>
  <c r="K21" i="5"/>
  <c r="H21" i="5"/>
  <c r="F21" i="5"/>
  <c r="CD20" i="5"/>
  <c r="CB20" i="5"/>
  <c r="CC20" i="5" s="1"/>
  <c r="BZ20" i="5"/>
  <c r="BX20" i="5"/>
  <c r="BU20" i="5"/>
  <c r="BS20" i="5"/>
  <c r="BP20" i="5"/>
  <c r="BN20" i="5"/>
  <c r="BJ20" i="5"/>
  <c r="BH20" i="5"/>
  <c r="BF20" i="5"/>
  <c r="BD20" i="5"/>
  <c r="BA20" i="5"/>
  <c r="AV20" i="5"/>
  <c r="AT20" i="5"/>
  <c r="AP20" i="5"/>
  <c r="AN20" i="5"/>
  <c r="AL20" i="5"/>
  <c r="AJ20" i="5"/>
  <c r="AG20" i="5"/>
  <c r="AE20" i="5"/>
  <c r="AB20" i="5"/>
  <c r="Z20" i="5"/>
  <c r="V20" i="5"/>
  <c r="T20" i="5"/>
  <c r="U20" i="5" s="1"/>
  <c r="R20" i="5"/>
  <c r="P20" i="5"/>
  <c r="M20" i="5"/>
  <c r="K20" i="5"/>
  <c r="H20" i="5"/>
  <c r="F20" i="5"/>
  <c r="CD19" i="5"/>
  <c r="CB19" i="5"/>
  <c r="CC19" i="5" s="1"/>
  <c r="BZ19" i="5"/>
  <c r="BX19" i="5"/>
  <c r="BU19" i="5"/>
  <c r="BS19" i="5"/>
  <c r="BP19" i="5"/>
  <c r="BN19" i="5"/>
  <c r="BJ19" i="5"/>
  <c r="BH19" i="5"/>
  <c r="BF19" i="5"/>
  <c r="BD19" i="5"/>
  <c r="BA19" i="5"/>
  <c r="AV19" i="5"/>
  <c r="AT19" i="5"/>
  <c r="AP19" i="5"/>
  <c r="AN19" i="5"/>
  <c r="AL19" i="5"/>
  <c r="AJ19" i="5"/>
  <c r="AG19" i="5"/>
  <c r="AE19" i="5"/>
  <c r="AB19" i="5"/>
  <c r="Z19" i="5"/>
  <c r="V19" i="5"/>
  <c r="T19" i="5"/>
  <c r="R19" i="5"/>
  <c r="P19" i="5"/>
  <c r="M19" i="5"/>
  <c r="K19" i="5"/>
  <c r="H19" i="5"/>
  <c r="F19" i="5"/>
  <c r="CB15" i="5"/>
  <c r="BH15" i="5"/>
  <c r="AN15" i="5"/>
  <c r="BY14" i="5"/>
  <c r="BT14" i="5"/>
  <c r="AZ14" i="5"/>
  <c r="AX14" i="5"/>
  <c r="AU14" i="5"/>
  <c r="AK14" i="5"/>
  <c r="AF14" i="5"/>
  <c r="AA14" i="5"/>
  <c r="Q14" i="5"/>
  <c r="L14" i="5"/>
  <c r="G14" i="5"/>
  <c r="BT13" i="5"/>
  <c r="BO13" i="5"/>
  <c r="BM13" i="5"/>
  <c r="BE13" i="5"/>
  <c r="AU13" i="5"/>
  <c r="AS13" i="5"/>
  <c r="AF13" i="5"/>
  <c r="AA13" i="5"/>
  <c r="Y13" i="5"/>
  <c r="E12" i="5"/>
  <c r="BE11" i="5"/>
  <c r="CB4" i="5"/>
  <c r="CC4" i="5" s="1"/>
  <c r="BX4" i="5"/>
  <c r="BZ4" i="5" s="1"/>
  <c r="BS4" i="5"/>
  <c r="BU4" i="5" s="1"/>
  <c r="BN4" i="5"/>
  <c r="BH4" i="5"/>
  <c r="BI4" i="5" s="1"/>
  <c r="BD4" i="5"/>
  <c r="BF4" i="5" s="1"/>
  <c r="AY4" i="5"/>
  <c r="BA4" i="5" s="1"/>
  <c r="AT4" i="5"/>
  <c r="AN4" i="5"/>
  <c r="AO4" i="5" s="1"/>
  <c r="AJ4" i="5"/>
  <c r="AL4" i="5" s="1"/>
  <c r="Z4" i="5"/>
  <c r="T4" i="5"/>
  <c r="U4" i="5" s="1"/>
  <c r="P4" i="5"/>
  <c r="R4" i="5" s="1"/>
  <c r="K4" i="5"/>
  <c r="M4" i="5" s="1"/>
  <c r="F4" i="5"/>
  <c r="CB3" i="5"/>
  <c r="CC3" i="5" s="1"/>
  <c r="BX3" i="5"/>
  <c r="BZ3" i="5" s="1"/>
  <c r="BS3" i="5"/>
  <c r="BU3" i="5" s="1"/>
  <c r="BN3" i="5"/>
  <c r="BP3" i="5" s="1"/>
  <c r="BH3" i="5"/>
  <c r="BI3" i="5" s="1"/>
  <c r="BD3" i="5"/>
  <c r="BF3" i="5" s="1"/>
  <c r="AY3" i="5"/>
  <c r="BA3" i="5" s="1"/>
  <c r="AT3" i="5"/>
  <c r="AN3" i="5"/>
  <c r="AJ3" i="5"/>
  <c r="AL3" i="5" s="1"/>
  <c r="Z3" i="5"/>
  <c r="AB3" i="5" s="1"/>
  <c r="AE3" i="5" s="1"/>
  <c r="AG3" i="5" s="1"/>
  <c r="T3" i="5"/>
  <c r="CG3" i="5" s="1"/>
  <c r="CH3" i="5" s="1"/>
  <c r="P3" i="5"/>
  <c r="R3" i="5" s="1"/>
  <c r="K3" i="5"/>
  <c r="M3" i="5" s="1"/>
  <c r="F3" i="5"/>
  <c r="CZ3" i="7" l="1"/>
  <c r="CI46" i="5"/>
  <c r="BX106" i="2"/>
  <c r="BV106" i="2"/>
  <c r="BS106" i="2"/>
  <c r="BQ106" i="2"/>
  <c r="BN106" i="2"/>
  <c r="BL106" i="2"/>
  <c r="BD106" i="2"/>
  <c r="BB106" i="2"/>
  <c r="AY106" i="2"/>
  <c r="AW106" i="2"/>
  <c r="AT106" i="2"/>
  <c r="AR106" i="2"/>
  <c r="AJ106" i="2"/>
  <c r="AH106" i="2"/>
  <c r="AE106" i="2"/>
  <c r="AC106" i="2"/>
  <c r="Z106" i="2"/>
  <c r="X106" i="2"/>
  <c r="P106" i="2"/>
  <c r="N106" i="2"/>
  <c r="I106" i="2"/>
  <c r="K106" i="2"/>
  <c r="F106" i="2"/>
  <c r="D106" i="2"/>
  <c r="CD4" i="5"/>
  <c r="CE4" i="5" s="1"/>
  <c r="CD3" i="5"/>
  <c r="CE3" i="5" s="1"/>
  <c r="CD6" i="5"/>
  <c r="CE6" i="5" s="1"/>
  <c r="BP4" i="5"/>
  <c r="BJ4" i="5"/>
  <c r="BK4" i="5" s="1"/>
  <c r="BJ3" i="5"/>
  <c r="BK3" i="5" s="1"/>
  <c r="BJ6" i="5"/>
  <c r="BK6" i="5" s="1"/>
  <c r="AV3" i="5"/>
  <c r="AV4" i="5"/>
  <c r="AV6" i="5"/>
  <c r="AP3" i="5"/>
  <c r="AQ3" i="5" s="1"/>
  <c r="AB6" i="5"/>
  <c r="AE6" i="5" s="1"/>
  <c r="AG6" i="5" s="1"/>
  <c r="AB4" i="5"/>
  <c r="AE4" i="5" s="1"/>
  <c r="AG4" i="5" s="1"/>
  <c r="V6" i="5"/>
  <c r="W6" i="5" s="1"/>
  <c r="V3" i="5"/>
  <c r="W3" i="5" s="1"/>
  <c r="V4" i="5"/>
  <c r="H4" i="5"/>
  <c r="H3" i="5"/>
  <c r="H6" i="5"/>
  <c r="G15" i="5"/>
  <c r="AS8" i="6"/>
  <c r="AV8" i="6" s="1"/>
  <c r="AD11" i="5"/>
  <c r="AE11" i="5" s="1"/>
  <c r="AX11" i="6"/>
  <c r="BA11" i="6" s="1"/>
  <c r="L15" i="5"/>
  <c r="BR12" i="5"/>
  <c r="BS12" i="5" s="1"/>
  <c r="AI10" i="6"/>
  <c r="AS9" i="6"/>
  <c r="AV9" i="6" s="1"/>
  <c r="AP31" i="6"/>
  <c r="Y9" i="6"/>
  <c r="Z9" i="6" s="1"/>
  <c r="AD8" i="6"/>
  <c r="AG8" i="6" s="1"/>
  <c r="BR8" i="6"/>
  <c r="O10" i="6"/>
  <c r="R10" i="6" s="1"/>
  <c r="V50" i="6"/>
  <c r="AX30" i="7"/>
  <c r="Z51" i="7"/>
  <c r="AX51" i="7"/>
  <c r="BG10" i="6"/>
  <c r="BB15" i="5"/>
  <c r="BA104" i="2" s="1"/>
  <c r="AK15" i="5"/>
  <c r="M12" i="6"/>
  <c r="BC10" i="6"/>
  <c r="BF10" i="6" s="1"/>
  <c r="O11" i="6"/>
  <c r="P11" i="6" s="1"/>
  <c r="CG27" i="6"/>
  <c r="CE45" i="6"/>
  <c r="CI18" i="6"/>
  <c r="AV31" i="6"/>
  <c r="AL22" i="6"/>
  <c r="H51" i="5"/>
  <c r="BR9" i="6"/>
  <c r="BS9" i="6" s="1"/>
  <c r="AS10" i="6"/>
  <c r="AV10" i="6" s="1"/>
  <c r="CE19" i="6"/>
  <c r="W25" i="6"/>
  <c r="BK27" i="6"/>
  <c r="R8" i="7"/>
  <c r="S8" i="7" s="1"/>
  <c r="W27" i="6"/>
  <c r="AO27" i="6"/>
  <c r="CE27" i="6"/>
  <c r="Y14" i="5"/>
  <c r="AB14" i="5" s="1"/>
  <c r="W19" i="5"/>
  <c r="J8" i="6"/>
  <c r="M8" i="6" s="1"/>
  <c r="BC9" i="6"/>
  <c r="BW9" i="6"/>
  <c r="CB9" i="6" s="1"/>
  <c r="CE9" i="6" s="1"/>
  <c r="Y10" i="6"/>
  <c r="Z10" i="6" s="1"/>
  <c r="AE50" i="6"/>
  <c r="BB9" i="7"/>
  <c r="BC9" i="7" s="1"/>
  <c r="AI9" i="6"/>
  <c r="AL9" i="6" s="1"/>
  <c r="AD10" i="6"/>
  <c r="AG10" i="6" s="1"/>
  <c r="BS22" i="6"/>
  <c r="CG30" i="6"/>
  <c r="BH40" i="6"/>
  <c r="AS11" i="6"/>
  <c r="AV11" i="6" s="1"/>
  <c r="BR11" i="6"/>
  <c r="BU11" i="6" s="1"/>
  <c r="R22" i="6"/>
  <c r="AE22" i="6"/>
  <c r="AV22" i="6"/>
  <c r="CG37" i="6"/>
  <c r="CH37" i="6" s="1"/>
  <c r="AE40" i="6"/>
  <c r="AB50" i="6"/>
  <c r="CL10" i="7"/>
  <c r="CM10" i="7" s="1"/>
  <c r="O12" i="5"/>
  <c r="BC12" i="5"/>
  <c r="BD12" i="5" s="1"/>
  <c r="O13" i="5"/>
  <c r="P13" i="5" s="1"/>
  <c r="AI13" i="5"/>
  <c r="AL13" i="5" s="1"/>
  <c r="AX8" i="6"/>
  <c r="BA8" i="6" s="1"/>
  <c r="CG20" i="6"/>
  <c r="K22" i="6"/>
  <c r="BR11" i="5"/>
  <c r="BS11" i="5" s="1"/>
  <c r="BW14" i="5"/>
  <c r="BZ14" i="5" s="1"/>
  <c r="BP34" i="5"/>
  <c r="M42" i="5"/>
  <c r="CE20" i="6"/>
  <c r="AB40" i="6"/>
  <c r="AA5" i="7"/>
  <c r="L9" i="7"/>
  <c r="M9" i="7" s="1"/>
  <c r="BB10" i="7"/>
  <c r="BC10" i="7" s="1"/>
  <c r="AM11" i="6"/>
  <c r="AT13" i="5"/>
  <c r="AA17" i="7"/>
  <c r="BC14" i="5"/>
  <c r="BD14" i="5" s="1"/>
  <c r="AB34" i="5"/>
  <c r="AJ34" i="5"/>
  <c r="BK37" i="5"/>
  <c r="O8" i="6"/>
  <c r="R8" i="6" s="1"/>
  <c r="BD10" i="6"/>
  <c r="BR10" i="6"/>
  <c r="CG38" i="6"/>
  <c r="L8" i="7"/>
  <c r="M8" i="7" s="1"/>
  <c r="BC11" i="5"/>
  <c r="BM12" i="5"/>
  <c r="BP12" i="5" s="1"/>
  <c r="W30" i="5"/>
  <c r="CE5" i="6"/>
  <c r="J9" i="6"/>
  <c r="M9" i="6" s="1"/>
  <c r="BW10" i="6"/>
  <c r="BZ10" i="6" s="1"/>
  <c r="AN11" i="6"/>
  <c r="AY31" i="6"/>
  <c r="BK29" i="6"/>
  <c r="W30" i="6"/>
  <c r="CI30" i="6"/>
  <c r="CJ30" i="6" s="1"/>
  <c r="W35" i="6"/>
  <c r="BK37" i="6"/>
  <c r="CE37" i="6"/>
  <c r="CI38" i="6"/>
  <c r="AG50" i="6"/>
  <c r="AD9" i="7"/>
  <c r="AE9" i="7" s="1"/>
  <c r="BZ9" i="7"/>
  <c r="CA9" i="7" s="1"/>
  <c r="BW19" i="7"/>
  <c r="CU19" i="7"/>
  <c r="AA21" i="7"/>
  <c r="AJ12" i="5"/>
  <c r="W33" i="5"/>
  <c r="CE37" i="5"/>
  <c r="BK17" i="6"/>
  <c r="W26" i="6"/>
  <c r="CI26" i="6"/>
  <c r="W39" i="6"/>
  <c r="E11" i="5"/>
  <c r="H11" i="5" s="1"/>
  <c r="Y12" i="5"/>
  <c r="AN12" i="5" s="1"/>
  <c r="O14" i="5"/>
  <c r="R14" i="5" s="1"/>
  <c r="AL11" i="5"/>
  <c r="BK39" i="5"/>
  <c r="AX9" i="6"/>
  <c r="BA9" i="6" s="1"/>
  <c r="AX10" i="6"/>
  <c r="BA10" i="6" s="1"/>
  <c r="BC11" i="6"/>
  <c r="BF11" i="6" s="1"/>
  <c r="BW11" i="6"/>
  <c r="BZ11" i="6" s="1"/>
  <c r="V8" i="6"/>
  <c r="P22" i="6"/>
  <c r="CG28" i="6"/>
  <c r="CE39" i="6"/>
  <c r="CB50" i="6"/>
  <c r="CC50" i="6" s="1"/>
  <c r="CG43" i="6"/>
  <c r="CH43" i="6" s="1"/>
  <c r="BN14" i="5"/>
  <c r="AY14" i="5"/>
  <c r="AT12" i="5"/>
  <c r="AE12" i="5"/>
  <c r="AV13" i="5"/>
  <c r="BK19" i="5"/>
  <c r="W20" i="5"/>
  <c r="W29" i="5"/>
  <c r="BK31" i="5"/>
  <c r="BC13" i="5"/>
  <c r="BD13" i="5" s="1"/>
  <c r="BK21" i="5"/>
  <c r="BF34" i="5"/>
  <c r="BU34" i="5"/>
  <c r="R42" i="5"/>
  <c r="AP51" i="5"/>
  <c r="AQ29" i="5"/>
  <c r="BF42" i="5"/>
  <c r="BN34" i="5"/>
  <c r="H12" i="5"/>
  <c r="AA12" i="5"/>
  <c r="AP12" i="5" s="1"/>
  <c r="Q13" i="5"/>
  <c r="CE23" i="5"/>
  <c r="AQ24" i="5"/>
  <c r="AL25" i="5"/>
  <c r="BP25" i="5"/>
  <c r="AQ28" i="5"/>
  <c r="CG40" i="5"/>
  <c r="BK40" i="5"/>
  <c r="BA13" i="5"/>
  <c r="BP42" i="5"/>
  <c r="BZ42" i="5"/>
  <c r="V51" i="5"/>
  <c r="AL51" i="5"/>
  <c r="BW8" i="6"/>
  <c r="CB8" i="6" s="1"/>
  <c r="CE8" i="6" s="1"/>
  <c r="E9" i="6"/>
  <c r="F9" i="6" s="1"/>
  <c r="AQ20" i="6"/>
  <c r="Z22" i="6"/>
  <c r="BF22" i="6"/>
  <c r="BZ22" i="6"/>
  <c r="CI27" i="6"/>
  <c r="Q12" i="6"/>
  <c r="W45" i="6"/>
  <c r="CO51" i="7"/>
  <c r="AT9" i="6"/>
  <c r="BM11" i="5"/>
  <c r="BN11" i="5" s="1"/>
  <c r="J14" i="5"/>
  <c r="K14" i="5" s="1"/>
  <c r="AI14" i="5"/>
  <c r="AJ14" i="5" s="1"/>
  <c r="BA14" i="5"/>
  <c r="AY25" i="5"/>
  <c r="H34" i="5"/>
  <c r="W46" i="5"/>
  <c r="BZ51" i="5"/>
  <c r="AQ3" i="6"/>
  <c r="AI8" i="6"/>
  <c r="AL8" i="6" s="1"/>
  <c r="BC8" i="6"/>
  <c r="AD9" i="6"/>
  <c r="AG9" i="6" s="1"/>
  <c r="AE11" i="6"/>
  <c r="W17" i="6"/>
  <c r="BK21" i="6"/>
  <c r="CI25" i="6"/>
  <c r="CE25" i="6"/>
  <c r="CE26" i="6"/>
  <c r="W29" i="6"/>
  <c r="BU31" i="6"/>
  <c r="BK35" i="6"/>
  <c r="CE35" i="6"/>
  <c r="BK36" i="6"/>
  <c r="CE36" i="6"/>
  <c r="W37" i="6"/>
  <c r="AO38" i="6"/>
  <c r="CC39" i="6"/>
  <c r="AL40" i="6"/>
  <c r="BD40" i="6"/>
  <c r="BS40" i="6"/>
  <c r="BJ50" i="6"/>
  <c r="W43" i="6"/>
  <c r="AL50" i="6"/>
  <c r="BD50" i="6"/>
  <c r="BS50" i="6"/>
  <c r="F9" i="7"/>
  <c r="I9" i="7" s="1"/>
  <c r="U22" i="7"/>
  <c r="BW26" i="7"/>
  <c r="BE30" i="7"/>
  <c r="CO39" i="7"/>
  <c r="S11" i="5"/>
  <c r="BW13" i="5"/>
  <c r="BX13" i="5" s="1"/>
  <c r="AN11" i="5"/>
  <c r="CE45" i="5"/>
  <c r="CI5" i="6"/>
  <c r="CE6" i="6"/>
  <c r="Y8" i="6"/>
  <c r="AB8" i="6" s="1"/>
  <c r="O9" i="6"/>
  <c r="R9" i="6" s="1"/>
  <c r="E10" i="6"/>
  <c r="F10" i="6" s="1"/>
  <c r="CE18" i="6"/>
  <c r="AE31" i="6"/>
  <c r="AP40" i="6"/>
  <c r="CL11" i="7"/>
  <c r="CM11" i="7" s="1"/>
  <c r="R40" i="6"/>
  <c r="CI24" i="5"/>
  <c r="BE12" i="5"/>
  <c r="BJ12" i="5" s="1"/>
  <c r="BK23" i="5"/>
  <c r="Z25" i="5"/>
  <c r="AG25" i="5"/>
  <c r="AV34" i="5"/>
  <c r="AQ37" i="5"/>
  <c r="CI40" i="5"/>
  <c r="CC45" i="5"/>
  <c r="M51" i="5"/>
  <c r="BU51" i="5"/>
  <c r="AX12" i="5"/>
  <c r="AY12" i="5" s="1"/>
  <c r="J13" i="5"/>
  <c r="M13" i="5" s="1"/>
  <c r="BY13" i="5"/>
  <c r="CD13" i="5" s="1"/>
  <c r="V14" i="5"/>
  <c r="CG4" i="5"/>
  <c r="CH4" i="5" s="1"/>
  <c r="AS11" i="5"/>
  <c r="AT11" i="5" s="1"/>
  <c r="BR13" i="5"/>
  <c r="BS13" i="5" s="1"/>
  <c r="V25" i="5"/>
  <c r="CG20" i="5"/>
  <c r="CH20" i="5" s="1"/>
  <c r="BK20" i="5"/>
  <c r="CE20" i="5"/>
  <c r="AQ21" i="5"/>
  <c r="W22" i="5"/>
  <c r="CI22" i="5"/>
  <c r="W23" i="5"/>
  <c r="BZ25" i="5"/>
  <c r="AN34" i="5"/>
  <c r="BK29" i="5"/>
  <c r="CE29" i="5"/>
  <c r="AT34" i="5"/>
  <c r="CD42" i="5"/>
  <c r="BW12" i="5"/>
  <c r="BX12" i="5" s="1"/>
  <c r="AD13" i="5"/>
  <c r="AE13" i="5" s="1"/>
  <c r="BR14" i="5"/>
  <c r="BU14" i="5" s="1"/>
  <c r="CG23" i="5"/>
  <c r="CH23" i="5" s="1"/>
  <c r="AO40" i="5"/>
  <c r="CG41" i="5"/>
  <c r="AB42" i="5"/>
  <c r="AL42" i="5"/>
  <c r="BJ51" i="5"/>
  <c r="CD51" i="5"/>
  <c r="Z51" i="5"/>
  <c r="CE50" i="5"/>
  <c r="BQ15" i="5"/>
  <c r="BS15" i="5" s="1"/>
  <c r="BK12" i="6"/>
  <c r="CI45" i="6"/>
  <c r="CE44" i="6"/>
  <c r="CI44" i="6"/>
  <c r="BK43" i="6"/>
  <c r="AK11" i="6"/>
  <c r="AK12" i="6" s="1"/>
  <c r="CI3" i="6"/>
  <c r="CD14" i="5"/>
  <c r="BT15" i="5"/>
  <c r="AZ15" i="5"/>
  <c r="CA11" i="6"/>
  <c r="BN11" i="6"/>
  <c r="BL12" i="6"/>
  <c r="F11" i="6"/>
  <c r="AE14" i="5"/>
  <c r="D15" i="5"/>
  <c r="F15" i="5" s="1"/>
  <c r="AA18" i="7"/>
  <c r="X22" i="7"/>
  <c r="U30" i="7"/>
  <c r="AG30" i="7"/>
  <c r="AY34" i="7"/>
  <c r="I22" i="7"/>
  <c r="AA26" i="7"/>
  <c r="CV11" i="7"/>
  <c r="CV10" i="7"/>
  <c r="CV9" i="7"/>
  <c r="AY11" i="6"/>
  <c r="AJ11" i="6"/>
  <c r="AY13" i="5"/>
  <c r="BG13" i="5"/>
  <c r="AM14" i="5"/>
  <c r="W28" i="6"/>
  <c r="U28" i="6"/>
  <c r="AG14" i="5"/>
  <c r="W24" i="5"/>
  <c r="CG24" i="5"/>
  <c r="CH24" i="5" s="1"/>
  <c r="CG29" i="5"/>
  <c r="W39" i="5"/>
  <c r="CG39" i="5"/>
  <c r="AQ39" i="5"/>
  <c r="AP9" i="6"/>
  <c r="BU9" i="6"/>
  <c r="CG6" i="6"/>
  <c r="CH6" i="6" s="1"/>
  <c r="U6" i="6"/>
  <c r="CI19" i="5"/>
  <c r="AO20" i="5"/>
  <c r="W21" i="5"/>
  <c r="BI21" i="5"/>
  <c r="CE24" i="5"/>
  <c r="BF25" i="5"/>
  <c r="CE28" i="5"/>
  <c r="BK30" i="5"/>
  <c r="AQ30" i="6"/>
  <c r="AO30" i="6"/>
  <c r="U6" i="5"/>
  <c r="AG51" i="5"/>
  <c r="AE51" i="5"/>
  <c r="CF11" i="7"/>
  <c r="CG11" i="7" s="1"/>
  <c r="CG51" i="7"/>
  <c r="BJ13" i="5"/>
  <c r="BN13" i="5"/>
  <c r="CG15" i="5"/>
  <c r="CI20" i="5"/>
  <c r="W31" i="5"/>
  <c r="U31" i="5"/>
  <c r="CG31" i="5"/>
  <c r="CE31" i="5"/>
  <c r="M34" i="5"/>
  <c r="CG45" i="5"/>
  <c r="AO45" i="5"/>
  <c r="BS8" i="6"/>
  <c r="W21" i="6"/>
  <c r="U21" i="6"/>
  <c r="U51" i="7"/>
  <c r="R11" i="7"/>
  <c r="U11" i="7" s="1"/>
  <c r="AK30" i="7"/>
  <c r="AJ9" i="7"/>
  <c r="AK9" i="7" s="1"/>
  <c r="BE39" i="7"/>
  <c r="BD10" i="7"/>
  <c r="BV10" i="7" s="1"/>
  <c r="CB34" i="5"/>
  <c r="CC34" i="5" s="1"/>
  <c r="BO15" i="5"/>
  <c r="AP13" i="5"/>
  <c r="BP13" i="5"/>
  <c r="AQ22" i="5"/>
  <c r="CG22" i="5"/>
  <c r="CH22" i="5" s="1"/>
  <c r="W38" i="5"/>
  <c r="U38" i="5"/>
  <c r="CG5" i="6"/>
  <c r="CH5" i="6" s="1"/>
  <c r="AQ5" i="6"/>
  <c r="AO5" i="6"/>
  <c r="BH31" i="6"/>
  <c r="BK25" i="6"/>
  <c r="AN40" i="6"/>
  <c r="AO40" i="6" s="1"/>
  <c r="AQ34" i="6"/>
  <c r="BH25" i="5"/>
  <c r="BK22" i="5"/>
  <c r="BK33" i="5"/>
  <c r="CE33" i="5"/>
  <c r="W37" i="5"/>
  <c r="V42" i="5"/>
  <c r="BK46" i="5"/>
  <c r="BI46" i="5"/>
  <c r="BK4" i="6"/>
  <c r="H22" i="6"/>
  <c r="E8" i="6"/>
  <c r="F22" i="6"/>
  <c r="AF10" i="7"/>
  <c r="AF12" i="7" s="1"/>
  <c r="AG39" i="7"/>
  <c r="CI39" i="5"/>
  <c r="BU42" i="5"/>
  <c r="AT51" i="5"/>
  <c r="AQ6" i="6"/>
  <c r="K10" i="6"/>
  <c r="CG17" i="6"/>
  <c r="W19" i="6"/>
  <c r="CI19" i="6"/>
  <c r="W20" i="6"/>
  <c r="AO20" i="6"/>
  <c r="BK20" i="6"/>
  <c r="CE21" i="6"/>
  <c r="AJ22" i="6"/>
  <c r="T31" i="6"/>
  <c r="U31" i="6" s="1"/>
  <c r="AQ26" i="6"/>
  <c r="BK26" i="6"/>
  <c r="CG36" i="6"/>
  <c r="CH36" i="6" s="1"/>
  <c r="BK38" i="6"/>
  <c r="CE38" i="6"/>
  <c r="K40" i="6"/>
  <c r="BX40" i="6"/>
  <c r="CE43" i="6"/>
  <c r="BX50" i="6"/>
  <c r="T9" i="7"/>
  <c r="U9" i="7" s="1"/>
  <c r="BE22" i="7"/>
  <c r="BW33" i="7"/>
  <c r="BG12" i="5"/>
  <c r="BG11" i="6"/>
  <c r="H50" i="6"/>
  <c r="G11" i="6"/>
  <c r="CE30" i="5"/>
  <c r="AN42" i="5"/>
  <c r="AO42" i="5" s="1"/>
  <c r="T51" i="5"/>
  <c r="U51" i="5" s="1"/>
  <c r="BK45" i="5"/>
  <c r="CE4" i="6"/>
  <c r="BK6" i="6"/>
  <c r="CI17" i="6"/>
  <c r="V31" i="6"/>
  <c r="AN31" i="6"/>
  <c r="AO31" i="6" s="1"/>
  <c r="BK28" i="6"/>
  <c r="CE29" i="6"/>
  <c r="AQ36" i="6"/>
  <c r="AQ38" i="6"/>
  <c r="BK39" i="6"/>
  <c r="CZ37" i="7"/>
  <c r="CA8" i="6"/>
  <c r="CA9" i="6"/>
  <c r="BA34" i="5"/>
  <c r="BK38" i="5"/>
  <c r="W40" i="5"/>
  <c r="AE42" i="5"/>
  <c r="BJ42" i="5"/>
  <c r="T22" i="6"/>
  <c r="U22" i="6" s="1"/>
  <c r="CB22" i="6"/>
  <c r="CC22" i="6" s="1"/>
  <c r="BJ31" i="6"/>
  <c r="BK31" i="6" s="1"/>
  <c r="AQ28" i="6"/>
  <c r="CE28" i="6"/>
  <c r="CE30" i="6"/>
  <c r="Z31" i="6"/>
  <c r="AQ37" i="6"/>
  <c r="CI39" i="6"/>
  <c r="W44" i="6"/>
  <c r="R50" i="6"/>
  <c r="AM22" i="7"/>
  <c r="CI51" i="7"/>
  <c r="AJ10" i="6"/>
  <c r="CA10" i="6"/>
  <c r="AV42" i="5"/>
  <c r="BK3" i="6"/>
  <c r="CD12" i="6"/>
  <c r="CE12" i="6" s="1"/>
  <c r="V22" i="6"/>
  <c r="BJ22" i="6"/>
  <c r="CE17" i="6"/>
  <c r="CG21" i="6"/>
  <c r="CH21" i="6" s="1"/>
  <c r="R10" i="7"/>
  <c r="S10" i="7" s="1"/>
  <c r="CG6" i="5"/>
  <c r="CH6" i="5" s="1"/>
  <c r="H25" i="5"/>
  <c r="AB25" i="5"/>
  <c r="W28" i="5"/>
  <c r="BK28" i="5"/>
  <c r="AL34" i="5"/>
  <c r="CE38" i="5"/>
  <c r="AQ40" i="5"/>
  <c r="CE41" i="5"/>
  <c r="BA42" i="5"/>
  <c r="BH51" i="5"/>
  <c r="CE46" i="5"/>
  <c r="R51" i="5"/>
  <c r="CE3" i="6"/>
  <c r="CG4" i="6"/>
  <c r="CH4" i="6" s="1"/>
  <c r="BK5" i="6"/>
  <c r="AP22" i="6"/>
  <c r="W18" i="6"/>
  <c r="CI21" i="6"/>
  <c r="CD31" i="6"/>
  <c r="CG29" i="6"/>
  <c r="CJ29" i="6" s="1"/>
  <c r="AO43" i="6"/>
  <c r="AQ44" i="6"/>
  <c r="BK44" i="6"/>
  <c r="CG45" i="6"/>
  <c r="BK45" i="6"/>
  <c r="O22" i="7"/>
  <c r="AQ22" i="7"/>
  <c r="CZ26" i="7"/>
  <c r="AS9" i="7"/>
  <c r="W50" i="5"/>
  <c r="AQ50" i="5"/>
  <c r="BK50" i="5"/>
  <c r="AM13" i="5"/>
  <c r="CA13" i="5"/>
  <c r="H40" i="6"/>
  <c r="G10" i="6"/>
  <c r="V10" i="6" s="1"/>
  <c r="BH50" i="6"/>
  <c r="CA14" i="5"/>
  <c r="BG9" i="6"/>
  <c r="CD50" i="6"/>
  <c r="AQ4" i="6"/>
  <c r="Z11" i="6"/>
  <c r="AQ18" i="6"/>
  <c r="BK18" i="6"/>
  <c r="CG19" i="6"/>
  <c r="BK19" i="6"/>
  <c r="H31" i="6"/>
  <c r="G9" i="6"/>
  <c r="W36" i="6"/>
  <c r="W38" i="6"/>
  <c r="AT40" i="6"/>
  <c r="AN50" i="6"/>
  <c r="CI43" i="6"/>
  <c r="AT50" i="6"/>
  <c r="CI50" i="5"/>
  <c r="CJ50" i="5" s="1"/>
  <c r="Z11" i="7"/>
  <c r="I11" i="7"/>
  <c r="AY50" i="7"/>
  <c r="AY4" i="7"/>
  <c r="BB8" i="7"/>
  <c r="BC8" i="7" s="1"/>
  <c r="BN8" i="7"/>
  <c r="BO8" i="7" s="1"/>
  <c r="BK9" i="7"/>
  <c r="CO9" i="7"/>
  <c r="CH11" i="7"/>
  <c r="CT11" i="7" s="1"/>
  <c r="CX21" i="7"/>
  <c r="CY21" i="7" s="1"/>
  <c r="BW21" i="7"/>
  <c r="CI22" i="7"/>
  <c r="AA27" i="7"/>
  <c r="AA28" i="7"/>
  <c r="CO30" i="7"/>
  <c r="AY33" i="7"/>
  <c r="CU37" i="7"/>
  <c r="CX38" i="7"/>
  <c r="CY38" i="7" s="1"/>
  <c r="BW42" i="7"/>
  <c r="AA44" i="7"/>
  <c r="CN10" i="7"/>
  <c r="AY19" i="7"/>
  <c r="CX28" i="7"/>
  <c r="CY28" i="7" s="1"/>
  <c r="AS39" i="7"/>
  <c r="AA50" i="7"/>
  <c r="BW50" i="7"/>
  <c r="CU50" i="7"/>
  <c r="CU6" i="7"/>
  <c r="T8" i="7"/>
  <c r="CL8" i="7"/>
  <c r="CR8" i="7" s="1"/>
  <c r="CS8" i="7" s="1"/>
  <c r="AP10" i="7"/>
  <c r="AQ10" i="7" s="1"/>
  <c r="BN10" i="7"/>
  <c r="BQ10" i="7" s="1"/>
  <c r="BZ11" i="7"/>
  <c r="CA11" i="7" s="1"/>
  <c r="CX17" i="7"/>
  <c r="CY17" i="7" s="1"/>
  <c r="AY18" i="7"/>
  <c r="BW18" i="7"/>
  <c r="AA20" i="7"/>
  <c r="CZ21" i="7"/>
  <c r="AK22" i="7"/>
  <c r="CC22" i="7"/>
  <c r="CU35" i="7"/>
  <c r="AA37" i="7"/>
  <c r="AA38" i="7"/>
  <c r="CR51" i="7"/>
  <c r="CS51" i="7" s="1"/>
  <c r="AY42" i="7"/>
  <c r="AA42" i="7"/>
  <c r="AA43" i="7"/>
  <c r="CG12" i="7"/>
  <c r="CA12" i="7"/>
  <c r="BO12" i="7"/>
  <c r="BI12" i="7"/>
  <c r="BC12" i="7"/>
  <c r="AQ12" i="7"/>
  <c r="AK12" i="7"/>
  <c r="AE12" i="7"/>
  <c r="S12" i="7"/>
  <c r="M12" i="7"/>
  <c r="G12" i="7"/>
  <c r="AC12" i="6"/>
  <c r="AM10" i="6"/>
  <c r="AM12" i="5"/>
  <c r="N12" i="6"/>
  <c r="M105" i="2" s="1"/>
  <c r="BV15" i="5"/>
  <c r="BU104" i="2" s="1"/>
  <c r="BL15" i="5"/>
  <c r="AW15" i="5"/>
  <c r="BG14" i="5"/>
  <c r="AH15" i="5"/>
  <c r="AC15" i="5"/>
  <c r="K34" i="5"/>
  <c r="K12" i="5"/>
  <c r="Y44" i="7"/>
  <c r="Y34" i="7"/>
  <c r="CX50" i="7"/>
  <c r="CY50" i="7" s="1"/>
  <c r="CZ50" i="7"/>
  <c r="V12" i="7"/>
  <c r="Y3" i="7"/>
  <c r="CX5" i="7"/>
  <c r="CY5" i="7" s="1"/>
  <c r="G8" i="7"/>
  <c r="BU26" i="7"/>
  <c r="BI26" i="7"/>
  <c r="AK10" i="7"/>
  <c r="AK11" i="7"/>
  <c r="AM11" i="7"/>
  <c r="CO22" i="7"/>
  <c r="CN8" i="7"/>
  <c r="CX44" i="7"/>
  <c r="CY44" i="7" s="1"/>
  <c r="AW44" i="7"/>
  <c r="AW6" i="7"/>
  <c r="BU21" i="7"/>
  <c r="BI21" i="7"/>
  <c r="AS8" i="7"/>
  <c r="AQ8" i="7"/>
  <c r="O30" i="7"/>
  <c r="N9" i="7"/>
  <c r="AY5" i="7"/>
  <c r="AX9" i="7"/>
  <c r="BQ11" i="7"/>
  <c r="AW18" i="7"/>
  <c r="BW20" i="7"/>
  <c r="O39" i="7"/>
  <c r="O10" i="7"/>
  <c r="U39" i="7"/>
  <c r="T10" i="7"/>
  <c r="I51" i="7"/>
  <c r="G51" i="7"/>
  <c r="I39" i="7"/>
  <c r="AS51" i="7"/>
  <c r="AR11" i="7"/>
  <c r="BQ51" i="7"/>
  <c r="CI30" i="7"/>
  <c r="BW38" i="7"/>
  <c r="CI39" i="7"/>
  <c r="CH10" i="7"/>
  <c r="CS43" i="7"/>
  <c r="CU43" i="7"/>
  <c r="AM51" i="7"/>
  <c r="BK51" i="7"/>
  <c r="BJ11" i="7"/>
  <c r="BK11" i="7" s="1"/>
  <c r="BW34" i="7"/>
  <c r="Y35" i="7"/>
  <c r="BW36" i="7"/>
  <c r="AY3" i="7"/>
  <c r="CU4" i="7"/>
  <c r="BW5" i="7"/>
  <c r="H10" i="7"/>
  <c r="BU17" i="7"/>
  <c r="BI17" i="7"/>
  <c r="CR22" i="7"/>
  <c r="CS22" i="7" s="1"/>
  <c r="CS17" i="7"/>
  <c r="AY25" i="7"/>
  <c r="CZ25" i="7"/>
  <c r="AW12" i="7"/>
  <c r="CZ5" i="7"/>
  <c r="AW5" i="7"/>
  <c r="CX6" i="7"/>
  <c r="CY6" i="7" s="1"/>
  <c r="AY6" i="7"/>
  <c r="AJ8" i="7"/>
  <c r="AX8" i="7"/>
  <c r="BQ9" i="7"/>
  <c r="CF9" i="7"/>
  <c r="CG9" i="7" s="1"/>
  <c r="AE10" i="7"/>
  <c r="BK10" i="7"/>
  <c r="CC10" i="7"/>
  <c r="AD11" i="7"/>
  <c r="BT11" i="7"/>
  <c r="BU11" i="7" s="1"/>
  <c r="BC11" i="7"/>
  <c r="CZ17" i="7"/>
  <c r="AY17" i="7"/>
  <c r="BW17" i="7"/>
  <c r="BK22" i="7"/>
  <c r="BV30" i="7"/>
  <c r="CZ27" i="7"/>
  <c r="AY27" i="7"/>
  <c r="CX29" i="7"/>
  <c r="CY29" i="7" s="1"/>
  <c r="BQ30" i="7"/>
  <c r="AA36" i="7"/>
  <c r="AW36" i="7"/>
  <c r="AY37" i="7"/>
  <c r="CX37" i="7"/>
  <c r="CY37" i="7" s="1"/>
  <c r="BU37" i="7"/>
  <c r="BI37" i="7"/>
  <c r="AM39" i="7"/>
  <c r="AL10" i="7"/>
  <c r="CC39" i="7"/>
  <c r="L11" i="7"/>
  <c r="O11" i="7" s="1"/>
  <c r="O51" i="7"/>
  <c r="S51" i="7"/>
  <c r="BU12" i="7"/>
  <c r="Y17" i="7"/>
  <c r="CU20" i="7"/>
  <c r="AG8" i="7"/>
  <c r="BQ22" i="7"/>
  <c r="CG22" i="7"/>
  <c r="Z30" i="7"/>
  <c r="CU26" i="7"/>
  <c r="BW28" i="7"/>
  <c r="AY29" i="7"/>
  <c r="BW29" i="7"/>
  <c r="CU29" i="7"/>
  <c r="I30" i="7"/>
  <c r="S30" i="7"/>
  <c r="AS30" i="7"/>
  <c r="BK30" i="7"/>
  <c r="CC30" i="7"/>
  <c r="CM30" i="7"/>
  <c r="AA34" i="7"/>
  <c r="Y37" i="7"/>
  <c r="AE39" i="7"/>
  <c r="AK39" i="7"/>
  <c r="BK39" i="7"/>
  <c r="BQ39" i="7"/>
  <c r="Y42" i="7"/>
  <c r="CX42" i="7"/>
  <c r="CY42" i="7" s="1"/>
  <c r="BW43" i="7"/>
  <c r="AY44" i="7"/>
  <c r="BW44" i="7"/>
  <c r="CU44" i="7"/>
  <c r="AK51" i="7"/>
  <c r="AQ51" i="7"/>
  <c r="BE11" i="7"/>
  <c r="CS12" i="7"/>
  <c r="BI22" i="7"/>
  <c r="BT22" i="7"/>
  <c r="AW17" i="7"/>
  <c r="CU17" i="7"/>
  <c r="AY20" i="7"/>
  <c r="AS22" i="7"/>
  <c r="BW25" i="7"/>
  <c r="AW26" i="7"/>
  <c r="AW27" i="7"/>
  <c r="BW27" i="7"/>
  <c r="BO30" i="7"/>
  <c r="Z39" i="7"/>
  <c r="CX33" i="7"/>
  <c r="CY33" i="7" s="1"/>
  <c r="CZ34" i="7"/>
  <c r="CX35" i="7"/>
  <c r="CY35" i="7" s="1"/>
  <c r="AY36" i="7"/>
  <c r="BI36" i="7"/>
  <c r="AW38" i="7"/>
  <c r="G39" i="7"/>
  <c r="M39" i="7"/>
  <c r="CA39" i="7"/>
  <c r="CG39" i="7"/>
  <c r="AV51" i="7"/>
  <c r="AW42" i="7"/>
  <c r="BO51" i="7"/>
  <c r="BV12" i="6"/>
  <c r="BU105" i="2" s="1"/>
  <c r="BQ12" i="6"/>
  <c r="BP105" i="2" s="1"/>
  <c r="BB12" i="6"/>
  <c r="BA105" i="2" s="1"/>
  <c r="AW12" i="6"/>
  <c r="AV105" i="2" s="1"/>
  <c r="AR12" i="6"/>
  <c r="AQ105" i="2" s="1"/>
  <c r="BG8" i="6"/>
  <c r="AO28" i="6"/>
  <c r="X12" i="6"/>
  <c r="W105" i="2" s="1"/>
  <c r="AO35" i="6"/>
  <c r="AO45" i="6"/>
  <c r="AM9" i="6"/>
  <c r="AO39" i="6"/>
  <c r="AO19" i="6"/>
  <c r="S9" i="6"/>
  <c r="I12" i="6"/>
  <c r="S10" i="6"/>
  <c r="U38" i="6"/>
  <c r="S11" i="6"/>
  <c r="F50" i="6"/>
  <c r="AH12" i="6"/>
  <c r="AG105" i="2" s="1"/>
  <c r="AM8" i="6"/>
  <c r="S8" i="6"/>
  <c r="D12" i="6"/>
  <c r="CA11" i="5"/>
  <c r="CA12" i="5"/>
  <c r="AR15" i="5"/>
  <c r="BG11" i="5"/>
  <c r="AO31" i="5"/>
  <c r="AO37" i="5"/>
  <c r="AO50" i="5"/>
  <c r="CH50" i="5"/>
  <c r="X15" i="5"/>
  <c r="N14" i="5"/>
  <c r="S13" i="5"/>
  <c r="I15" i="5"/>
  <c r="F51" i="5"/>
  <c r="F34" i="5"/>
  <c r="U41" i="5"/>
  <c r="S12" i="5"/>
  <c r="U24" i="5"/>
  <c r="BD11" i="5"/>
  <c r="AY11" i="5"/>
  <c r="AM11" i="5"/>
  <c r="P12" i="5"/>
  <c r="H14" i="5"/>
  <c r="BW4" i="7"/>
  <c r="BU4" i="7"/>
  <c r="BK8" i="7"/>
  <c r="BI8" i="7"/>
  <c r="CC8" i="7"/>
  <c r="CA8" i="7"/>
  <c r="BW3" i="7"/>
  <c r="BU3" i="7"/>
  <c r="CX4" i="7"/>
  <c r="CY4" i="7" s="1"/>
  <c r="CX3" i="7"/>
  <c r="CY3" i="7" s="1"/>
  <c r="CU5" i="7"/>
  <c r="CS5" i="7"/>
  <c r="CZ6" i="7"/>
  <c r="CI8" i="7"/>
  <c r="CG8" i="7"/>
  <c r="CU3" i="7"/>
  <c r="CZ4" i="7"/>
  <c r="BW6" i="7"/>
  <c r="BU6" i="7"/>
  <c r="BV9" i="7"/>
  <c r="CT9" i="7"/>
  <c r="Y22" i="7"/>
  <c r="BU25" i="7"/>
  <c r="BI25" i="7"/>
  <c r="BU27" i="7"/>
  <c r="BI27" i="7"/>
  <c r="CU36" i="7"/>
  <c r="CZ36" i="7"/>
  <c r="BI51" i="7"/>
  <c r="BT51" i="7"/>
  <c r="S9" i="7"/>
  <c r="BI10" i="7"/>
  <c r="CA10" i="7"/>
  <c r="CG10" i="7"/>
  <c r="G11" i="7"/>
  <c r="CT22" i="7"/>
  <c r="CZ18" i="7"/>
  <c r="CU18" i="7"/>
  <c r="AA19" i="7"/>
  <c r="CX19" i="7"/>
  <c r="CY19" i="7" s="1"/>
  <c r="CX20" i="7"/>
  <c r="CY20" i="7" s="1"/>
  <c r="CZ20" i="7"/>
  <c r="AY21" i="7"/>
  <c r="G22" i="7"/>
  <c r="BC22" i="7"/>
  <c r="X30" i="7"/>
  <c r="CX26" i="7"/>
  <c r="CY26" i="7" s="1"/>
  <c r="AY26" i="7"/>
  <c r="BU38" i="7"/>
  <c r="BI38" i="7"/>
  <c r="BU28" i="7"/>
  <c r="BI28" i="7"/>
  <c r="AA3" i="7"/>
  <c r="AA4" i="7"/>
  <c r="AA6" i="7"/>
  <c r="BP8" i="7"/>
  <c r="BV8" i="7" s="1"/>
  <c r="CB12" i="7"/>
  <c r="Z22" i="7"/>
  <c r="AA22" i="7" s="1"/>
  <c r="BU18" i="7"/>
  <c r="BI18" i="7"/>
  <c r="CX18" i="7"/>
  <c r="CY18" i="7" s="1"/>
  <c r="BU19" i="7"/>
  <c r="BI19" i="7"/>
  <c r="CZ19" i="7"/>
  <c r="Y20" i="7"/>
  <c r="AW21" i="7"/>
  <c r="CU21" i="7"/>
  <c r="AG22" i="7"/>
  <c r="AA25" i="7"/>
  <c r="Y25" i="7"/>
  <c r="CT30" i="7"/>
  <c r="CU25" i="7"/>
  <c r="CX27" i="7"/>
  <c r="CY27" i="7" s="1"/>
  <c r="BI39" i="7"/>
  <c r="BI33" i="7"/>
  <c r="CS34" i="7"/>
  <c r="CX34" i="7"/>
  <c r="CU34" i="7"/>
  <c r="CZ38" i="7"/>
  <c r="AY38" i="7"/>
  <c r="CR39" i="7"/>
  <c r="CS39" i="7" s="1"/>
  <c r="CX12" i="7"/>
  <c r="BV22" i="7"/>
  <c r="BU20" i="7"/>
  <c r="AE22" i="7"/>
  <c r="AV22" i="7"/>
  <c r="CA22" i="7"/>
  <c r="BI30" i="7"/>
  <c r="BT30" i="7"/>
  <c r="CX25" i="7"/>
  <c r="CY25" i="7" s="1"/>
  <c r="AY35" i="7"/>
  <c r="CZ35" i="7"/>
  <c r="X39" i="7"/>
  <c r="Y39" i="7" s="1"/>
  <c r="AV39" i="7"/>
  <c r="CZ43" i="7"/>
  <c r="AY43" i="7"/>
  <c r="CZ28" i="7"/>
  <c r="CU28" i="7"/>
  <c r="AA29" i="7"/>
  <c r="AW33" i="7"/>
  <c r="CT39" i="7"/>
  <c r="BW35" i="7"/>
  <c r="BV51" i="7"/>
  <c r="BU44" i="7"/>
  <c r="BI44" i="7"/>
  <c r="BE51" i="7"/>
  <c r="BC51" i="7"/>
  <c r="CC51" i="7"/>
  <c r="AX22" i="7"/>
  <c r="CR30" i="7"/>
  <c r="CS30" i="7" s="1"/>
  <c r="CU27" i="7"/>
  <c r="AY28" i="7"/>
  <c r="BU29" i="7"/>
  <c r="BI29" i="7"/>
  <c r="CZ29" i="7"/>
  <c r="AM30" i="7"/>
  <c r="AA33" i="7"/>
  <c r="AA35" i="7"/>
  <c r="CX36" i="7"/>
  <c r="CY36" i="7" s="1"/>
  <c r="BW37" i="7"/>
  <c r="CU38" i="7"/>
  <c r="CS38" i="7"/>
  <c r="X51" i="7"/>
  <c r="Y51" i="7" s="1"/>
  <c r="CT51" i="7"/>
  <c r="CZ42" i="7"/>
  <c r="AV30" i="7"/>
  <c r="AW30" i="7" s="1"/>
  <c r="AW28" i="7"/>
  <c r="AQ30" i="7"/>
  <c r="Y33" i="7"/>
  <c r="AX39" i="7"/>
  <c r="BV39" i="7"/>
  <c r="CZ33" i="7"/>
  <c r="BU34" i="7"/>
  <c r="BI34" i="7"/>
  <c r="BU35" i="7"/>
  <c r="BI35" i="7"/>
  <c r="Y36" i="7"/>
  <c r="AW37" i="7"/>
  <c r="BT39" i="7"/>
  <c r="BU42" i="7"/>
  <c r="BI42" i="7"/>
  <c r="CU42" i="7"/>
  <c r="CS42" i="7"/>
  <c r="BU43" i="7"/>
  <c r="BI43" i="7"/>
  <c r="CZ44" i="7"/>
  <c r="AG51" i="7"/>
  <c r="CX43" i="7"/>
  <c r="CY43" i="7" s="1"/>
  <c r="CU33" i="7"/>
  <c r="AN10" i="6"/>
  <c r="AY22" i="6"/>
  <c r="BH22" i="6"/>
  <c r="W3" i="6"/>
  <c r="CG3" i="6"/>
  <c r="CH3" i="6" s="1"/>
  <c r="CI4" i="6"/>
  <c r="W5" i="6"/>
  <c r="CI6" i="6"/>
  <c r="AE8" i="6"/>
  <c r="BU8" i="6"/>
  <c r="BD9" i="6"/>
  <c r="K11" i="6"/>
  <c r="AB11" i="6"/>
  <c r="BD11" i="6"/>
  <c r="AO3" i="6"/>
  <c r="AP8" i="6"/>
  <c r="BF9" i="6"/>
  <c r="AL10" i="6"/>
  <c r="M11" i="6"/>
  <c r="CD22" i="6"/>
  <c r="W4" i="6"/>
  <c r="W6" i="6"/>
  <c r="AN22" i="6"/>
  <c r="AY19" i="6"/>
  <c r="BI20" i="6"/>
  <c r="AY20" i="6"/>
  <c r="AY27" i="6"/>
  <c r="AY28" i="6"/>
  <c r="CG18" i="6"/>
  <c r="CH18" i="6" s="1"/>
  <c r="CI20" i="6"/>
  <c r="CJ20" i="6" s="1"/>
  <c r="CG26" i="6"/>
  <c r="CH26" i="6" s="1"/>
  <c r="CI28" i="6"/>
  <c r="BF31" i="6"/>
  <c r="CB31" i="6"/>
  <c r="CC31" i="6" s="1"/>
  <c r="U34" i="6"/>
  <c r="T40" i="6"/>
  <c r="U40" i="6" s="1"/>
  <c r="AY40" i="6"/>
  <c r="AY34" i="6"/>
  <c r="CB40" i="6"/>
  <c r="CC40" i="6" s="1"/>
  <c r="CC34" i="6"/>
  <c r="AY18" i="6"/>
  <c r="CC18" i="6"/>
  <c r="AQ19" i="6"/>
  <c r="AO25" i="6"/>
  <c r="AY26" i="6"/>
  <c r="CC26" i="6"/>
  <c r="AQ27" i="6"/>
  <c r="BK30" i="6"/>
  <c r="K31" i="6"/>
  <c r="R31" i="6"/>
  <c r="AL31" i="6"/>
  <c r="V40" i="6"/>
  <c r="W34" i="6"/>
  <c r="CI34" i="6"/>
  <c r="BJ40" i="6"/>
  <c r="BK34" i="6"/>
  <c r="CE34" i="6"/>
  <c r="AY35" i="6"/>
  <c r="CI36" i="6"/>
  <c r="BI38" i="6"/>
  <c r="AY38" i="6"/>
  <c r="AY50" i="6"/>
  <c r="U25" i="6"/>
  <c r="BI25" i="6"/>
  <c r="BZ31" i="6"/>
  <c r="AO34" i="6"/>
  <c r="CG34" i="6"/>
  <c r="CI35" i="6"/>
  <c r="AQ35" i="6"/>
  <c r="U36" i="6"/>
  <c r="AO37" i="6"/>
  <c r="AY39" i="6"/>
  <c r="AQ17" i="6"/>
  <c r="AQ21" i="6"/>
  <c r="AQ25" i="6"/>
  <c r="CG25" i="6"/>
  <c r="CH25" i="6" s="1"/>
  <c r="AQ29" i="6"/>
  <c r="BI30" i="6"/>
  <c r="AY30" i="6"/>
  <c r="AY45" i="6"/>
  <c r="CG44" i="6"/>
  <c r="T50" i="6"/>
  <c r="AP50" i="6"/>
  <c r="CG35" i="6"/>
  <c r="CI37" i="6"/>
  <c r="CJ37" i="6" s="1"/>
  <c r="AQ39" i="6"/>
  <c r="CG39" i="6"/>
  <c r="CD40" i="6"/>
  <c r="AY44" i="6"/>
  <c r="CC44" i="6"/>
  <c r="AQ45" i="6"/>
  <c r="AY36" i="6"/>
  <c r="AQ43" i="6"/>
  <c r="V11" i="5"/>
  <c r="AP14" i="5"/>
  <c r="Z11" i="5"/>
  <c r="AO3" i="5"/>
  <c r="AJ11" i="5"/>
  <c r="BF11" i="5"/>
  <c r="BU11" i="5"/>
  <c r="T12" i="5"/>
  <c r="F12" i="5"/>
  <c r="AL12" i="5"/>
  <c r="V34" i="5"/>
  <c r="BI28" i="5"/>
  <c r="AY28" i="5"/>
  <c r="R34" i="5"/>
  <c r="Q12" i="5"/>
  <c r="Q15" i="5" s="1"/>
  <c r="BZ34" i="5"/>
  <c r="BY12" i="5"/>
  <c r="BZ12" i="5" s="1"/>
  <c r="U3" i="5"/>
  <c r="AN25" i="5"/>
  <c r="AO25" i="5" s="1"/>
  <c r="CG19" i="5"/>
  <c r="CH19" i="5" s="1"/>
  <c r="AO19" i="5"/>
  <c r="BI20" i="5"/>
  <c r="AY20" i="5"/>
  <c r="CE21" i="5"/>
  <c r="CI21" i="5"/>
  <c r="CI23" i="5"/>
  <c r="AQ23" i="5"/>
  <c r="O11" i="5"/>
  <c r="P11" i="5" s="1"/>
  <c r="R25" i="5"/>
  <c r="BF51" i="5"/>
  <c r="BE14" i="5"/>
  <c r="U19" i="5"/>
  <c r="AP25" i="5"/>
  <c r="AY19" i="5"/>
  <c r="J11" i="5"/>
  <c r="K25" i="5"/>
  <c r="CD25" i="5"/>
  <c r="AY31" i="5"/>
  <c r="AQ41" i="5"/>
  <c r="AP42" i="5"/>
  <c r="CI41" i="5"/>
  <c r="F42" i="5"/>
  <c r="E13" i="5"/>
  <c r="H13" i="5" s="1"/>
  <c r="BA11" i="5"/>
  <c r="BH11" i="5"/>
  <c r="BW11" i="5"/>
  <c r="M12" i="5"/>
  <c r="AG12" i="5"/>
  <c r="Z13" i="5"/>
  <c r="AT14" i="5"/>
  <c r="BI23" i="5"/>
  <c r="AY23" i="5"/>
  <c r="AV25" i="5"/>
  <c r="AU11" i="5"/>
  <c r="CG33" i="5"/>
  <c r="CH33" i="5" s="1"/>
  <c r="AQ33" i="5"/>
  <c r="BI24" i="5"/>
  <c r="AY24" i="5"/>
  <c r="BJ25" i="5"/>
  <c r="AA11" i="5"/>
  <c r="AV12" i="5"/>
  <c r="F14" i="5"/>
  <c r="AV14" i="5"/>
  <c r="BP14" i="5"/>
  <c r="CE19" i="5"/>
  <c r="CG21" i="5"/>
  <c r="CH21" i="5" s="1"/>
  <c r="M25" i="5"/>
  <c r="AJ25" i="5"/>
  <c r="BU25" i="5"/>
  <c r="AP34" i="5"/>
  <c r="BJ34" i="5"/>
  <c r="CG28" i="5"/>
  <c r="BI29" i="5"/>
  <c r="AY29" i="5"/>
  <c r="CI29" i="5"/>
  <c r="U30" i="5"/>
  <c r="AG34" i="5"/>
  <c r="CG38" i="5"/>
  <c r="CH38" i="5" s="1"/>
  <c r="AO38" i="5"/>
  <c r="CC40" i="5"/>
  <c r="CE40" i="5"/>
  <c r="K42" i="5"/>
  <c r="T25" i="5"/>
  <c r="CI28" i="5"/>
  <c r="CG30" i="5"/>
  <c r="CH30" i="5" s="1"/>
  <c r="BI39" i="5"/>
  <c r="AY39" i="5"/>
  <c r="BI40" i="5"/>
  <c r="AY40" i="5"/>
  <c r="CD11" i="5"/>
  <c r="AB13" i="5"/>
  <c r="AQ19" i="5"/>
  <c r="CB25" i="5"/>
  <c r="CC25" i="5" s="1"/>
  <c r="AQ20" i="5"/>
  <c r="U21" i="5"/>
  <c r="AO21" i="5"/>
  <c r="AO22" i="5"/>
  <c r="AY22" i="5"/>
  <c r="CE22" i="5"/>
  <c r="BK24" i="5"/>
  <c r="P25" i="5"/>
  <c r="BA25" i="5"/>
  <c r="BX25" i="5"/>
  <c r="T34" i="5"/>
  <c r="U34" i="5" s="1"/>
  <c r="AQ30" i="5"/>
  <c r="BI30" i="5"/>
  <c r="AO33" i="5"/>
  <c r="BH34" i="5"/>
  <c r="BI41" i="5"/>
  <c r="AY41" i="5"/>
  <c r="BI45" i="5"/>
  <c r="AY45" i="5"/>
  <c r="CG46" i="5"/>
  <c r="CH46" i="5" s="1"/>
  <c r="AQ46" i="5"/>
  <c r="BP51" i="5"/>
  <c r="CD34" i="5"/>
  <c r="AQ31" i="5"/>
  <c r="CI31" i="5"/>
  <c r="AY42" i="5"/>
  <c r="AY37" i="5"/>
  <c r="BH42" i="5"/>
  <c r="CG37" i="5"/>
  <c r="CI37" i="5"/>
  <c r="CE39" i="5"/>
  <c r="BK41" i="5"/>
  <c r="CB51" i="5"/>
  <c r="CC51" i="5" s="1"/>
  <c r="CI45" i="5"/>
  <c r="AQ45" i="5"/>
  <c r="AV51" i="5"/>
  <c r="AE34" i="5"/>
  <c r="T42" i="5"/>
  <c r="CB42" i="5"/>
  <c r="CC42" i="5" s="1"/>
  <c r="AQ38" i="5"/>
  <c r="AY38" i="5"/>
  <c r="W41" i="5"/>
  <c r="H42" i="5"/>
  <c r="AN51" i="5"/>
  <c r="AO46" i="5"/>
  <c r="AY51" i="5"/>
  <c r="BN51" i="5"/>
  <c r="CC37" i="5"/>
  <c r="W45" i="5"/>
  <c r="BV105" i="2" l="1"/>
  <c r="BX105" i="2"/>
  <c r="BQ105" i="2"/>
  <c r="BS105" i="2"/>
  <c r="BB105" i="2"/>
  <c r="BD105" i="2"/>
  <c r="AW105" i="2"/>
  <c r="AY105" i="2"/>
  <c r="AR105" i="2"/>
  <c r="AT105" i="2"/>
  <c r="AH105" i="2"/>
  <c r="AJ105" i="2"/>
  <c r="X105" i="2"/>
  <c r="Z105" i="2"/>
  <c r="N105" i="2"/>
  <c r="P105" i="2"/>
  <c r="BX104" i="2"/>
  <c r="BV104" i="2"/>
  <c r="BB104" i="2"/>
  <c r="BD104" i="2"/>
  <c r="CI3" i="5"/>
  <c r="CJ3" i="5" s="1"/>
  <c r="AF15" i="5"/>
  <c r="AG15" i="5" s="1"/>
  <c r="AP4" i="5"/>
  <c r="AQ4" i="5" s="1"/>
  <c r="AP6" i="5"/>
  <c r="W4" i="5"/>
  <c r="BN12" i="6"/>
  <c r="BK105" i="2"/>
  <c r="AE12" i="6"/>
  <c r="AB105" i="2"/>
  <c r="BU3" i="2"/>
  <c r="CR10" i="7"/>
  <c r="CS10" i="7" s="1"/>
  <c r="BU12" i="5"/>
  <c r="AG11" i="5"/>
  <c r="CJ40" i="5"/>
  <c r="CJ28" i="6"/>
  <c r="AB9" i="6"/>
  <c r="BF14" i="5"/>
  <c r="AE10" i="6"/>
  <c r="AT8" i="6"/>
  <c r="P14" i="5"/>
  <c r="P8" i="6"/>
  <c r="BH11" i="6"/>
  <c r="BK11" i="6" s="1"/>
  <c r="T8" i="6"/>
  <c r="W8" i="6" s="1"/>
  <c r="DA17" i="7"/>
  <c r="P10" i="6"/>
  <c r="AN14" i="5"/>
  <c r="BK40" i="6"/>
  <c r="CE34" i="5"/>
  <c r="AB12" i="5"/>
  <c r="BH10" i="6"/>
  <c r="AL14" i="5"/>
  <c r="T11" i="6"/>
  <c r="Z14" i="5"/>
  <c r="AA15" i="5"/>
  <c r="CJ4" i="6"/>
  <c r="P9" i="6"/>
  <c r="AO11" i="5"/>
  <c r="AQ12" i="5"/>
  <c r="BX14" i="5"/>
  <c r="BS11" i="6"/>
  <c r="BZ9" i="6"/>
  <c r="AT10" i="6"/>
  <c r="AJ9" i="6"/>
  <c r="AY10" i="6"/>
  <c r="BX9" i="6"/>
  <c r="AY8" i="6"/>
  <c r="CJ43" i="6"/>
  <c r="K8" i="6"/>
  <c r="R11" i="6"/>
  <c r="H8" i="6"/>
  <c r="F8" i="6"/>
  <c r="BH8" i="6"/>
  <c r="U8" i="7"/>
  <c r="AP12" i="6"/>
  <c r="BE15" i="5"/>
  <c r="AR12" i="7"/>
  <c r="AS12" i="7" s="1"/>
  <c r="AX11" i="7"/>
  <c r="AG9" i="7"/>
  <c r="X8" i="7"/>
  <c r="Y8" i="7" s="1"/>
  <c r="T12" i="7"/>
  <c r="O8" i="7"/>
  <c r="BE10" i="7"/>
  <c r="DA35" i="7"/>
  <c r="CO10" i="7"/>
  <c r="DA38" i="7"/>
  <c r="BO10" i="7"/>
  <c r="DA21" i="7"/>
  <c r="BT10" i="7"/>
  <c r="BU10" i="7" s="1"/>
  <c r="BT9" i="7"/>
  <c r="BU9" i="7" s="1"/>
  <c r="BD12" i="7"/>
  <c r="BE12" i="7" s="1"/>
  <c r="BE9" i="7"/>
  <c r="CJ29" i="5"/>
  <c r="AG13" i="5"/>
  <c r="CJ6" i="6"/>
  <c r="K13" i="5"/>
  <c r="AN13" i="5"/>
  <c r="AO13" i="5" s="1"/>
  <c r="AN8" i="6"/>
  <c r="AQ8" i="6" s="1"/>
  <c r="BW30" i="7"/>
  <c r="AM9" i="7"/>
  <c r="CJ27" i="6"/>
  <c r="DA44" i="7"/>
  <c r="BV11" i="7"/>
  <c r="BW11" i="7" s="1"/>
  <c r="Z8" i="6"/>
  <c r="BA12" i="5"/>
  <c r="BU13" i="5"/>
  <c r="BH9" i="6"/>
  <c r="BK9" i="6" s="1"/>
  <c r="R12" i="6"/>
  <c r="W40" i="6"/>
  <c r="CU22" i="7"/>
  <c r="BH12" i="5"/>
  <c r="AJ13" i="5"/>
  <c r="DA6" i="7"/>
  <c r="N12" i="7"/>
  <c r="AT11" i="6"/>
  <c r="AB10" i="6"/>
  <c r="BH14" i="5"/>
  <c r="BI14" i="5" s="1"/>
  <c r="AO11" i="6"/>
  <c r="CG40" i="6"/>
  <c r="F11" i="5"/>
  <c r="CB10" i="6"/>
  <c r="CE10" i="6" s="1"/>
  <c r="CJ31" i="5"/>
  <c r="BK22" i="6"/>
  <c r="BK25" i="5"/>
  <c r="BX10" i="6"/>
  <c r="BI11" i="6"/>
  <c r="CB14" i="5"/>
  <c r="CE14" i="5" s="1"/>
  <c r="R13" i="5"/>
  <c r="DA19" i="7"/>
  <c r="DA33" i="7"/>
  <c r="CC9" i="7"/>
  <c r="BT8" i="7"/>
  <c r="BU8" i="7" s="1"/>
  <c r="Z8" i="7"/>
  <c r="CG50" i="6"/>
  <c r="CJ38" i="6"/>
  <c r="BE8" i="7"/>
  <c r="CE50" i="6"/>
  <c r="BN12" i="5"/>
  <c r="AY9" i="6"/>
  <c r="CC9" i="6"/>
  <c r="CJ20" i="5"/>
  <c r="AQ40" i="6"/>
  <c r="BS10" i="6"/>
  <c r="CB11" i="6"/>
  <c r="CE11" i="6" s="1"/>
  <c r="CG34" i="5"/>
  <c r="CH34" i="5" s="1"/>
  <c r="CJ28" i="5"/>
  <c r="R11" i="5"/>
  <c r="K9" i="6"/>
  <c r="CN12" i="7"/>
  <c r="X9" i="7"/>
  <c r="Y9" i="7" s="1"/>
  <c r="I8" i="7"/>
  <c r="AS10" i="7"/>
  <c r="CC8" i="6"/>
  <c r="Z12" i="5"/>
  <c r="BK50" i="6"/>
  <c r="CJ19" i="5"/>
  <c r="G9" i="7"/>
  <c r="AV10" i="7"/>
  <c r="AW10" i="7" s="1"/>
  <c r="AO12" i="5"/>
  <c r="CE51" i="5"/>
  <c r="BK42" i="5"/>
  <c r="BH13" i="5"/>
  <c r="BK13" i="5" s="1"/>
  <c r="AO50" i="6"/>
  <c r="BX11" i="6"/>
  <c r="BU10" i="6"/>
  <c r="CH29" i="6"/>
  <c r="CI11" i="7"/>
  <c r="CO11" i="7"/>
  <c r="H12" i="7"/>
  <c r="CT10" i="7"/>
  <c r="AE9" i="6"/>
  <c r="W22" i="6"/>
  <c r="BS14" i="5"/>
  <c r="T9" i="6"/>
  <c r="U9" i="6" s="1"/>
  <c r="C104" i="2"/>
  <c r="T14" i="5"/>
  <c r="W14" i="5" s="1"/>
  <c r="V13" i="5"/>
  <c r="CI13" i="5" s="1"/>
  <c r="W42" i="5"/>
  <c r="CJ22" i="5"/>
  <c r="W25" i="5"/>
  <c r="U42" i="5"/>
  <c r="M14" i="5"/>
  <c r="BF13" i="5"/>
  <c r="CI40" i="6"/>
  <c r="CG22" i="6"/>
  <c r="CC11" i="7"/>
  <c r="CR11" i="7"/>
  <c r="CS11" i="7" s="1"/>
  <c r="BZ13" i="5"/>
  <c r="AG12" i="7"/>
  <c r="CB11" i="5"/>
  <c r="CC11" i="5" s="1"/>
  <c r="CI10" i="6"/>
  <c r="DA42" i="7"/>
  <c r="BP11" i="5"/>
  <c r="CE22" i="6"/>
  <c r="H10" i="6"/>
  <c r="CX22" i="7"/>
  <c r="CY22" i="7" s="1"/>
  <c r="BW22" i="7"/>
  <c r="X11" i="7"/>
  <c r="AA11" i="7" s="1"/>
  <c r="X10" i="7"/>
  <c r="Y10" i="7" s="1"/>
  <c r="AJ8" i="6"/>
  <c r="BZ8" i="6"/>
  <c r="BX8" i="6"/>
  <c r="CJ36" i="6"/>
  <c r="W51" i="5"/>
  <c r="CJ41" i="5"/>
  <c r="AA30" i="7"/>
  <c r="S11" i="7"/>
  <c r="CX51" i="7"/>
  <c r="AG10" i="7"/>
  <c r="U10" i="7"/>
  <c r="CO8" i="7"/>
  <c r="T10" i="6"/>
  <c r="W10" i="6" s="1"/>
  <c r="BK51" i="5"/>
  <c r="CJ17" i="6"/>
  <c r="CJ39" i="5"/>
  <c r="BD8" i="6"/>
  <c r="BF8" i="6"/>
  <c r="AN9" i="6"/>
  <c r="AQ9" i="6" s="1"/>
  <c r="CJ45" i="6"/>
  <c r="G12" i="6"/>
  <c r="H12" i="6" s="1"/>
  <c r="CH12" i="7"/>
  <c r="CI12" i="7" s="1"/>
  <c r="BU15" i="5"/>
  <c r="CJ23" i="5"/>
  <c r="CI51" i="5"/>
  <c r="CD12" i="5"/>
  <c r="CD15" i="5" s="1"/>
  <c r="CE15" i="5" s="1"/>
  <c r="BP104" i="2"/>
  <c r="CB12" i="5"/>
  <c r="CC12" i="5" s="1"/>
  <c r="CJ24" i="5"/>
  <c r="CG51" i="5"/>
  <c r="BF12" i="5"/>
  <c r="CB13" i="5"/>
  <c r="AL11" i="6"/>
  <c r="AP11" i="6"/>
  <c r="AQ11" i="6" s="1"/>
  <c r="CC12" i="7"/>
  <c r="I10" i="7"/>
  <c r="BJ14" i="5"/>
  <c r="AL15" i="5"/>
  <c r="M15" i="5"/>
  <c r="BP15" i="5"/>
  <c r="BA15" i="5"/>
  <c r="H15" i="5"/>
  <c r="W50" i="6"/>
  <c r="BG12" i="6"/>
  <c r="BI12" i="6" s="1"/>
  <c r="BD15" i="5"/>
  <c r="DA37" i="7"/>
  <c r="AA39" i="7"/>
  <c r="CA12" i="6"/>
  <c r="CC12" i="6" s="1"/>
  <c r="CF11" i="6"/>
  <c r="CF13" i="5"/>
  <c r="AM15" i="5"/>
  <c r="AO15" i="5" s="1"/>
  <c r="AO14" i="5"/>
  <c r="AV9" i="7"/>
  <c r="CJ46" i="5"/>
  <c r="CU51" i="7"/>
  <c r="CC14" i="5"/>
  <c r="W31" i="6"/>
  <c r="CJ45" i="5"/>
  <c r="V11" i="6"/>
  <c r="H11" i="6"/>
  <c r="AO10" i="6"/>
  <c r="DA28" i="7"/>
  <c r="AL106" i="2"/>
  <c r="DA29" i="7"/>
  <c r="H9" i="6"/>
  <c r="V9" i="6"/>
  <c r="CJ5" i="6"/>
  <c r="AQ14" i="5"/>
  <c r="CJ26" i="6"/>
  <c r="CM8" i="7"/>
  <c r="CH17" i="6"/>
  <c r="Z9" i="7"/>
  <c r="CZ9" i="7" s="1"/>
  <c r="CJ21" i="6"/>
  <c r="CJ19" i="6"/>
  <c r="BY15" i="5"/>
  <c r="AQ10" i="6"/>
  <c r="CT8" i="7"/>
  <c r="CU8" i="7" s="1"/>
  <c r="AX10" i="7"/>
  <c r="BZ106" i="2"/>
  <c r="BW51" i="7"/>
  <c r="DA27" i="7"/>
  <c r="DA5" i="7"/>
  <c r="DA50" i="7"/>
  <c r="R106" i="2"/>
  <c r="BF106" i="2"/>
  <c r="M11" i="7"/>
  <c r="BS12" i="6"/>
  <c r="BD12" i="6"/>
  <c r="AY12" i="6"/>
  <c r="AT12" i="6"/>
  <c r="AJ12" i="6"/>
  <c r="Z12" i="6"/>
  <c r="P12" i="6"/>
  <c r="K12" i="6"/>
  <c r="H105" i="2"/>
  <c r="F12" i="6"/>
  <c r="C105" i="2"/>
  <c r="BN15" i="5"/>
  <c r="BK104" i="2"/>
  <c r="BG15" i="5"/>
  <c r="BI15" i="5" s="1"/>
  <c r="AY15" i="5"/>
  <c r="AV104" i="2"/>
  <c r="AT15" i="5"/>
  <c r="AQ104" i="2"/>
  <c r="AJ15" i="5"/>
  <c r="AG104" i="2"/>
  <c r="AE15" i="5"/>
  <c r="AB104" i="2"/>
  <c r="Z15" i="5"/>
  <c r="W104" i="2"/>
  <c r="K15" i="5"/>
  <c r="H104" i="2"/>
  <c r="AO8" i="6"/>
  <c r="U11" i="6"/>
  <c r="BI11" i="5"/>
  <c r="N15" i="5"/>
  <c r="S14" i="5"/>
  <c r="S15" i="5" s="1"/>
  <c r="U15" i="5" s="1"/>
  <c r="CV12" i="7"/>
  <c r="CY12" i="7" s="1"/>
  <c r="Y12" i="7"/>
  <c r="CI9" i="7"/>
  <c r="O9" i="7"/>
  <c r="CU30" i="7"/>
  <c r="AM8" i="7"/>
  <c r="AV8" i="7"/>
  <c r="AK8" i="7"/>
  <c r="AL12" i="7"/>
  <c r="AA51" i="7"/>
  <c r="DA25" i="7"/>
  <c r="CI10" i="7"/>
  <c r="DA20" i="7"/>
  <c r="AY30" i="7"/>
  <c r="DA4" i="7"/>
  <c r="AV11" i="7"/>
  <c r="AW11" i="7" s="1"/>
  <c r="AE11" i="7"/>
  <c r="AG11" i="7"/>
  <c r="BJ12" i="7"/>
  <c r="Z10" i="7"/>
  <c r="AS11" i="7"/>
  <c r="CR9" i="7"/>
  <c r="CS9" i="7" s="1"/>
  <c r="AM10" i="7"/>
  <c r="CH34" i="6"/>
  <c r="BI45" i="6"/>
  <c r="CH45" i="6"/>
  <c r="BI35" i="6"/>
  <c r="BI39" i="6"/>
  <c r="CH39" i="6"/>
  <c r="BI27" i="6"/>
  <c r="CH27" i="6"/>
  <c r="CH35" i="6"/>
  <c r="BI19" i="6"/>
  <c r="CH19" i="6"/>
  <c r="CH30" i="6"/>
  <c r="CH20" i="6"/>
  <c r="CH38" i="6"/>
  <c r="BI28" i="6"/>
  <c r="CH28" i="6"/>
  <c r="AM12" i="6"/>
  <c r="CF9" i="6"/>
  <c r="CH44" i="6"/>
  <c r="S12" i="6"/>
  <c r="U12" i="6" s="1"/>
  <c r="U8" i="6"/>
  <c r="CF8" i="6"/>
  <c r="CF10" i="6"/>
  <c r="CF12" i="5"/>
  <c r="CA15" i="5"/>
  <c r="CC15" i="5" s="1"/>
  <c r="CH29" i="5"/>
  <c r="CH37" i="5"/>
  <c r="CH39" i="5"/>
  <c r="CH45" i="5"/>
  <c r="BI31" i="5"/>
  <c r="CH31" i="5"/>
  <c r="CH40" i="5"/>
  <c r="CH41" i="5"/>
  <c r="CH28" i="5"/>
  <c r="CF11" i="5"/>
  <c r="CZ22" i="7"/>
  <c r="AY22" i="7"/>
  <c r="CU39" i="7"/>
  <c r="DA43" i="7"/>
  <c r="BU22" i="7"/>
  <c r="AW22" i="7"/>
  <c r="BW39" i="7"/>
  <c r="CZ39" i="7"/>
  <c r="AY39" i="7"/>
  <c r="Y30" i="7"/>
  <c r="DA18" i="7"/>
  <c r="BU51" i="7"/>
  <c r="DA3" i="7"/>
  <c r="CZ51" i="7"/>
  <c r="AY51" i="7"/>
  <c r="CY34" i="7"/>
  <c r="DA34" i="7"/>
  <c r="CX30" i="7"/>
  <c r="AW51" i="7"/>
  <c r="AW39" i="7"/>
  <c r="CX39" i="7"/>
  <c r="CZ30" i="7"/>
  <c r="BU39" i="7"/>
  <c r="BU33" i="7"/>
  <c r="DA26" i="7"/>
  <c r="BP12" i="7"/>
  <c r="BQ8" i="7"/>
  <c r="DA36" i="7"/>
  <c r="U50" i="6"/>
  <c r="BI34" i="6"/>
  <c r="CJ18" i="6"/>
  <c r="AO22" i="6"/>
  <c r="CI22" i="6"/>
  <c r="BI10" i="6"/>
  <c r="BK10" i="6"/>
  <c r="AL12" i="6"/>
  <c r="CI8" i="6"/>
  <c r="CI50" i="6"/>
  <c r="AQ50" i="6"/>
  <c r="CI31" i="6"/>
  <c r="AQ31" i="6"/>
  <c r="BI8" i="6"/>
  <c r="BK8" i="6"/>
  <c r="CE40" i="6"/>
  <c r="CJ44" i="6"/>
  <c r="CJ35" i="6"/>
  <c r="CJ34" i="6"/>
  <c r="AQ22" i="6"/>
  <c r="CJ3" i="6"/>
  <c r="CJ39" i="6"/>
  <c r="CG8" i="6"/>
  <c r="CG31" i="6"/>
  <c r="CE31" i="6"/>
  <c r="CJ25" i="6"/>
  <c r="AP11" i="5"/>
  <c r="AQ11" i="5" s="1"/>
  <c r="AB11" i="5"/>
  <c r="CI42" i="5"/>
  <c r="AQ42" i="5"/>
  <c r="CJ21" i="5"/>
  <c r="V12" i="5"/>
  <c r="V15" i="5" s="1"/>
  <c r="R12" i="5"/>
  <c r="K11" i="5"/>
  <c r="T11" i="5"/>
  <c r="W11" i="5" s="1"/>
  <c r="BK34" i="5"/>
  <c r="CG42" i="5"/>
  <c r="F13" i="5"/>
  <c r="T13" i="5"/>
  <c r="AO34" i="5"/>
  <c r="AQ51" i="5"/>
  <c r="CI34" i="5"/>
  <c r="AQ34" i="5"/>
  <c r="CJ30" i="5"/>
  <c r="CE25" i="5"/>
  <c r="BI19" i="5"/>
  <c r="U25" i="5"/>
  <c r="CG25" i="5"/>
  <c r="CJ33" i="5"/>
  <c r="W34" i="5"/>
  <c r="U12" i="5"/>
  <c r="M11" i="5"/>
  <c r="BI51" i="5"/>
  <c r="CI25" i="5"/>
  <c r="AQ25" i="5"/>
  <c r="CE42" i="5"/>
  <c r="BX11" i="5"/>
  <c r="BZ11" i="5"/>
  <c r="AO51" i="5"/>
  <c r="CJ37" i="5"/>
  <c r="BI37" i="5"/>
  <c r="CJ38" i="5"/>
  <c r="BJ11" i="5"/>
  <c r="BK11" i="5" s="1"/>
  <c r="AU15" i="5"/>
  <c r="AV11" i="5"/>
  <c r="BI34" i="5"/>
  <c r="AQ6" i="5" l="1"/>
  <c r="CI6" i="5"/>
  <c r="CJ6" i="5" s="1"/>
  <c r="CI4" i="5"/>
  <c r="CJ4" i="5" s="1"/>
  <c r="BV3" i="2"/>
  <c r="BW3" i="2" s="1"/>
  <c r="BB3" i="2"/>
  <c r="BL105" i="2"/>
  <c r="BN105" i="2"/>
  <c r="AC105" i="2"/>
  <c r="AE105" i="2"/>
  <c r="I105" i="2"/>
  <c r="K105" i="2"/>
  <c r="D105" i="2"/>
  <c r="F105" i="2"/>
  <c r="BS104" i="2"/>
  <c r="BS3" i="2" s="1"/>
  <c r="BQ104" i="2"/>
  <c r="BQ3" i="2" s="1"/>
  <c r="BL104" i="2"/>
  <c r="BN104" i="2"/>
  <c r="AV3" i="2"/>
  <c r="AW104" i="2"/>
  <c r="AW3" i="2" s="1"/>
  <c r="AY104" i="2"/>
  <c r="AY3" i="2" s="1"/>
  <c r="AQ3" i="2"/>
  <c r="AT104" i="2"/>
  <c r="AT3" i="2" s="1"/>
  <c r="AR104" i="2"/>
  <c r="AR3" i="2" s="1"/>
  <c r="AH104" i="2"/>
  <c r="AH3" i="2" s="1"/>
  <c r="AJ104" i="2"/>
  <c r="AJ3" i="2" s="1"/>
  <c r="W3" i="2"/>
  <c r="X104" i="2"/>
  <c r="X3" i="2" s="1"/>
  <c r="Z104" i="2"/>
  <c r="I104" i="2"/>
  <c r="K104" i="2"/>
  <c r="F104" i="2"/>
  <c r="D104" i="2"/>
  <c r="AC104" i="2"/>
  <c r="AE104" i="2"/>
  <c r="BK3" i="2"/>
  <c r="BP3" i="2"/>
  <c r="BA3" i="2"/>
  <c r="CU10" i="7"/>
  <c r="AG3" i="2"/>
  <c r="AB3" i="2"/>
  <c r="H3" i="2"/>
  <c r="C3" i="2"/>
  <c r="CE106" i="2"/>
  <c r="AQ13" i="5"/>
  <c r="CJ50" i="6"/>
  <c r="O12" i="7"/>
  <c r="CZ11" i="7"/>
  <c r="BK14" i="5"/>
  <c r="CG12" i="5"/>
  <c r="CH12" i="5" s="1"/>
  <c r="BJ15" i="5"/>
  <c r="BK15" i="5" s="1"/>
  <c r="CJ40" i="6"/>
  <c r="AP15" i="5"/>
  <c r="AQ15" i="5" s="1"/>
  <c r="CU11" i="7"/>
  <c r="BW10" i="7"/>
  <c r="CZ8" i="7"/>
  <c r="AA8" i="7"/>
  <c r="CO12" i="7"/>
  <c r="BW9" i="7"/>
  <c r="CX8" i="7"/>
  <c r="CY8" i="7" s="1"/>
  <c r="BI12" i="5"/>
  <c r="CC10" i="6"/>
  <c r="CX11" i="7"/>
  <c r="CY11" i="7" s="1"/>
  <c r="BK12" i="5"/>
  <c r="BI13" i="5"/>
  <c r="BI9" i="6"/>
  <c r="U12" i="7"/>
  <c r="CG14" i="5"/>
  <c r="BW8" i="7"/>
  <c r="U10" i="6"/>
  <c r="CJ51" i="5"/>
  <c r="Y11" i="7"/>
  <c r="CX10" i="7"/>
  <c r="CY10" i="7" s="1"/>
  <c r="DA51" i="7"/>
  <c r="I12" i="7"/>
  <c r="AY10" i="7"/>
  <c r="CG10" i="6"/>
  <c r="CJ10" i="6" s="1"/>
  <c r="CC11" i="6"/>
  <c r="AA9" i="7"/>
  <c r="CJ34" i="5"/>
  <c r="Z12" i="7"/>
  <c r="AA12" i="7" s="1"/>
  <c r="DA22" i="7"/>
  <c r="CG11" i="6"/>
  <c r="CH11" i="6" s="1"/>
  <c r="CE12" i="5"/>
  <c r="AN12" i="6"/>
  <c r="CG12" i="6" s="1"/>
  <c r="CX9" i="7"/>
  <c r="CY9" i="7" s="1"/>
  <c r="CG9" i="6"/>
  <c r="CH9" i="6" s="1"/>
  <c r="CE11" i="5"/>
  <c r="CJ22" i="6"/>
  <c r="AO9" i="6"/>
  <c r="CC13" i="5"/>
  <c r="CE13" i="5"/>
  <c r="CJ25" i="5"/>
  <c r="BK12" i="7"/>
  <c r="R15" i="5"/>
  <c r="BZ15" i="5"/>
  <c r="BX3" i="2"/>
  <c r="BF15" i="5"/>
  <c r="V12" i="6"/>
  <c r="W12" i="6" s="1"/>
  <c r="CI9" i="6"/>
  <c r="W9" i="6"/>
  <c r="DA30" i="7"/>
  <c r="CI11" i="6"/>
  <c r="W11" i="6"/>
  <c r="AW9" i="7"/>
  <c r="AY9" i="7"/>
  <c r="CT12" i="7"/>
  <c r="CU12" i="7" s="1"/>
  <c r="P15" i="5"/>
  <c r="M104" i="2"/>
  <c r="CF14" i="5"/>
  <c r="U14" i="5"/>
  <c r="AW8" i="7"/>
  <c r="AY8" i="7"/>
  <c r="CY39" i="7"/>
  <c r="AY11" i="7"/>
  <c r="AA10" i="7"/>
  <c r="CZ10" i="7"/>
  <c r="AM12" i="7"/>
  <c r="AX12" i="7"/>
  <c r="AY12" i="7" s="1"/>
  <c r="CU9" i="7"/>
  <c r="CH8" i="6"/>
  <c r="CF12" i="6"/>
  <c r="CH12" i="6" s="1"/>
  <c r="CH31" i="6"/>
  <c r="BI31" i="6"/>
  <c r="CF15" i="5"/>
  <c r="CH15" i="5" s="1"/>
  <c r="BU30" i="7"/>
  <c r="CY30" i="7"/>
  <c r="DA39" i="7"/>
  <c r="CY51" i="7"/>
  <c r="BQ12" i="7"/>
  <c r="BV12" i="7"/>
  <c r="BW12" i="7" s="1"/>
  <c r="BI22" i="6"/>
  <c r="CH22" i="6"/>
  <c r="CJ31" i="6"/>
  <c r="CJ8" i="6"/>
  <c r="BI40" i="6"/>
  <c r="CH40" i="6"/>
  <c r="BI50" i="6"/>
  <c r="CH50" i="6"/>
  <c r="CJ42" i="5"/>
  <c r="CI14" i="5"/>
  <c r="CI12" i="5"/>
  <c r="CJ12" i="5" s="1"/>
  <c r="W12" i="5"/>
  <c r="AB15" i="5"/>
  <c r="CI11" i="5"/>
  <c r="CG13" i="5"/>
  <c r="U13" i="5"/>
  <c r="W13" i="5"/>
  <c r="U11" i="5"/>
  <c r="CG11" i="5"/>
  <c r="CH11" i="5" s="1"/>
  <c r="BI42" i="5"/>
  <c r="CH42" i="5"/>
  <c r="BI25" i="5"/>
  <c r="CH25" i="5"/>
  <c r="AV15" i="5"/>
  <c r="CH51" i="5"/>
  <c r="F3" i="2" l="1"/>
  <c r="BY3" i="2"/>
  <c r="AE3" i="2"/>
  <c r="BC3" i="2"/>
  <c r="BL3" i="2"/>
  <c r="BM3" i="2" s="1"/>
  <c r="BN3" i="2"/>
  <c r="CC3" i="2" s="1"/>
  <c r="AX3" i="2"/>
  <c r="AS3" i="2"/>
  <c r="AC3" i="2"/>
  <c r="I3" i="2"/>
  <c r="J3" i="2" s="1"/>
  <c r="K3" i="2"/>
  <c r="Y3" i="2"/>
  <c r="D3" i="2"/>
  <c r="BR3" i="2"/>
  <c r="BT3" i="2"/>
  <c r="AZ3" i="2"/>
  <c r="AI3" i="2"/>
  <c r="AK3" i="2"/>
  <c r="AU3" i="2"/>
  <c r="N104" i="2"/>
  <c r="N3" i="2" s="1"/>
  <c r="P104" i="2"/>
  <c r="P3" i="2" s="1"/>
  <c r="BZ3" i="2"/>
  <c r="AL3" i="2"/>
  <c r="BD3" i="2"/>
  <c r="BI3" i="2" s="1"/>
  <c r="BF3" i="2"/>
  <c r="Z3" i="2"/>
  <c r="M3" i="2"/>
  <c r="CH14" i="5"/>
  <c r="CJ14" i="5"/>
  <c r="DA11" i="7"/>
  <c r="DA9" i="7"/>
  <c r="DA8" i="7"/>
  <c r="CJ9" i="6"/>
  <c r="CH10" i="6"/>
  <c r="DA10" i="7"/>
  <c r="CJ11" i="6"/>
  <c r="AO12" i="6"/>
  <c r="AQ12" i="6"/>
  <c r="CI12" i="6"/>
  <c r="CJ12" i="6" s="1"/>
  <c r="CJ11" i="5"/>
  <c r="CZ12" i="7"/>
  <c r="DA12" i="7" s="1"/>
  <c r="CH13" i="5"/>
  <c r="CJ13" i="5"/>
  <c r="W15" i="5"/>
  <c r="CI15" i="5"/>
  <c r="CJ15" i="5" s="1"/>
  <c r="AO3" i="2" l="1"/>
  <c r="AF3" i="2"/>
  <c r="BO3" i="2"/>
  <c r="AD3" i="2"/>
  <c r="U3" i="2"/>
  <c r="O3" i="2"/>
  <c r="BE3" i="2"/>
  <c r="U28" i="2"/>
  <c r="U20" i="2" l="1"/>
  <c r="U86" i="2" l="1"/>
  <c r="BS4" i="2" l="1"/>
  <c r="AY31" i="2"/>
  <c r="AY4" i="2" s="1"/>
  <c r="AT31" i="2" l="1"/>
  <c r="AT4" i="2" s="1"/>
  <c r="BX4" i="2"/>
  <c r="BY106" i="2" l="1"/>
  <c r="BY105" i="2"/>
  <c r="BW106" i="2"/>
  <c r="BW105" i="2"/>
  <c r="BW104" i="2"/>
  <c r="BU107" i="2"/>
  <c r="BT106" i="2"/>
  <c r="BT105" i="2"/>
  <c r="BR106" i="2"/>
  <c r="BR105" i="2"/>
  <c r="BR104" i="2"/>
  <c r="BP107" i="2"/>
  <c r="BO106" i="2"/>
  <c r="BO105" i="2"/>
  <c r="BM106" i="2"/>
  <c r="BM105" i="2"/>
  <c r="BM104" i="2"/>
  <c r="BK107" i="2"/>
  <c r="BE106" i="2"/>
  <c r="BE105" i="2"/>
  <c r="BC106" i="2"/>
  <c r="BC105" i="2"/>
  <c r="BC104" i="2"/>
  <c r="AZ106" i="2"/>
  <c r="AZ105" i="2"/>
  <c r="AX106" i="2"/>
  <c r="AX105" i="2"/>
  <c r="AX104" i="2"/>
  <c r="AU106" i="2"/>
  <c r="AU105" i="2"/>
  <c r="AS106" i="2"/>
  <c r="AS105" i="2"/>
  <c r="AS104" i="2"/>
  <c r="AQ107" i="2"/>
  <c r="AK106" i="2"/>
  <c r="AK105" i="2"/>
  <c r="AI106" i="2"/>
  <c r="AI105" i="2"/>
  <c r="AI104" i="2"/>
  <c r="AG107" i="2"/>
  <c r="AF106" i="2"/>
  <c r="AF105" i="2"/>
  <c r="AD106" i="2"/>
  <c r="AD105" i="2"/>
  <c r="AD104" i="2"/>
  <c r="AB107" i="2"/>
  <c r="AA106" i="2"/>
  <c r="AA105" i="2"/>
  <c r="Y106" i="2"/>
  <c r="Y105" i="2"/>
  <c r="Y104" i="2"/>
  <c r="W107" i="2"/>
  <c r="Q106" i="2"/>
  <c r="Q105" i="2"/>
  <c r="O106" i="2"/>
  <c r="O105" i="2"/>
  <c r="O104" i="2"/>
  <c r="L106" i="2"/>
  <c r="L105" i="2"/>
  <c r="J106" i="2"/>
  <c r="J105" i="2"/>
  <c r="J104" i="2"/>
  <c r="G105" i="2"/>
  <c r="G106" i="2"/>
  <c r="E105" i="2"/>
  <c r="E106" i="2"/>
  <c r="E104" i="2"/>
  <c r="C107" i="2"/>
  <c r="AA3" i="2"/>
  <c r="G3" i="2"/>
  <c r="BV107" i="2"/>
  <c r="BQ107" i="2"/>
  <c r="BL107" i="2"/>
  <c r="BB107" i="2"/>
  <c r="AW107" i="2"/>
  <c r="AR107" i="2"/>
  <c r="AH107" i="2"/>
  <c r="AC107" i="2"/>
  <c r="X107" i="2"/>
  <c r="N107" i="2"/>
  <c r="I107" i="2"/>
  <c r="D107" i="2"/>
  <c r="CC106" i="2"/>
  <c r="CA106" i="2"/>
  <c r="BI106" i="2"/>
  <c r="BG106" i="2"/>
  <c r="BH106" i="2" s="1"/>
  <c r="AO106" i="2"/>
  <c r="AM106" i="2"/>
  <c r="AN106" i="2" s="1"/>
  <c r="U106" i="2"/>
  <c r="S106" i="2"/>
  <c r="CC105" i="2"/>
  <c r="CA105" i="2"/>
  <c r="BZ105" i="2"/>
  <c r="BI105" i="2"/>
  <c r="BG105" i="2"/>
  <c r="AO105" i="2"/>
  <c r="AM105" i="2"/>
  <c r="U105" i="2"/>
  <c r="S105" i="2"/>
  <c r="CA104" i="2"/>
  <c r="BN107" i="2"/>
  <c r="BG104" i="2"/>
  <c r="BD107" i="2"/>
  <c r="BA107" i="2"/>
  <c r="AZ104" i="2"/>
  <c r="AT107" i="2"/>
  <c r="BF104" i="2"/>
  <c r="AM104" i="2"/>
  <c r="AL104" i="2"/>
  <c r="AE107" i="2"/>
  <c r="Z107" i="2"/>
  <c r="S104" i="2"/>
  <c r="P107" i="2"/>
  <c r="R104" i="2"/>
  <c r="L104" i="2"/>
  <c r="H107" i="2"/>
  <c r="F107" i="2"/>
  <c r="BO107" i="2" l="1"/>
  <c r="CA3" i="2"/>
  <c r="CD3" i="2" s="1"/>
  <c r="AM3" i="2"/>
  <c r="S3" i="2"/>
  <c r="BG3" i="2"/>
  <c r="CF104" i="2"/>
  <c r="CF105" i="2"/>
  <c r="T106" i="2"/>
  <c r="CF106" i="2"/>
  <c r="T104" i="2"/>
  <c r="J107" i="2"/>
  <c r="BC107" i="2"/>
  <c r="BS107" i="2"/>
  <c r="BT107" i="2" s="1"/>
  <c r="BX107" i="2"/>
  <c r="BY107" i="2" s="1"/>
  <c r="BJ105" i="2"/>
  <c r="CB105" i="2"/>
  <c r="AN104" i="2"/>
  <c r="CD105" i="2"/>
  <c r="AP106" i="2"/>
  <c r="BH104" i="2"/>
  <c r="AA104" i="2"/>
  <c r="Q104" i="2"/>
  <c r="CA107" i="2"/>
  <c r="V105" i="2"/>
  <c r="BJ106" i="2"/>
  <c r="AU104" i="2"/>
  <c r="BY104" i="2"/>
  <c r="BT104" i="2"/>
  <c r="AO104" i="2"/>
  <c r="BI104" i="2"/>
  <c r="BI107" i="2" s="1"/>
  <c r="AP105" i="2"/>
  <c r="V106" i="2"/>
  <c r="CD106" i="2"/>
  <c r="BO104" i="2"/>
  <c r="AM107" i="2"/>
  <c r="AF104" i="2"/>
  <c r="BE104" i="2"/>
  <c r="K107" i="2"/>
  <c r="L107" i="2" s="1"/>
  <c r="AK104" i="2"/>
  <c r="G104" i="2"/>
  <c r="AY107" i="2"/>
  <c r="AZ107" i="2" s="1"/>
  <c r="U104" i="2"/>
  <c r="V104" i="2" s="1"/>
  <c r="BE107" i="2"/>
  <c r="AJ107" i="2"/>
  <c r="AK107" i="2" s="1"/>
  <c r="S107" i="2"/>
  <c r="BG107" i="2"/>
  <c r="BR107" i="2"/>
  <c r="BW107" i="2"/>
  <c r="BM107" i="2"/>
  <c r="Q107" i="2"/>
  <c r="Y107" i="2"/>
  <c r="AA107" i="2"/>
  <c r="AD107" i="2"/>
  <c r="AF107" i="2"/>
  <c r="AI107" i="2"/>
  <c r="CH105" i="2"/>
  <c r="AS107" i="2"/>
  <c r="AU107" i="2"/>
  <c r="G107" i="2"/>
  <c r="E107" i="2"/>
  <c r="CB106" i="2"/>
  <c r="R105" i="2"/>
  <c r="R3" i="2" s="1"/>
  <c r="CE3" i="2" s="1"/>
  <c r="M107" i="2"/>
  <c r="O107" i="2" s="1"/>
  <c r="BF105" i="2"/>
  <c r="BH105" i="2" s="1"/>
  <c r="CH106" i="2"/>
  <c r="AV107" i="2"/>
  <c r="AX107" i="2" s="1"/>
  <c r="CC104" i="2"/>
  <c r="CD104" i="2" s="1"/>
  <c r="AL105" i="2"/>
  <c r="BZ104" i="2"/>
  <c r="CB3" i="2" l="1"/>
  <c r="CF3" i="2"/>
  <c r="BH3" i="2"/>
  <c r="BJ3" i="2"/>
  <c r="AN3" i="2"/>
  <c r="CE105" i="2"/>
  <c r="CG105" i="2" s="1"/>
  <c r="T3" i="2"/>
  <c r="CE104" i="2"/>
  <c r="AP104" i="2"/>
  <c r="CH104" i="2"/>
  <c r="CH107" i="2" s="1"/>
  <c r="AO107" i="2"/>
  <c r="AP107" i="2" s="1"/>
  <c r="BJ107" i="2"/>
  <c r="U107" i="2"/>
  <c r="V107" i="2" s="1"/>
  <c r="BJ104" i="2"/>
  <c r="CI106" i="2"/>
  <c r="CI105" i="2"/>
  <c r="CG106" i="2"/>
  <c r="T105" i="2"/>
  <c r="AN105" i="2"/>
  <c r="AL107" i="2"/>
  <c r="AN107" i="2" s="1"/>
  <c r="CF107" i="2"/>
  <c r="CB104" i="2"/>
  <c r="BZ107" i="2"/>
  <c r="CB107" i="2" s="1"/>
  <c r="R107" i="2"/>
  <c r="T107" i="2" s="1"/>
  <c r="CC107" i="2"/>
  <c r="CD107" i="2" s="1"/>
  <c r="BF107" i="2"/>
  <c r="BH107" i="2" s="1"/>
  <c r="CG104" i="2" l="1"/>
  <c r="CI107" i="2"/>
  <c r="CI104" i="2"/>
  <c r="CE107" i="2"/>
  <c r="CG107" i="2" s="1"/>
  <c r="H77" i="2" l="1"/>
  <c r="O41" i="2"/>
  <c r="E88" i="2"/>
  <c r="BZ77" i="2"/>
  <c r="J45" i="2"/>
  <c r="CC98" i="2"/>
  <c r="BX99" i="2"/>
  <c r="BS99" i="2"/>
  <c r="BN99" i="2"/>
  <c r="CA82" i="2"/>
  <c r="CB82" i="2" s="1"/>
  <c r="BI98" i="2"/>
  <c r="BD99" i="2"/>
  <c r="AY99" i="2"/>
  <c r="AW99" i="2"/>
  <c r="AT99" i="2"/>
  <c r="AR99" i="2"/>
  <c r="AO98" i="2"/>
  <c r="AM98" i="2"/>
  <c r="AN98" i="2" s="1"/>
  <c r="AJ99" i="2"/>
  <c r="AH99" i="2"/>
  <c r="AE99" i="2"/>
  <c r="AC99" i="2"/>
  <c r="Z99" i="2"/>
  <c r="X99" i="2"/>
  <c r="U98" i="2"/>
  <c r="S98" i="2"/>
  <c r="T98" i="2" s="1"/>
  <c r="P99" i="2"/>
  <c r="N99" i="2"/>
  <c r="Q98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O98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K99" i="2"/>
  <c r="I99" i="2"/>
  <c r="L98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J98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8" i="2"/>
  <c r="G82" i="2"/>
  <c r="F99" i="2"/>
  <c r="D99" i="2"/>
  <c r="E83" i="2"/>
  <c r="E84" i="2"/>
  <c r="E85" i="2"/>
  <c r="E86" i="2"/>
  <c r="E87" i="2"/>
  <c r="E89" i="2"/>
  <c r="E90" i="2"/>
  <c r="E91" i="2"/>
  <c r="E92" i="2"/>
  <c r="E93" i="2"/>
  <c r="E94" i="2"/>
  <c r="E95" i="2"/>
  <c r="E96" i="2"/>
  <c r="E98" i="2"/>
  <c r="E82" i="2"/>
  <c r="CC74" i="2"/>
  <c r="CC75" i="2"/>
  <c r="CC63" i="2"/>
  <c r="CC51" i="2"/>
  <c r="CC40" i="2"/>
  <c r="CA76" i="2"/>
  <c r="CB76" i="2" s="1"/>
  <c r="CA63" i="2"/>
  <c r="CB63" i="2" s="1"/>
  <c r="CA40" i="2"/>
  <c r="CB40" i="2" s="1"/>
  <c r="CA36" i="2"/>
  <c r="CB36" i="2" s="1"/>
  <c r="CC36" i="2"/>
  <c r="BP77" i="2"/>
  <c r="BI75" i="2"/>
  <c r="BI74" i="2"/>
  <c r="BI63" i="2"/>
  <c r="BI51" i="2"/>
  <c r="BI40" i="2"/>
  <c r="BG76" i="2"/>
  <c r="BH76" i="2" s="1"/>
  <c r="BG63" i="2"/>
  <c r="BH63" i="2" s="1"/>
  <c r="BG40" i="2"/>
  <c r="BH40" i="2" s="1"/>
  <c r="AQ77" i="2"/>
  <c r="AL77" i="2"/>
  <c r="AG77" i="2"/>
  <c r="AB77" i="2"/>
  <c r="W77" i="2"/>
  <c r="R77" i="2"/>
  <c r="M77" i="2"/>
  <c r="AO74" i="2"/>
  <c r="AO63" i="2"/>
  <c r="AO51" i="2"/>
  <c r="AO40" i="2"/>
  <c r="AM76" i="2"/>
  <c r="AN76" i="2" s="1"/>
  <c r="AM40" i="2"/>
  <c r="AN40" i="2" s="1"/>
  <c r="U74" i="2"/>
  <c r="U63" i="2"/>
  <c r="S76" i="2"/>
  <c r="S63" i="2"/>
  <c r="T63" i="2" s="1"/>
  <c r="U50" i="2"/>
  <c r="U51" i="2"/>
  <c r="U37" i="2"/>
  <c r="U38" i="2"/>
  <c r="U39" i="2"/>
  <c r="U40" i="2"/>
  <c r="S51" i="2"/>
  <c r="T51" i="2" s="1"/>
  <c r="S52" i="2"/>
  <c r="T52" i="2" s="1"/>
  <c r="S40" i="2"/>
  <c r="Q74" i="2"/>
  <c r="Q73" i="2"/>
  <c r="Q72" i="2"/>
  <c r="Q71" i="2"/>
  <c r="Q70" i="2"/>
  <c r="Q69" i="2"/>
  <c r="Q68" i="2"/>
  <c r="Q67" i="2"/>
  <c r="Q66" i="2"/>
  <c r="Q65" i="2"/>
  <c r="Q63" i="2"/>
  <c r="Q62" i="2"/>
  <c r="Q61" i="2"/>
  <c r="Q60" i="2"/>
  <c r="Q59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O76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3" i="2"/>
  <c r="O52" i="2"/>
  <c r="O51" i="2"/>
  <c r="O50" i="2"/>
  <c r="O49" i="2"/>
  <c r="O48" i="2"/>
  <c r="O47" i="2"/>
  <c r="O46" i="2"/>
  <c r="O45" i="2"/>
  <c r="O44" i="2"/>
  <c r="O43" i="2"/>
  <c r="O42" i="2"/>
  <c r="O40" i="2"/>
  <c r="O39" i="2"/>
  <c r="O38" i="2"/>
  <c r="O37" i="2"/>
  <c r="O36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J47" i="2"/>
  <c r="J48" i="2"/>
  <c r="J49" i="2"/>
  <c r="J50" i="2"/>
  <c r="J51" i="2"/>
  <c r="J52" i="2"/>
  <c r="J53" i="2"/>
  <c r="J46" i="2"/>
  <c r="J44" i="2"/>
  <c r="J43" i="2"/>
  <c r="J42" i="2"/>
  <c r="J41" i="2"/>
  <c r="J40" i="2"/>
  <c r="J39" i="2"/>
  <c r="J38" i="2"/>
  <c r="J37" i="2"/>
  <c r="J36" i="2"/>
  <c r="BX5" i="2"/>
  <c r="BS5" i="2"/>
  <c r="BN5" i="2"/>
  <c r="BD5" i="2"/>
  <c r="AY5" i="2"/>
  <c r="AT5" i="2"/>
  <c r="P31" i="2" l="1"/>
  <c r="P4" i="2" s="1"/>
  <c r="AX99" i="2"/>
  <c r="CH63" i="2"/>
  <c r="AS99" i="2"/>
  <c r="BJ40" i="2"/>
  <c r="AU99" i="2"/>
  <c r="BJ63" i="2"/>
  <c r="CD36" i="2"/>
  <c r="AI99" i="2"/>
  <c r="AK99" i="2"/>
  <c r="CH74" i="2"/>
  <c r="AZ99" i="2"/>
  <c r="CH40" i="2"/>
  <c r="AP98" i="2"/>
  <c r="AA99" i="2"/>
  <c r="CH98" i="2"/>
  <c r="V98" i="2"/>
  <c r="T40" i="2"/>
  <c r="CF40" i="2"/>
  <c r="CG40" i="2" s="1"/>
  <c r="V51" i="2"/>
  <c r="CH51" i="2"/>
  <c r="CF76" i="2"/>
  <c r="CG76" i="2" s="1"/>
  <c r="T76" i="2"/>
  <c r="CD63" i="2"/>
  <c r="AP40" i="2"/>
  <c r="Y99" i="2"/>
  <c r="AD99" i="2"/>
  <c r="V40" i="2"/>
  <c r="V63" i="2"/>
  <c r="CD40" i="2"/>
  <c r="O99" i="2"/>
  <c r="CE77" i="2"/>
  <c r="BU77" i="2"/>
  <c r="BK77" i="2"/>
  <c r="BF77" i="2"/>
  <c r="BA77" i="2"/>
  <c r="AV77" i="2"/>
  <c r="M54" i="2"/>
  <c r="H54" i="2"/>
  <c r="C54" i="2"/>
  <c r="AF99" i="2"/>
  <c r="Q99" i="2"/>
  <c r="L99" i="2"/>
  <c r="P5" i="2" l="1"/>
  <c r="CI40" i="2"/>
  <c r="J68" i="2"/>
  <c r="E68" i="2"/>
  <c r="E64" i="2"/>
  <c r="E45" i="2"/>
  <c r="E41" i="2"/>
  <c r="G75" i="2"/>
  <c r="G47" i="2"/>
  <c r="G48" i="2"/>
  <c r="G49" i="2"/>
  <c r="G50" i="2"/>
  <c r="G51" i="2"/>
  <c r="G52" i="2"/>
  <c r="G53" i="2"/>
  <c r="G46" i="2"/>
  <c r="G45" i="2"/>
  <c r="G43" i="2"/>
  <c r="G44" i="2"/>
  <c r="G42" i="2"/>
  <c r="G41" i="2"/>
  <c r="G37" i="2"/>
  <c r="G38" i="2"/>
  <c r="G39" i="2"/>
  <c r="G40" i="2"/>
  <c r="G36" i="2"/>
  <c r="E47" i="2"/>
  <c r="E48" i="2"/>
  <c r="E49" i="2"/>
  <c r="E50" i="2"/>
  <c r="E51" i="2"/>
  <c r="E52" i="2"/>
  <c r="E53" i="2"/>
  <c r="E46" i="2"/>
  <c r="E43" i="2"/>
  <c r="E44" i="2"/>
  <c r="E42" i="2"/>
  <c r="E37" i="2"/>
  <c r="E38" i="2"/>
  <c r="E39" i="2"/>
  <c r="E40" i="2"/>
  <c r="E36" i="2"/>
  <c r="CC4" i="2"/>
  <c r="BI4" i="2"/>
  <c r="E3" i="2"/>
  <c r="AF48" i="3"/>
  <c r="AF11" i="3" s="1"/>
  <c r="AE11" i="3"/>
  <c r="AD48" i="3"/>
  <c r="AD11" i="3" s="1"/>
  <c r="AC11" i="3"/>
  <c r="AB48" i="3"/>
  <c r="AA11" i="3"/>
  <c r="X48" i="3"/>
  <c r="X11" i="3" s="1"/>
  <c r="W11" i="3"/>
  <c r="V48" i="3"/>
  <c r="V11" i="3" s="1"/>
  <c r="T48" i="3"/>
  <c r="S11" i="3"/>
  <c r="P48" i="3"/>
  <c r="P11" i="3" s="1"/>
  <c r="N48" i="3"/>
  <c r="L48" i="3"/>
  <c r="L11" i="3" s="1"/>
  <c r="H48" i="3"/>
  <c r="H11" i="3" s="1"/>
  <c r="G11" i="3"/>
  <c r="F48" i="3"/>
  <c r="F11" i="3" s="1"/>
  <c r="D48" i="3"/>
  <c r="D11" i="3" s="1"/>
  <c r="C11" i="3"/>
  <c r="AH47" i="3"/>
  <c r="Z47" i="3"/>
  <c r="R47" i="3"/>
  <c r="J47" i="3"/>
  <c r="AH46" i="3"/>
  <c r="Z46" i="3"/>
  <c r="R46" i="3"/>
  <c r="J46" i="3"/>
  <c r="AH45" i="3"/>
  <c r="Z45" i="3"/>
  <c r="R45" i="3"/>
  <c r="J45" i="3"/>
  <c r="AH44" i="3"/>
  <c r="Z44" i="3"/>
  <c r="R44" i="3"/>
  <c r="J44" i="3"/>
  <c r="AH43" i="3"/>
  <c r="Z43" i="3"/>
  <c r="R43" i="3"/>
  <c r="J43" i="3"/>
  <c r="AH42" i="3"/>
  <c r="Z42" i="3"/>
  <c r="R42" i="3"/>
  <c r="J42" i="3"/>
  <c r="AF39" i="3"/>
  <c r="AF10" i="3" s="1"/>
  <c r="AE10" i="3"/>
  <c r="AD39" i="3"/>
  <c r="AD10" i="3" s="1"/>
  <c r="AB39" i="3"/>
  <c r="AB10" i="3" s="1"/>
  <c r="AA10" i="3"/>
  <c r="X39" i="3"/>
  <c r="V39" i="3"/>
  <c r="V10" i="3" s="1"/>
  <c r="U10" i="3"/>
  <c r="T39" i="3"/>
  <c r="T10" i="3" s="1"/>
  <c r="P39" i="3"/>
  <c r="P10" i="3" s="1"/>
  <c r="O10" i="3"/>
  <c r="N39" i="3"/>
  <c r="N10" i="3" s="1"/>
  <c r="L39" i="3"/>
  <c r="L10" i="3" s="1"/>
  <c r="K10" i="3"/>
  <c r="H39" i="3"/>
  <c r="H10" i="3" s="1"/>
  <c r="G10" i="3"/>
  <c r="F39" i="3"/>
  <c r="F10" i="3" s="1"/>
  <c r="E10" i="3"/>
  <c r="D39" i="3"/>
  <c r="D10" i="3" s="1"/>
  <c r="AH38" i="3"/>
  <c r="Z38" i="3"/>
  <c r="R38" i="3"/>
  <c r="J38" i="3"/>
  <c r="AH37" i="3"/>
  <c r="Z37" i="3"/>
  <c r="R37" i="3"/>
  <c r="J37" i="3"/>
  <c r="AH36" i="3"/>
  <c r="Z36" i="3"/>
  <c r="R36" i="3"/>
  <c r="J36" i="3"/>
  <c r="AH35" i="3"/>
  <c r="Z35" i="3"/>
  <c r="R35" i="3"/>
  <c r="J35" i="3"/>
  <c r="AH34" i="3"/>
  <c r="Z34" i="3"/>
  <c r="R34" i="3"/>
  <c r="J34" i="3"/>
  <c r="AH33" i="3"/>
  <c r="Z33" i="3"/>
  <c r="R33" i="3"/>
  <c r="J33" i="3"/>
  <c r="AF30" i="3"/>
  <c r="AF9" i="3" s="1"/>
  <c r="AE9" i="3"/>
  <c r="AD30" i="3"/>
  <c r="AD9" i="3" s="1"/>
  <c r="AB30" i="3"/>
  <c r="AB9" i="3" s="1"/>
  <c r="AA9" i="3"/>
  <c r="X30" i="3"/>
  <c r="X9" i="3" s="1"/>
  <c r="V30" i="3"/>
  <c r="U9" i="3"/>
  <c r="T30" i="3"/>
  <c r="T9" i="3" s="1"/>
  <c r="P30" i="3"/>
  <c r="P9" i="3" s="1"/>
  <c r="O9" i="3"/>
  <c r="N30" i="3"/>
  <c r="N9" i="3" s="1"/>
  <c r="L30" i="3"/>
  <c r="L9" i="3" s="1"/>
  <c r="K9" i="3"/>
  <c r="H30" i="3"/>
  <c r="H9" i="3" s="1"/>
  <c r="G9" i="3"/>
  <c r="F9" i="3"/>
  <c r="E9" i="3"/>
  <c r="D30" i="3"/>
  <c r="D9" i="3" s="1"/>
  <c r="AH29" i="3"/>
  <c r="Z29" i="3"/>
  <c r="R29" i="3"/>
  <c r="J29" i="3"/>
  <c r="AH28" i="3"/>
  <c r="Z28" i="3"/>
  <c r="R28" i="3"/>
  <c r="J28" i="3"/>
  <c r="AH27" i="3"/>
  <c r="Z27" i="3"/>
  <c r="R27" i="3"/>
  <c r="J27" i="3"/>
  <c r="AH26" i="3"/>
  <c r="Z26" i="3"/>
  <c r="R26" i="3"/>
  <c r="J26" i="3"/>
  <c r="AH25" i="3"/>
  <c r="Z25" i="3"/>
  <c r="R25" i="3"/>
  <c r="J25" i="3"/>
  <c r="AH24" i="3"/>
  <c r="AH30" i="3" s="1"/>
  <c r="Z24" i="3"/>
  <c r="Z30" i="3" s="1"/>
  <c r="R24" i="3"/>
  <c r="R30" i="3" s="1"/>
  <c r="J24" i="3"/>
  <c r="J30" i="3" s="1"/>
  <c r="AF21" i="3"/>
  <c r="AF8" i="3" s="1"/>
  <c r="AE8" i="3"/>
  <c r="AD21" i="3"/>
  <c r="AD8" i="3" s="1"/>
  <c r="AB21" i="3"/>
  <c r="AA8" i="3"/>
  <c r="X21" i="3"/>
  <c r="X8" i="3" s="1"/>
  <c r="V21" i="3"/>
  <c r="V8" i="3" s="1"/>
  <c r="U8" i="3"/>
  <c r="T21" i="3"/>
  <c r="T8" i="3" s="1"/>
  <c r="P21" i="3"/>
  <c r="P8" i="3" s="1"/>
  <c r="O8" i="3"/>
  <c r="N21" i="3"/>
  <c r="L21" i="3"/>
  <c r="L8" i="3" s="1"/>
  <c r="K8" i="3"/>
  <c r="H8" i="3"/>
  <c r="G8" i="3"/>
  <c r="F21" i="3"/>
  <c r="F8" i="3" s="1"/>
  <c r="E8" i="3"/>
  <c r="D21" i="3"/>
  <c r="D8" i="3" s="1"/>
  <c r="AH20" i="3"/>
  <c r="Z20" i="3"/>
  <c r="R20" i="3"/>
  <c r="J20" i="3"/>
  <c r="AH19" i="3"/>
  <c r="Z19" i="3"/>
  <c r="R19" i="3"/>
  <c r="J19" i="3"/>
  <c r="AH18" i="3"/>
  <c r="Z18" i="3"/>
  <c r="R18" i="3"/>
  <c r="J18" i="3"/>
  <c r="AH17" i="3"/>
  <c r="Z17" i="3"/>
  <c r="R17" i="3"/>
  <c r="J17" i="3"/>
  <c r="AB11" i="3"/>
  <c r="U11" i="3"/>
  <c r="T11" i="3"/>
  <c r="O11" i="3"/>
  <c r="N11" i="3"/>
  <c r="M11" i="3"/>
  <c r="K11" i="3"/>
  <c r="E11" i="3"/>
  <c r="AC10" i="3"/>
  <c r="X10" i="3"/>
  <c r="W10" i="3"/>
  <c r="S10" i="3"/>
  <c r="M10" i="3"/>
  <c r="C10" i="3"/>
  <c r="AC9" i="3"/>
  <c r="W9" i="3"/>
  <c r="V9" i="3"/>
  <c r="S9" i="3"/>
  <c r="M9" i="3"/>
  <c r="C9" i="3"/>
  <c r="AC8" i="3"/>
  <c r="AB8" i="3"/>
  <c r="W8" i="3"/>
  <c r="S8" i="3"/>
  <c r="N8" i="3"/>
  <c r="M8" i="3"/>
  <c r="C8" i="3"/>
  <c r="AH6" i="3"/>
  <c r="Z6" i="3"/>
  <c r="R6" i="3"/>
  <c r="J6" i="3"/>
  <c r="AH5" i="3"/>
  <c r="Z5" i="3"/>
  <c r="R5" i="3"/>
  <c r="J5" i="3"/>
  <c r="AH4" i="3"/>
  <c r="Z4" i="3"/>
  <c r="R4" i="3"/>
  <c r="J4" i="3"/>
  <c r="AH3" i="3"/>
  <c r="Z3" i="3"/>
  <c r="R3" i="3"/>
  <c r="J3" i="3"/>
  <c r="L3" i="2"/>
  <c r="BV99" i="2"/>
  <c r="BQ99" i="2"/>
  <c r="BL99" i="2"/>
  <c r="BB99" i="2"/>
  <c r="CA98" i="2"/>
  <c r="BG98" i="2"/>
  <c r="CC96" i="2"/>
  <c r="CA96" i="2"/>
  <c r="CB96" i="2" s="1"/>
  <c r="BI96" i="2"/>
  <c r="BG96" i="2"/>
  <c r="BH96" i="2" s="1"/>
  <c r="AO96" i="2"/>
  <c r="AM96" i="2"/>
  <c r="AN96" i="2" s="1"/>
  <c r="U96" i="2"/>
  <c r="S96" i="2"/>
  <c r="T96" i="2" s="1"/>
  <c r="CC95" i="2"/>
  <c r="CA95" i="2"/>
  <c r="CB95" i="2" s="1"/>
  <c r="BI95" i="2"/>
  <c r="BG95" i="2"/>
  <c r="BH95" i="2" s="1"/>
  <c r="AO95" i="2"/>
  <c r="AM95" i="2"/>
  <c r="AN95" i="2" s="1"/>
  <c r="U95" i="2"/>
  <c r="S95" i="2"/>
  <c r="T95" i="2" s="1"/>
  <c r="CC94" i="2"/>
  <c r="CA94" i="2"/>
  <c r="CB94" i="2" s="1"/>
  <c r="BI94" i="2"/>
  <c r="BG94" i="2"/>
  <c r="BH94" i="2" s="1"/>
  <c r="AO94" i="2"/>
  <c r="AM94" i="2"/>
  <c r="AN94" i="2" s="1"/>
  <c r="U94" i="2"/>
  <c r="S94" i="2"/>
  <c r="CC93" i="2"/>
  <c r="CA93" i="2"/>
  <c r="CB93" i="2" s="1"/>
  <c r="BI93" i="2"/>
  <c r="BG93" i="2"/>
  <c r="BH93" i="2" s="1"/>
  <c r="AO93" i="2"/>
  <c r="AM93" i="2"/>
  <c r="AN93" i="2" s="1"/>
  <c r="U93" i="2"/>
  <c r="S93" i="2"/>
  <c r="CC92" i="2"/>
  <c r="CA92" i="2"/>
  <c r="CB92" i="2" s="1"/>
  <c r="BI92" i="2"/>
  <c r="BG92" i="2"/>
  <c r="BH92" i="2" s="1"/>
  <c r="AO92" i="2"/>
  <c r="AM92" i="2"/>
  <c r="AN92" i="2" s="1"/>
  <c r="U92" i="2"/>
  <c r="S92" i="2"/>
  <c r="T92" i="2" s="1"/>
  <c r="CC91" i="2"/>
  <c r="CA91" i="2"/>
  <c r="CB91" i="2" s="1"/>
  <c r="BI91" i="2"/>
  <c r="BG91" i="2"/>
  <c r="BH91" i="2" s="1"/>
  <c r="AO91" i="2"/>
  <c r="AM91" i="2"/>
  <c r="AN91" i="2" s="1"/>
  <c r="U91" i="2"/>
  <c r="S91" i="2"/>
  <c r="T91" i="2" s="1"/>
  <c r="CC90" i="2"/>
  <c r="CA90" i="2"/>
  <c r="CB90" i="2" s="1"/>
  <c r="BI90" i="2"/>
  <c r="BG90" i="2"/>
  <c r="BH90" i="2" s="1"/>
  <c r="AO90" i="2"/>
  <c r="AM90" i="2"/>
  <c r="AN90" i="2" s="1"/>
  <c r="U90" i="2"/>
  <c r="S90" i="2"/>
  <c r="CC89" i="2"/>
  <c r="CA89" i="2"/>
  <c r="CB89" i="2" s="1"/>
  <c r="BI89" i="2"/>
  <c r="BG89" i="2"/>
  <c r="BH89" i="2" s="1"/>
  <c r="AO89" i="2"/>
  <c r="AM89" i="2"/>
  <c r="AN89" i="2" s="1"/>
  <c r="U89" i="2"/>
  <c r="S89" i="2"/>
  <c r="CC88" i="2"/>
  <c r="CA88" i="2"/>
  <c r="CB88" i="2" s="1"/>
  <c r="BI88" i="2"/>
  <c r="BG88" i="2"/>
  <c r="BH88" i="2" s="1"/>
  <c r="AO88" i="2"/>
  <c r="AM88" i="2"/>
  <c r="AN88" i="2" s="1"/>
  <c r="U88" i="2"/>
  <c r="S88" i="2"/>
  <c r="T88" i="2" s="1"/>
  <c r="CC87" i="2"/>
  <c r="CA87" i="2"/>
  <c r="CB87" i="2" s="1"/>
  <c r="BI87" i="2"/>
  <c r="BG87" i="2"/>
  <c r="BH87" i="2" s="1"/>
  <c r="AO87" i="2"/>
  <c r="AM87" i="2"/>
  <c r="AN87" i="2" s="1"/>
  <c r="U87" i="2"/>
  <c r="S87" i="2"/>
  <c r="T87" i="2" s="1"/>
  <c r="CC86" i="2"/>
  <c r="CA86" i="2"/>
  <c r="CB86" i="2" s="1"/>
  <c r="BI86" i="2"/>
  <c r="BG86" i="2"/>
  <c r="BH86" i="2" s="1"/>
  <c r="AO86" i="2"/>
  <c r="AM86" i="2"/>
  <c r="AN86" i="2" s="1"/>
  <c r="S86" i="2"/>
  <c r="T86" i="2" s="1"/>
  <c r="CC85" i="2"/>
  <c r="CA85" i="2"/>
  <c r="CB85" i="2" s="1"/>
  <c r="BI85" i="2"/>
  <c r="BG85" i="2"/>
  <c r="BH85" i="2" s="1"/>
  <c r="AO85" i="2"/>
  <c r="AM85" i="2"/>
  <c r="AN85" i="2" s="1"/>
  <c r="S85" i="2"/>
  <c r="T85" i="2" s="1"/>
  <c r="CC84" i="2"/>
  <c r="CA84" i="2"/>
  <c r="CB84" i="2" s="1"/>
  <c r="BI84" i="2"/>
  <c r="BG84" i="2"/>
  <c r="BH84" i="2" s="1"/>
  <c r="AO84" i="2"/>
  <c r="AM84" i="2"/>
  <c r="AN84" i="2" s="1"/>
  <c r="U84" i="2"/>
  <c r="S84" i="2"/>
  <c r="T84" i="2" s="1"/>
  <c r="CC83" i="2"/>
  <c r="CA83" i="2"/>
  <c r="BI83" i="2"/>
  <c r="BG83" i="2"/>
  <c r="BH83" i="2" s="1"/>
  <c r="AO83" i="2"/>
  <c r="AM83" i="2"/>
  <c r="AN83" i="2" s="1"/>
  <c r="U83" i="2"/>
  <c r="S83" i="2"/>
  <c r="T83" i="2" s="1"/>
  <c r="CC82" i="2"/>
  <c r="BI82" i="2"/>
  <c r="BG82" i="2"/>
  <c r="BH82" i="2" s="1"/>
  <c r="AO82" i="2"/>
  <c r="AM82" i="2"/>
  <c r="U82" i="2"/>
  <c r="S82" i="2"/>
  <c r="L74" i="2"/>
  <c r="L73" i="2"/>
  <c r="L72" i="2"/>
  <c r="L71" i="2"/>
  <c r="L70" i="2"/>
  <c r="L69" i="2"/>
  <c r="L68" i="2"/>
  <c r="L67" i="2"/>
  <c r="L66" i="2"/>
  <c r="L65" i="2"/>
  <c r="L63" i="2"/>
  <c r="L62" i="2"/>
  <c r="L61" i="2"/>
  <c r="L60" i="2"/>
  <c r="L59" i="2"/>
  <c r="J76" i="2"/>
  <c r="J74" i="2"/>
  <c r="J73" i="2"/>
  <c r="J72" i="2"/>
  <c r="J71" i="2"/>
  <c r="J70" i="2"/>
  <c r="J69" i="2"/>
  <c r="J67" i="2"/>
  <c r="J66" i="2"/>
  <c r="J65" i="2"/>
  <c r="J63" i="2"/>
  <c r="J62" i="2"/>
  <c r="J61" i="2"/>
  <c r="J60" i="2"/>
  <c r="J59" i="2"/>
  <c r="G70" i="2"/>
  <c r="G71" i="2"/>
  <c r="G72" i="2"/>
  <c r="G73" i="2"/>
  <c r="G74" i="2"/>
  <c r="G69" i="2"/>
  <c r="G68" i="2"/>
  <c r="G67" i="2"/>
  <c r="G66" i="2"/>
  <c r="G65" i="2"/>
  <c r="G63" i="2"/>
  <c r="G62" i="2"/>
  <c r="G61" i="2"/>
  <c r="G60" i="2"/>
  <c r="E70" i="2"/>
  <c r="E71" i="2"/>
  <c r="E72" i="2"/>
  <c r="E73" i="2"/>
  <c r="E74" i="2"/>
  <c r="E75" i="2"/>
  <c r="E76" i="2"/>
  <c r="E69" i="2"/>
  <c r="E66" i="2"/>
  <c r="E67" i="2"/>
  <c r="E65" i="2"/>
  <c r="E63" i="2"/>
  <c r="E62" i="2"/>
  <c r="E61" i="2"/>
  <c r="E60" i="2"/>
  <c r="E59" i="2"/>
  <c r="G64" i="2" s="1"/>
  <c r="G59" i="2" l="1"/>
  <c r="R39" i="3"/>
  <c r="L12" i="3"/>
  <c r="G12" i="3"/>
  <c r="H12" i="3"/>
  <c r="AJ17" i="3"/>
  <c r="AP95" i="2"/>
  <c r="AP96" i="2"/>
  <c r="AJ20" i="3"/>
  <c r="BJ96" i="2"/>
  <c r="CD94" i="2"/>
  <c r="CD95" i="2"/>
  <c r="CD96" i="2"/>
  <c r="Z21" i="3"/>
  <c r="AP86" i="2"/>
  <c r="CD86" i="2"/>
  <c r="AP87" i="2"/>
  <c r="CD87" i="2"/>
  <c r="AP88" i="2"/>
  <c r="CD88" i="2"/>
  <c r="AP89" i="2"/>
  <c r="CD89" i="2"/>
  <c r="AP90" i="2"/>
  <c r="CD90" i="2"/>
  <c r="AP91" i="2"/>
  <c r="CD91" i="2"/>
  <c r="AP92" i="2"/>
  <c r="CD92" i="2"/>
  <c r="AP93" i="2"/>
  <c r="CD93" i="2"/>
  <c r="AP94" i="2"/>
  <c r="AP83" i="2"/>
  <c r="CD83" i="2"/>
  <c r="AP84" i="2"/>
  <c r="CD84" i="2"/>
  <c r="AP85" i="2"/>
  <c r="CD85" i="2"/>
  <c r="AJ18" i="3"/>
  <c r="AJ19" i="3"/>
  <c r="CC99" i="2"/>
  <c r="CD82" i="2"/>
  <c r="CF89" i="2"/>
  <c r="CG89" i="2" s="1"/>
  <c r="T89" i="2"/>
  <c r="CF90" i="2"/>
  <c r="CG90" i="2" s="1"/>
  <c r="T90" i="2"/>
  <c r="CF93" i="2"/>
  <c r="CG93" i="2" s="1"/>
  <c r="T93" i="2"/>
  <c r="CF94" i="2"/>
  <c r="CG94" i="2" s="1"/>
  <c r="T94" i="2"/>
  <c r="BH98" i="2"/>
  <c r="BJ98" i="2"/>
  <c r="S99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CB98" i="2"/>
  <c r="CD98" i="2"/>
  <c r="V3" i="2"/>
  <c r="V82" i="2"/>
  <c r="U99" i="2"/>
  <c r="BE99" i="2"/>
  <c r="BC99" i="2"/>
  <c r="BO99" i="2"/>
  <c r="BM99" i="2"/>
  <c r="AP82" i="2"/>
  <c r="AO99" i="2"/>
  <c r="BT99" i="2"/>
  <c r="BR99" i="2"/>
  <c r="AM99" i="2"/>
  <c r="AN99" i="2" s="1"/>
  <c r="AN82" i="2"/>
  <c r="BJ83" i="2"/>
  <c r="BJ84" i="2"/>
  <c r="BJ85" i="2"/>
  <c r="BJ86" i="2"/>
  <c r="BJ87" i="2"/>
  <c r="BJ88" i="2"/>
  <c r="BJ89" i="2"/>
  <c r="BJ90" i="2"/>
  <c r="BJ91" i="2"/>
  <c r="BJ92" i="2"/>
  <c r="BJ93" i="2"/>
  <c r="BJ94" i="2"/>
  <c r="BJ95" i="2"/>
  <c r="BW99" i="2"/>
  <c r="BY99" i="2"/>
  <c r="BI99" i="2"/>
  <c r="BJ82" i="2"/>
  <c r="CB83" i="2"/>
  <c r="CA99" i="2"/>
  <c r="CB99" i="2" s="1"/>
  <c r="BI5" i="2"/>
  <c r="CC5" i="2"/>
  <c r="Q3" i="2"/>
  <c r="AP3" i="2"/>
  <c r="Q9" i="3"/>
  <c r="AH11" i="3"/>
  <c r="AJ46" i="3"/>
  <c r="AB12" i="3"/>
  <c r="J39" i="3"/>
  <c r="AC12" i="3"/>
  <c r="R11" i="3"/>
  <c r="R8" i="3"/>
  <c r="AF12" i="3"/>
  <c r="Y9" i="3"/>
  <c r="AE12" i="3"/>
  <c r="Y11" i="3"/>
  <c r="R48" i="3"/>
  <c r="J11" i="3"/>
  <c r="AG11" i="3"/>
  <c r="E12" i="3"/>
  <c r="AA12" i="3"/>
  <c r="AJ25" i="3"/>
  <c r="AJ27" i="3"/>
  <c r="AJ29" i="3"/>
  <c r="J9" i="3"/>
  <c r="Z9" i="3"/>
  <c r="AH39" i="3"/>
  <c r="W12" i="3"/>
  <c r="Y8" i="3"/>
  <c r="U12" i="3"/>
  <c r="Y10" i="3"/>
  <c r="V12" i="3"/>
  <c r="S12" i="3"/>
  <c r="I10" i="3"/>
  <c r="Z8" i="3"/>
  <c r="T12" i="3"/>
  <c r="X12" i="3"/>
  <c r="AD12" i="3"/>
  <c r="R10" i="3"/>
  <c r="AJ35" i="3"/>
  <c r="AJ37" i="3"/>
  <c r="Z48" i="3"/>
  <c r="AJ45" i="3"/>
  <c r="K12" i="3"/>
  <c r="R9" i="3"/>
  <c r="AH9" i="3"/>
  <c r="AH10" i="3"/>
  <c r="J21" i="3"/>
  <c r="C12" i="3"/>
  <c r="M12" i="3"/>
  <c r="AG8" i="3"/>
  <c r="I9" i="3"/>
  <c r="Q10" i="3"/>
  <c r="AG10" i="3"/>
  <c r="I11" i="3"/>
  <c r="Z11" i="3"/>
  <c r="R21" i="3"/>
  <c r="AH21" i="3"/>
  <c r="AJ26" i="3"/>
  <c r="AJ28" i="3"/>
  <c r="Z39" i="3"/>
  <c r="J48" i="3"/>
  <c r="AJ44" i="3"/>
  <c r="J10" i="3"/>
  <c r="F12" i="3"/>
  <c r="P12" i="3"/>
  <c r="AH8" i="3"/>
  <c r="AJ4" i="3"/>
  <c r="AJ5" i="3"/>
  <c r="AJ6" i="3"/>
  <c r="J8" i="3"/>
  <c r="I8" i="3"/>
  <c r="N12" i="3"/>
  <c r="AG9" i="3"/>
  <c r="Z10" i="3"/>
  <c r="Q11" i="3"/>
  <c r="AJ34" i="3"/>
  <c r="AJ36" i="3"/>
  <c r="AJ38" i="3"/>
  <c r="AH48" i="3"/>
  <c r="AJ43" i="3"/>
  <c r="AJ47" i="3"/>
  <c r="T82" i="2"/>
  <c r="Q75" i="2"/>
  <c r="O75" i="2"/>
  <c r="U75" i="2"/>
  <c r="O12" i="3"/>
  <c r="Q8" i="3"/>
  <c r="D12" i="3"/>
  <c r="AJ42" i="3"/>
  <c r="AJ24" i="3"/>
  <c r="AJ33" i="3"/>
  <c r="AJ3" i="3"/>
  <c r="CF86" i="2"/>
  <c r="CG86" i="2" s="1"/>
  <c r="CF87" i="2"/>
  <c r="CG87" i="2" s="1"/>
  <c r="CF92" i="2"/>
  <c r="CG92" i="2" s="1"/>
  <c r="CF96" i="2"/>
  <c r="CG96" i="2" s="1"/>
  <c r="CF91" i="2"/>
  <c r="CG91" i="2" s="1"/>
  <c r="CF95" i="2"/>
  <c r="CG95" i="2" s="1"/>
  <c r="CF98" i="2"/>
  <c r="CF84" i="2"/>
  <c r="CG84" i="2" s="1"/>
  <c r="CF88" i="2"/>
  <c r="CG88" i="2" s="1"/>
  <c r="G99" i="2"/>
  <c r="CF85" i="2"/>
  <c r="CG85" i="2" s="1"/>
  <c r="J99" i="2"/>
  <c r="CH3" i="2"/>
  <c r="CG3" i="2"/>
  <c r="CF83" i="2"/>
  <c r="CG83" i="2" s="1"/>
  <c r="CH82" i="2"/>
  <c r="CF82" i="2"/>
  <c r="CG82" i="2" s="1"/>
  <c r="CH96" i="2"/>
  <c r="CH83" i="2"/>
  <c r="CH84" i="2"/>
  <c r="BG99" i="2"/>
  <c r="BH99" i="2" s="1"/>
  <c r="CH85" i="2"/>
  <c r="CH86" i="2"/>
  <c r="CH87" i="2"/>
  <c r="CH88" i="2"/>
  <c r="CH89" i="2"/>
  <c r="CH90" i="2"/>
  <c r="CH91" i="2"/>
  <c r="CH92" i="2"/>
  <c r="CH93" i="2"/>
  <c r="CH94" i="2"/>
  <c r="CH95" i="2"/>
  <c r="AM75" i="2"/>
  <c r="J75" i="2"/>
  <c r="CA74" i="2"/>
  <c r="BG74" i="2"/>
  <c r="AM74" i="2"/>
  <c r="S74" i="2"/>
  <c r="CC73" i="2"/>
  <c r="CA73" i="2"/>
  <c r="CB73" i="2" s="1"/>
  <c r="BI73" i="2"/>
  <c r="BG73" i="2"/>
  <c r="BH73" i="2" s="1"/>
  <c r="AO73" i="2"/>
  <c r="AM73" i="2"/>
  <c r="AN73" i="2" s="1"/>
  <c r="U73" i="2"/>
  <c r="S73" i="2"/>
  <c r="T73" i="2" s="1"/>
  <c r="CC72" i="2"/>
  <c r="CA72" i="2"/>
  <c r="CB72" i="2" s="1"/>
  <c r="BI72" i="2"/>
  <c r="BG72" i="2"/>
  <c r="BH72" i="2" s="1"/>
  <c r="AO72" i="2"/>
  <c r="AM72" i="2"/>
  <c r="AN72" i="2" s="1"/>
  <c r="U72" i="2"/>
  <c r="S72" i="2"/>
  <c r="T72" i="2" s="1"/>
  <c r="CC71" i="2"/>
  <c r="CA71" i="2"/>
  <c r="CB71" i="2" s="1"/>
  <c r="BI71" i="2"/>
  <c r="BG71" i="2"/>
  <c r="BH71" i="2" s="1"/>
  <c r="AO71" i="2"/>
  <c r="AM71" i="2"/>
  <c r="AN71" i="2" s="1"/>
  <c r="U71" i="2"/>
  <c r="S71" i="2"/>
  <c r="T71" i="2" s="1"/>
  <c r="CC70" i="2"/>
  <c r="CA70" i="2"/>
  <c r="CB70" i="2" s="1"/>
  <c r="BI70" i="2"/>
  <c r="BG70" i="2"/>
  <c r="BH70" i="2" s="1"/>
  <c r="AO70" i="2"/>
  <c r="AM70" i="2"/>
  <c r="AN70" i="2" s="1"/>
  <c r="U70" i="2"/>
  <c r="S70" i="2"/>
  <c r="T70" i="2" s="1"/>
  <c r="CC69" i="2"/>
  <c r="CA69" i="2"/>
  <c r="CB69" i="2" s="1"/>
  <c r="BI69" i="2"/>
  <c r="BG69" i="2"/>
  <c r="BH69" i="2" s="1"/>
  <c r="AO69" i="2"/>
  <c r="AM69" i="2"/>
  <c r="AN69" i="2" s="1"/>
  <c r="U69" i="2"/>
  <c r="S69" i="2"/>
  <c r="T69" i="2" s="1"/>
  <c r="CC68" i="2"/>
  <c r="CA68" i="2"/>
  <c r="CB68" i="2" s="1"/>
  <c r="BI68" i="2"/>
  <c r="BG68" i="2"/>
  <c r="BH68" i="2" s="1"/>
  <c r="AO68" i="2"/>
  <c r="AM68" i="2"/>
  <c r="AN68" i="2" s="1"/>
  <c r="U68" i="2"/>
  <c r="S68" i="2"/>
  <c r="T68" i="2" s="1"/>
  <c r="CC67" i="2"/>
  <c r="BI67" i="2"/>
  <c r="AO67" i="2"/>
  <c r="U67" i="2"/>
  <c r="CC66" i="2"/>
  <c r="BI66" i="2"/>
  <c r="AO66" i="2"/>
  <c r="U66" i="2"/>
  <c r="CC65" i="2"/>
  <c r="BI65" i="2"/>
  <c r="AO65" i="2"/>
  <c r="U65" i="2"/>
  <c r="CC64" i="2"/>
  <c r="BI64" i="2"/>
  <c r="AO64" i="2"/>
  <c r="U64" i="2"/>
  <c r="AM63" i="2"/>
  <c r="CC62" i="2"/>
  <c r="CA62" i="2"/>
  <c r="CB62" i="2" s="1"/>
  <c r="BI62" i="2"/>
  <c r="BG62" i="2"/>
  <c r="BH62" i="2" s="1"/>
  <c r="AO62" i="2"/>
  <c r="AM62" i="2"/>
  <c r="AN62" i="2" s="1"/>
  <c r="U62" i="2"/>
  <c r="S62" i="2"/>
  <c r="T62" i="2" s="1"/>
  <c r="CC61" i="2"/>
  <c r="BI61" i="2"/>
  <c r="AO61" i="2"/>
  <c r="U61" i="2"/>
  <c r="CC60" i="2"/>
  <c r="CA60" i="2"/>
  <c r="CB60" i="2" s="1"/>
  <c r="BI60" i="2"/>
  <c r="BG60" i="2"/>
  <c r="BH60" i="2" s="1"/>
  <c r="AO60" i="2"/>
  <c r="AM60" i="2"/>
  <c r="AN60" i="2" s="1"/>
  <c r="U60" i="2"/>
  <c r="S60" i="2"/>
  <c r="T60" i="2" s="1"/>
  <c r="CC59" i="2"/>
  <c r="CA59" i="2"/>
  <c r="CB59" i="2" s="1"/>
  <c r="BI59" i="2"/>
  <c r="BG59" i="2"/>
  <c r="BH59" i="2" s="1"/>
  <c r="AO59" i="2"/>
  <c r="AM59" i="2"/>
  <c r="AN59" i="2" s="1"/>
  <c r="U59" i="2"/>
  <c r="S59" i="2"/>
  <c r="BZ54" i="2"/>
  <c r="BX54" i="2"/>
  <c r="BS54" i="2"/>
  <c r="BN54" i="2"/>
  <c r="BD54" i="2"/>
  <c r="AY54" i="2"/>
  <c r="AT54" i="2"/>
  <c r="AJ54" i="2"/>
  <c r="AE54" i="2"/>
  <c r="Z54" i="2"/>
  <c r="F54" i="2"/>
  <c r="CC53" i="2"/>
  <c r="BI53" i="2"/>
  <c r="AO53" i="2"/>
  <c r="AC54" i="2"/>
  <c r="U53" i="2"/>
  <c r="D54" i="2"/>
  <c r="E54" i="2" s="1"/>
  <c r="CC52" i="2"/>
  <c r="CA52" i="2"/>
  <c r="CB52" i="2" s="1"/>
  <c r="BI52" i="2"/>
  <c r="BG52" i="2"/>
  <c r="BH52" i="2" s="1"/>
  <c r="AO52" i="2"/>
  <c r="AM52" i="2"/>
  <c r="AN52" i="2" s="1"/>
  <c r="U52" i="2"/>
  <c r="V52" i="2" s="1"/>
  <c r="CA51" i="2"/>
  <c r="BG51" i="2"/>
  <c r="AM51" i="2"/>
  <c r="CC50" i="2"/>
  <c r="CA50" i="2"/>
  <c r="CB50" i="2" s="1"/>
  <c r="BI50" i="2"/>
  <c r="BG50" i="2"/>
  <c r="BH50" i="2" s="1"/>
  <c r="AO50" i="2"/>
  <c r="AM50" i="2"/>
  <c r="AN50" i="2" s="1"/>
  <c r="S50" i="2"/>
  <c r="CC49" i="2"/>
  <c r="CA49" i="2"/>
  <c r="CB49" i="2" s="1"/>
  <c r="BI49" i="2"/>
  <c r="BG49" i="2"/>
  <c r="BH49" i="2" s="1"/>
  <c r="AO49" i="2"/>
  <c r="AM49" i="2"/>
  <c r="AN49" i="2" s="1"/>
  <c r="U49" i="2"/>
  <c r="S49" i="2"/>
  <c r="T49" i="2" s="1"/>
  <c r="CC48" i="2"/>
  <c r="CA48" i="2"/>
  <c r="CB48" i="2" s="1"/>
  <c r="BI48" i="2"/>
  <c r="BG48" i="2"/>
  <c r="BH48" i="2" s="1"/>
  <c r="AO48" i="2"/>
  <c r="AM48" i="2"/>
  <c r="AN48" i="2" s="1"/>
  <c r="U48" i="2"/>
  <c r="S48" i="2"/>
  <c r="T48" i="2" s="1"/>
  <c r="CC47" i="2"/>
  <c r="CA47" i="2"/>
  <c r="CB47" i="2" s="1"/>
  <c r="BI47" i="2"/>
  <c r="BG47" i="2"/>
  <c r="BH47" i="2" s="1"/>
  <c r="AO47" i="2"/>
  <c r="AM47" i="2"/>
  <c r="AN47" i="2" s="1"/>
  <c r="U47" i="2"/>
  <c r="S47" i="2"/>
  <c r="CC46" i="2"/>
  <c r="CA46" i="2"/>
  <c r="CB46" i="2" s="1"/>
  <c r="BI46" i="2"/>
  <c r="BG46" i="2"/>
  <c r="BH46" i="2" s="1"/>
  <c r="AO46" i="2"/>
  <c r="AM46" i="2"/>
  <c r="AN46" i="2" s="1"/>
  <c r="U46" i="2"/>
  <c r="S46" i="2"/>
  <c r="T46" i="2" s="1"/>
  <c r="CC45" i="2"/>
  <c r="CA45" i="2"/>
  <c r="CB45" i="2" s="1"/>
  <c r="BI45" i="2"/>
  <c r="BG45" i="2"/>
  <c r="BH45" i="2" s="1"/>
  <c r="AO45" i="2"/>
  <c r="AM45" i="2"/>
  <c r="AN45" i="2" s="1"/>
  <c r="U45" i="2"/>
  <c r="S45" i="2"/>
  <c r="T45" i="2" s="1"/>
  <c r="CC44" i="2"/>
  <c r="CA44" i="2"/>
  <c r="CB44" i="2" s="1"/>
  <c r="BI44" i="2"/>
  <c r="BG44" i="2"/>
  <c r="BH44" i="2" s="1"/>
  <c r="AO44" i="2"/>
  <c r="AM44" i="2"/>
  <c r="AN44" i="2" s="1"/>
  <c r="U44" i="2"/>
  <c r="S44" i="2"/>
  <c r="T44" i="2" s="1"/>
  <c r="CC43" i="2"/>
  <c r="CA43" i="2"/>
  <c r="CB43" i="2" s="1"/>
  <c r="BI43" i="2"/>
  <c r="BG43" i="2"/>
  <c r="BH43" i="2" s="1"/>
  <c r="AO43" i="2"/>
  <c r="AM43" i="2"/>
  <c r="AN43" i="2" s="1"/>
  <c r="U43" i="2"/>
  <c r="S43" i="2"/>
  <c r="T43" i="2" s="1"/>
  <c r="CC42" i="2"/>
  <c r="CA42" i="2"/>
  <c r="CB42" i="2" s="1"/>
  <c r="BI42" i="2"/>
  <c r="BG42" i="2"/>
  <c r="BH42" i="2" s="1"/>
  <c r="AO42" i="2"/>
  <c r="AM42" i="2"/>
  <c r="AN42" i="2" s="1"/>
  <c r="U42" i="2"/>
  <c r="S42" i="2"/>
  <c r="T42" i="2" s="1"/>
  <c r="CC41" i="2"/>
  <c r="CA41" i="2"/>
  <c r="CB41" i="2" s="1"/>
  <c r="BI41" i="2"/>
  <c r="BG41" i="2"/>
  <c r="BH41" i="2" s="1"/>
  <c r="AO41" i="2"/>
  <c r="AM41" i="2"/>
  <c r="AN41" i="2" s="1"/>
  <c r="U41" i="2"/>
  <c r="S41" i="2"/>
  <c r="T41" i="2" s="1"/>
  <c r="CC39" i="2"/>
  <c r="BI39" i="2"/>
  <c r="AO39" i="2"/>
  <c r="CC38" i="2"/>
  <c r="BI38" i="2"/>
  <c r="AO38" i="2"/>
  <c r="CC37" i="2"/>
  <c r="BI37" i="2"/>
  <c r="AO37" i="2"/>
  <c r="BI36" i="2"/>
  <c r="BG36" i="2"/>
  <c r="BH36" i="2" s="1"/>
  <c r="AO36" i="2"/>
  <c r="AM36" i="2"/>
  <c r="AN36" i="2" s="1"/>
  <c r="U36" i="2"/>
  <c r="S36" i="2"/>
  <c r="O20" i="2"/>
  <c r="O16" i="2"/>
  <c r="J16" i="2"/>
  <c r="E20" i="2"/>
  <c r="E16" i="2"/>
  <c r="CC30" i="2"/>
  <c r="CA30" i="2"/>
  <c r="CC29" i="2"/>
  <c r="CA29" i="2"/>
  <c r="CB29" i="2" s="1"/>
  <c r="CC28" i="2"/>
  <c r="CA28" i="2"/>
  <c r="CB28" i="2" s="1"/>
  <c r="CC27" i="2"/>
  <c r="CA27" i="2"/>
  <c r="CB27" i="2" s="1"/>
  <c r="CC26" i="2"/>
  <c r="CA26" i="2"/>
  <c r="CB26" i="2" s="1"/>
  <c r="CC25" i="2"/>
  <c r="CA25" i="2"/>
  <c r="CB25" i="2" s="1"/>
  <c r="CC24" i="2"/>
  <c r="CA24" i="2"/>
  <c r="CB24" i="2" s="1"/>
  <c r="CC23" i="2"/>
  <c r="CA23" i="2"/>
  <c r="CB23" i="2" s="1"/>
  <c r="CC22" i="2"/>
  <c r="CA22" i="2"/>
  <c r="CB22" i="2" s="1"/>
  <c r="CC21" i="2"/>
  <c r="CA21" i="2"/>
  <c r="CB21" i="2" s="1"/>
  <c r="CC20" i="2"/>
  <c r="CA20" i="2"/>
  <c r="CC19" i="2"/>
  <c r="CA19" i="2"/>
  <c r="CB19" i="2" s="1"/>
  <c r="CC18" i="2"/>
  <c r="CA18" i="2"/>
  <c r="CB18" i="2" s="1"/>
  <c r="CC17" i="2"/>
  <c r="CA17" i="2"/>
  <c r="CB17" i="2" s="1"/>
  <c r="CC16" i="2"/>
  <c r="CA16" i="2"/>
  <c r="CC15" i="2"/>
  <c r="CA15" i="2"/>
  <c r="CB15" i="2" s="1"/>
  <c r="CC14" i="2"/>
  <c r="CA14" i="2"/>
  <c r="CB14" i="2" s="1"/>
  <c r="CC13" i="2"/>
  <c r="CA13" i="2"/>
  <c r="CB13" i="2" s="1"/>
  <c r="CC12" i="2"/>
  <c r="CA12" i="2"/>
  <c r="CB12" i="2" s="1"/>
  <c r="CC11" i="2"/>
  <c r="CA11" i="2"/>
  <c r="CB11" i="2" s="1"/>
  <c r="BI30" i="2"/>
  <c r="BI29" i="2"/>
  <c r="BI28" i="2"/>
  <c r="BI27" i="2"/>
  <c r="BI26" i="2"/>
  <c r="BI25" i="2"/>
  <c r="BI24" i="2"/>
  <c r="BI23" i="2"/>
  <c r="BI22" i="2"/>
  <c r="BI21" i="2"/>
  <c r="BI20" i="2"/>
  <c r="BI19" i="2"/>
  <c r="BI18" i="2"/>
  <c r="BI17" i="2"/>
  <c r="BI16" i="2"/>
  <c r="BI15" i="2"/>
  <c r="BI14" i="2"/>
  <c r="BI13" i="2"/>
  <c r="BI12" i="2"/>
  <c r="BI11" i="2"/>
  <c r="BG30" i="2"/>
  <c r="BG29" i="2"/>
  <c r="BH29" i="2" s="1"/>
  <c r="BG28" i="2"/>
  <c r="BH28" i="2" s="1"/>
  <c r="BG27" i="2"/>
  <c r="BH27" i="2" s="1"/>
  <c r="BG26" i="2"/>
  <c r="BH26" i="2" s="1"/>
  <c r="BG25" i="2"/>
  <c r="BH25" i="2" s="1"/>
  <c r="BG24" i="2"/>
  <c r="BH24" i="2" s="1"/>
  <c r="BG23" i="2"/>
  <c r="BH23" i="2" s="1"/>
  <c r="BG22" i="2"/>
  <c r="BH22" i="2" s="1"/>
  <c r="BG21" i="2"/>
  <c r="BH21" i="2" s="1"/>
  <c r="BG20" i="2"/>
  <c r="BG19" i="2"/>
  <c r="BH19" i="2" s="1"/>
  <c r="BG18" i="2"/>
  <c r="BH18" i="2" s="1"/>
  <c r="BG17" i="2"/>
  <c r="BH17" i="2" s="1"/>
  <c r="BG16" i="2"/>
  <c r="BG15" i="2"/>
  <c r="BH15" i="2" s="1"/>
  <c r="BG14" i="2"/>
  <c r="BH14" i="2" s="1"/>
  <c r="BG13" i="2"/>
  <c r="BH13" i="2" s="1"/>
  <c r="BG12" i="2"/>
  <c r="BH12" i="2" s="1"/>
  <c r="BG11" i="2"/>
  <c r="BH11" i="2" s="1"/>
  <c r="AO30" i="2"/>
  <c r="AO28" i="2"/>
  <c r="AO26" i="2"/>
  <c r="AO25" i="2"/>
  <c r="AO24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M15" i="2"/>
  <c r="AN15" i="2" s="1"/>
  <c r="AM28" i="2"/>
  <c r="AN28" i="2" s="1"/>
  <c r="U17" i="2"/>
  <c r="U19" i="2"/>
  <c r="U29" i="2"/>
  <c r="U30" i="2"/>
  <c r="S15" i="2"/>
  <c r="T15" i="2" s="1"/>
  <c r="S28" i="2"/>
  <c r="T28" i="2" s="1"/>
  <c r="S29" i="2"/>
  <c r="L30" i="2"/>
  <c r="L29" i="2"/>
  <c r="L28" i="2"/>
  <c r="L27" i="2"/>
  <c r="L26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O11" i="2"/>
  <c r="Q11" i="2"/>
  <c r="S11" i="2"/>
  <c r="T11" i="2" s="1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O30" i="2"/>
  <c r="O29" i="2"/>
  <c r="O28" i="2"/>
  <c r="O27" i="2"/>
  <c r="O26" i="2"/>
  <c r="O25" i="2"/>
  <c r="O24" i="2"/>
  <c r="O23" i="2"/>
  <c r="O22" i="2"/>
  <c r="O21" i="2"/>
  <c r="O19" i="2"/>
  <c r="O18" i="2"/>
  <c r="O17" i="2"/>
  <c r="O15" i="2"/>
  <c r="O14" i="2"/>
  <c r="O13" i="2"/>
  <c r="O12" i="2"/>
  <c r="J30" i="2"/>
  <c r="J29" i="2"/>
  <c r="J28" i="2"/>
  <c r="J27" i="2"/>
  <c r="J26" i="2"/>
  <c r="J25" i="2"/>
  <c r="J24" i="2"/>
  <c r="J23" i="2"/>
  <c r="J22" i="2"/>
  <c r="J21" i="2"/>
  <c r="J19" i="2"/>
  <c r="J18" i="2"/>
  <c r="J17" i="2"/>
  <c r="J15" i="2"/>
  <c r="J14" i="2"/>
  <c r="J13" i="2"/>
  <c r="J12" i="2"/>
  <c r="J11" i="2"/>
  <c r="G12" i="2"/>
  <c r="G13" i="2"/>
  <c r="G14" i="2"/>
  <c r="G15" i="2"/>
  <c r="G17" i="2"/>
  <c r="G18" i="2"/>
  <c r="G19" i="2"/>
  <c r="G20" i="2"/>
  <c r="G21" i="2"/>
  <c r="G22" i="2"/>
  <c r="G23" i="2"/>
  <c r="AE31" i="2" s="1"/>
  <c r="AE4" i="2" s="1"/>
  <c r="AE5" i="2" s="1"/>
  <c r="G24" i="2"/>
  <c r="G25" i="2"/>
  <c r="K31" i="2" s="1"/>
  <c r="K4" i="2" s="1"/>
  <c r="G26" i="2"/>
  <c r="G27" i="2"/>
  <c r="G28" i="2"/>
  <c r="G29" i="2"/>
  <c r="G30" i="2"/>
  <c r="E22" i="2"/>
  <c r="E23" i="2"/>
  <c r="E24" i="2"/>
  <c r="E25" i="2"/>
  <c r="E26" i="2"/>
  <c r="E27" i="2"/>
  <c r="E28" i="2"/>
  <c r="E29" i="2"/>
  <c r="E30" i="2"/>
  <c r="E21" i="2"/>
  <c r="E18" i="2"/>
  <c r="E19" i="2"/>
  <c r="E17" i="2"/>
  <c r="E12" i="2"/>
  <c r="E13" i="2"/>
  <c r="E14" i="2"/>
  <c r="E15" i="2"/>
  <c r="E11" i="2"/>
  <c r="AM11" i="2"/>
  <c r="AN11" i="2" s="1"/>
  <c r="S13" i="2"/>
  <c r="AM13" i="2"/>
  <c r="AN13" i="2" s="1"/>
  <c r="AM14" i="2"/>
  <c r="AN14" i="2" s="1"/>
  <c r="S16" i="2"/>
  <c r="AM16" i="2"/>
  <c r="S17" i="2"/>
  <c r="T17" i="2" s="1"/>
  <c r="AM17" i="2"/>
  <c r="S18" i="2"/>
  <c r="AM18" i="2"/>
  <c r="AN18" i="2" s="1"/>
  <c r="S19" i="2"/>
  <c r="T19" i="2" s="1"/>
  <c r="AM19" i="2"/>
  <c r="AN19" i="2" s="1"/>
  <c r="S20" i="2"/>
  <c r="AM20" i="2"/>
  <c r="S21" i="2"/>
  <c r="T21" i="2" s="1"/>
  <c r="AM21" i="2"/>
  <c r="AN21" i="2" s="1"/>
  <c r="S22" i="2"/>
  <c r="T22" i="2" s="1"/>
  <c r="AM22" i="2"/>
  <c r="AN22" i="2" s="1"/>
  <c r="S23" i="2"/>
  <c r="T23" i="2" s="1"/>
  <c r="AM23" i="2"/>
  <c r="AN23" i="2" s="1"/>
  <c r="S24" i="2"/>
  <c r="AM24" i="2"/>
  <c r="S25" i="2"/>
  <c r="AM25" i="2"/>
  <c r="S26" i="2"/>
  <c r="T26" i="2" s="1"/>
  <c r="AM26" i="2"/>
  <c r="AN26" i="2" s="1"/>
  <c r="S27" i="2"/>
  <c r="T27" i="2" s="1"/>
  <c r="AM27" i="2"/>
  <c r="AN27" i="2" s="1"/>
  <c r="AM29" i="2"/>
  <c r="AN29" i="2" s="1"/>
  <c r="AC31" i="2"/>
  <c r="AC4" i="2" s="1"/>
  <c r="CI89" i="2" l="1"/>
  <c r="G11" i="2"/>
  <c r="U11" i="2"/>
  <c r="V11" i="2" s="1"/>
  <c r="G16" i="2"/>
  <c r="F31" i="2"/>
  <c r="F4" i="2" s="1"/>
  <c r="F5" i="2" s="1"/>
  <c r="U16" i="2"/>
  <c r="U31" i="2" s="1"/>
  <c r="K5" i="2"/>
  <c r="U54" i="2"/>
  <c r="AF4" i="2"/>
  <c r="AO23" i="2"/>
  <c r="CH23" i="2" s="1"/>
  <c r="CI86" i="2"/>
  <c r="AO27" i="2"/>
  <c r="CH27" i="2" s="1"/>
  <c r="Z31" i="2"/>
  <c r="Z4" i="2" s="1"/>
  <c r="AJ21" i="3"/>
  <c r="CI94" i="2"/>
  <c r="CI90" i="2"/>
  <c r="BG75" i="2"/>
  <c r="BJ75" i="2" s="1"/>
  <c r="CD62" i="2"/>
  <c r="CA75" i="2"/>
  <c r="CD75" i="2" s="1"/>
  <c r="CI96" i="2"/>
  <c r="AP41" i="2"/>
  <c r="AP42" i="2"/>
  <c r="AP43" i="2"/>
  <c r="AP44" i="2"/>
  <c r="AP45" i="2"/>
  <c r="AP46" i="2"/>
  <c r="AP47" i="2"/>
  <c r="AP48" i="2"/>
  <c r="AP49" i="2"/>
  <c r="CD59" i="2"/>
  <c r="CD60" i="2"/>
  <c r="V68" i="2"/>
  <c r="V69" i="2"/>
  <c r="V70" i="2"/>
  <c r="V71" i="2"/>
  <c r="V72" i="2"/>
  <c r="V73" i="2"/>
  <c r="CI85" i="2"/>
  <c r="L25" i="2"/>
  <c r="AP28" i="2"/>
  <c r="BD77" i="2"/>
  <c r="BX77" i="2"/>
  <c r="BI76" i="2"/>
  <c r="BJ76" i="2" s="1"/>
  <c r="AT77" i="2"/>
  <c r="AY77" i="2"/>
  <c r="CC76" i="2"/>
  <c r="CD76" i="2" s="1"/>
  <c r="BN77" i="2"/>
  <c r="CD52" i="2"/>
  <c r="BJ41" i="2"/>
  <c r="BJ42" i="2"/>
  <c r="BJ43" i="2"/>
  <c r="BJ44" i="2"/>
  <c r="BJ45" i="2"/>
  <c r="BJ46" i="2"/>
  <c r="BJ47" i="2"/>
  <c r="BJ48" i="2"/>
  <c r="BJ49" i="2"/>
  <c r="V59" i="2"/>
  <c r="V60" i="2"/>
  <c r="AP68" i="2"/>
  <c r="AP69" i="2"/>
  <c r="AP70" i="2"/>
  <c r="AP71" i="2"/>
  <c r="AP72" i="2"/>
  <c r="AP73" i="2"/>
  <c r="BS77" i="2"/>
  <c r="K77" i="2"/>
  <c r="AJ11" i="3"/>
  <c r="F77" i="2"/>
  <c r="G76" i="2"/>
  <c r="CI91" i="2"/>
  <c r="T99" i="2"/>
  <c r="CI95" i="2"/>
  <c r="CI93" i="2"/>
  <c r="CI92" i="2"/>
  <c r="BJ20" i="2"/>
  <c r="AP36" i="2"/>
  <c r="CH36" i="2"/>
  <c r="BJ50" i="2"/>
  <c r="AP52" i="2"/>
  <c r="CF59" i="2"/>
  <c r="CG59" i="2" s="1"/>
  <c r="T59" i="2"/>
  <c r="O64" i="2"/>
  <c r="Q64" i="2"/>
  <c r="AP62" i="2"/>
  <c r="BJ74" i="2"/>
  <c r="BH74" i="2"/>
  <c r="AC5" i="2"/>
  <c r="AF5" i="2" s="1"/>
  <c r="CD74" i="2"/>
  <c r="CB74" i="2"/>
  <c r="BJ36" i="2"/>
  <c r="CD50" i="2"/>
  <c r="BJ52" i="2"/>
  <c r="BJ62" i="2"/>
  <c r="CI84" i="2"/>
  <c r="CI3" i="2"/>
  <c r="CG98" i="2"/>
  <c r="CI98" i="2"/>
  <c r="CD41" i="2"/>
  <c r="CD42" i="2"/>
  <c r="CD43" i="2"/>
  <c r="CD44" i="2"/>
  <c r="CD45" i="2"/>
  <c r="CD46" i="2"/>
  <c r="CD47" i="2"/>
  <c r="CD48" i="2"/>
  <c r="CD49" i="2"/>
  <c r="AN51" i="2"/>
  <c r="AP51" i="2"/>
  <c r="G54" i="2"/>
  <c r="AP59" i="2"/>
  <c r="AP60" i="2"/>
  <c r="BJ68" i="2"/>
  <c r="BJ69" i="2"/>
  <c r="BJ70" i="2"/>
  <c r="BJ71" i="2"/>
  <c r="BJ72" i="2"/>
  <c r="BJ73" i="2"/>
  <c r="CI83" i="2"/>
  <c r="CF47" i="2"/>
  <c r="CG47" i="2" s="1"/>
  <c r="T47" i="2"/>
  <c r="T50" i="2"/>
  <c r="V50" i="2"/>
  <c r="BH51" i="2"/>
  <c r="BJ51" i="2"/>
  <c r="CF36" i="2"/>
  <c r="CG36" i="2" s="1"/>
  <c r="T36" i="2"/>
  <c r="V41" i="2"/>
  <c r="V42" i="2"/>
  <c r="V43" i="2"/>
  <c r="V44" i="2"/>
  <c r="V45" i="2"/>
  <c r="V46" i="2"/>
  <c r="V47" i="2"/>
  <c r="V48" i="2"/>
  <c r="V49" i="2"/>
  <c r="CB51" i="2"/>
  <c r="CD51" i="2"/>
  <c r="BJ59" i="2"/>
  <c r="BJ60" i="2"/>
  <c r="CF63" i="2"/>
  <c r="AN63" i="2"/>
  <c r="AP63" i="2"/>
  <c r="CD68" i="2"/>
  <c r="CD69" i="2"/>
  <c r="CD70" i="2"/>
  <c r="CD71" i="2"/>
  <c r="CD72" i="2"/>
  <c r="CD73" i="2"/>
  <c r="CI88" i="2"/>
  <c r="BJ99" i="2"/>
  <c r="V99" i="2"/>
  <c r="V29" i="2"/>
  <c r="V36" i="2"/>
  <c r="AP50" i="2"/>
  <c r="V62" i="2"/>
  <c r="V74" i="2"/>
  <c r="T74" i="2"/>
  <c r="CI87" i="2"/>
  <c r="CI82" i="2"/>
  <c r="CH99" i="2"/>
  <c r="AP99" i="2"/>
  <c r="AN74" i="2"/>
  <c r="AP74" i="2"/>
  <c r="CD99" i="2"/>
  <c r="AJ8" i="3"/>
  <c r="J12" i="3"/>
  <c r="AJ39" i="3"/>
  <c r="AJ48" i="3"/>
  <c r="AH12" i="3"/>
  <c r="Q12" i="3"/>
  <c r="AI11" i="3"/>
  <c r="I12" i="3"/>
  <c r="AI10" i="3"/>
  <c r="AJ9" i="3"/>
  <c r="Z12" i="3"/>
  <c r="AI9" i="3"/>
  <c r="AG12" i="3"/>
  <c r="Y12" i="3"/>
  <c r="R12" i="3"/>
  <c r="AJ30" i="3"/>
  <c r="AI8" i="3"/>
  <c r="Q76" i="2"/>
  <c r="P77" i="2"/>
  <c r="AJ10" i="3"/>
  <c r="Z77" i="2"/>
  <c r="AE77" i="2"/>
  <c r="AO76" i="2"/>
  <c r="AP76" i="2" s="1"/>
  <c r="AJ77" i="2"/>
  <c r="AN75" i="2"/>
  <c r="S75" i="2"/>
  <c r="AM66" i="2"/>
  <c r="AN66" i="2" s="1"/>
  <c r="CF60" i="2"/>
  <c r="CG60" i="2" s="1"/>
  <c r="CF74" i="2"/>
  <c r="AM67" i="2"/>
  <c r="AN67" i="2" s="1"/>
  <c r="BH30" i="2"/>
  <c r="CB30" i="2"/>
  <c r="CH61" i="2"/>
  <c r="CF62" i="2"/>
  <c r="CG62" i="2" s="1"/>
  <c r="BG66" i="2"/>
  <c r="BH66" i="2" s="1"/>
  <c r="AP15" i="2"/>
  <c r="BG67" i="2"/>
  <c r="BH67" i="2" s="1"/>
  <c r="L75" i="2"/>
  <c r="CF99" i="2"/>
  <c r="CG99" i="2" s="1"/>
  <c r="AF54" i="2"/>
  <c r="N77" i="2"/>
  <c r="O77" i="2" s="1"/>
  <c r="S67" i="2"/>
  <c r="T67" i="2" s="1"/>
  <c r="CH60" i="2"/>
  <c r="CA61" i="2"/>
  <c r="CB61" i="2" s="1"/>
  <c r="CH64" i="2"/>
  <c r="CF70" i="2"/>
  <c r="CG70" i="2" s="1"/>
  <c r="AM65" i="2"/>
  <c r="AN65" i="2" s="1"/>
  <c r="CF71" i="2"/>
  <c r="CG71" i="2" s="1"/>
  <c r="S61" i="2"/>
  <c r="T61" i="2" s="1"/>
  <c r="AM61" i="2"/>
  <c r="AN61" i="2" s="1"/>
  <c r="CH62" i="2"/>
  <c r="S65" i="2"/>
  <c r="T65" i="2" s="1"/>
  <c r="CA65" i="2"/>
  <c r="CB65" i="2" s="1"/>
  <c r="CF69" i="2"/>
  <c r="CG69" i="2" s="1"/>
  <c r="CF73" i="2"/>
  <c r="CG73" i="2" s="1"/>
  <c r="CH59" i="2"/>
  <c r="BG61" i="2"/>
  <c r="BH61" i="2" s="1"/>
  <c r="CH65" i="2"/>
  <c r="BG65" i="2"/>
  <c r="BH65" i="2" s="1"/>
  <c r="CA66" i="2"/>
  <c r="CB66" i="2" s="1"/>
  <c r="CA67" i="2"/>
  <c r="CB67" i="2" s="1"/>
  <c r="CF68" i="2"/>
  <c r="CG68" i="2" s="1"/>
  <c r="CF72" i="2"/>
  <c r="CG72" i="2" s="1"/>
  <c r="S66" i="2"/>
  <c r="T66" i="2" s="1"/>
  <c r="CH67" i="2"/>
  <c r="CH68" i="2"/>
  <c r="CH69" i="2"/>
  <c r="CH70" i="2"/>
  <c r="CH71" i="2"/>
  <c r="CH72" i="2"/>
  <c r="CH66" i="2"/>
  <c r="CH73" i="2"/>
  <c r="D77" i="2"/>
  <c r="V13" i="2"/>
  <c r="AP13" i="2"/>
  <c r="W54" i="2"/>
  <c r="BJ30" i="2"/>
  <c r="AM38" i="2"/>
  <c r="AN38" i="2" s="1"/>
  <c r="V24" i="2"/>
  <c r="V20" i="2"/>
  <c r="V18" i="2"/>
  <c r="CH14" i="2"/>
  <c r="CH30" i="2"/>
  <c r="BJ18" i="2"/>
  <c r="AF31" i="2"/>
  <c r="AP24" i="2"/>
  <c r="AP17" i="2"/>
  <c r="CF44" i="2"/>
  <c r="CG44" i="2" s="1"/>
  <c r="V21" i="2"/>
  <c r="AP18" i="2"/>
  <c r="AP19" i="2"/>
  <c r="BJ13" i="2"/>
  <c r="CH17" i="2"/>
  <c r="CH21" i="2"/>
  <c r="BJ29" i="2"/>
  <c r="T25" i="2"/>
  <c r="V27" i="2"/>
  <c r="V23" i="2"/>
  <c r="V19" i="2"/>
  <c r="AP26" i="2"/>
  <c r="CH12" i="2"/>
  <c r="CH24" i="2"/>
  <c r="CH28" i="2"/>
  <c r="BJ26" i="2"/>
  <c r="CD11" i="2"/>
  <c r="CD13" i="2"/>
  <c r="CD15" i="2"/>
  <c r="CD17" i="2"/>
  <c r="CD19" i="2"/>
  <c r="CD21" i="2"/>
  <c r="CD23" i="2"/>
  <c r="CD25" i="2"/>
  <c r="CD27" i="2"/>
  <c r="CD29" i="2"/>
  <c r="BG37" i="2"/>
  <c r="BH37" i="2" s="1"/>
  <c r="BJ11" i="2"/>
  <c r="BJ15" i="2"/>
  <c r="BJ19" i="2"/>
  <c r="BJ23" i="2"/>
  <c r="BJ27" i="2"/>
  <c r="BJ14" i="2"/>
  <c r="T29" i="2"/>
  <c r="V28" i="2"/>
  <c r="V17" i="2"/>
  <c r="CH18" i="2"/>
  <c r="CH22" i="2"/>
  <c r="CH26" i="2"/>
  <c r="BJ12" i="2"/>
  <c r="BJ16" i="2"/>
  <c r="BJ24" i="2"/>
  <c r="BJ28" i="2"/>
  <c r="CD12" i="2"/>
  <c r="CD14" i="2"/>
  <c r="CD16" i="2"/>
  <c r="CD18" i="2"/>
  <c r="CD20" i="2"/>
  <c r="CD22" i="2"/>
  <c r="CD24" i="2"/>
  <c r="CD26" i="2"/>
  <c r="CD28" i="2"/>
  <c r="CD30" i="2"/>
  <c r="CH38" i="2"/>
  <c r="BG39" i="2"/>
  <c r="BH39" i="2" s="1"/>
  <c r="CH19" i="2"/>
  <c r="AP25" i="2"/>
  <c r="AN25" i="2"/>
  <c r="T18" i="2"/>
  <c r="AP21" i="2"/>
  <c r="CH20" i="2"/>
  <c r="AP20" i="2"/>
  <c r="BJ21" i="2"/>
  <c r="CH13" i="2"/>
  <c r="R54" i="2"/>
  <c r="BP54" i="2"/>
  <c r="CH42" i="2"/>
  <c r="CF52" i="2"/>
  <c r="CG52" i="2" s="1"/>
  <c r="BJ25" i="2"/>
  <c r="T20" i="2"/>
  <c r="T24" i="2"/>
  <c r="V26" i="2"/>
  <c r="T13" i="2"/>
  <c r="AN17" i="2"/>
  <c r="AP16" i="2"/>
  <c r="AP22" i="2"/>
  <c r="BJ17" i="2"/>
  <c r="BJ22" i="2"/>
  <c r="CF28" i="2"/>
  <c r="CG28" i="2" s="1"/>
  <c r="AN20" i="2"/>
  <c r="CH45" i="2"/>
  <c r="AP11" i="2"/>
  <c r="CF13" i="2"/>
  <c r="CG13" i="2" s="1"/>
  <c r="AN24" i="2"/>
  <c r="AP14" i="2"/>
  <c r="CF15" i="2"/>
  <c r="CG15" i="2" s="1"/>
  <c r="CH15" i="2"/>
  <c r="T16" i="2"/>
  <c r="CF46" i="2"/>
  <c r="CG46" i="2" s="1"/>
  <c r="CH46" i="2"/>
  <c r="CH47" i="2"/>
  <c r="AO54" i="2"/>
  <c r="AN16" i="2"/>
  <c r="CH37" i="2"/>
  <c r="BK54" i="2"/>
  <c r="BU54" i="2"/>
  <c r="CF43" i="2"/>
  <c r="CG43" i="2" s="1"/>
  <c r="CF48" i="2"/>
  <c r="CG48" i="2" s="1"/>
  <c r="CF50" i="2"/>
  <c r="CG50" i="2" s="1"/>
  <c r="CF51" i="2"/>
  <c r="AM37" i="2"/>
  <c r="AN37" i="2" s="1"/>
  <c r="CA37" i="2"/>
  <c r="CB37" i="2" s="1"/>
  <c r="BG38" i="2"/>
  <c r="BH38" i="2" s="1"/>
  <c r="S39" i="2"/>
  <c r="CA39" i="2"/>
  <c r="CB39" i="2" s="1"/>
  <c r="S37" i="2"/>
  <c r="CA38" i="2"/>
  <c r="CB38" i="2" s="1"/>
  <c r="AM39" i="2"/>
  <c r="AN39" i="2" s="1"/>
  <c r="S38" i="2"/>
  <c r="BI54" i="2"/>
  <c r="BA54" i="2"/>
  <c r="CH43" i="2"/>
  <c r="CF41" i="2"/>
  <c r="CG41" i="2" s="1"/>
  <c r="AG54" i="2"/>
  <c r="AV54" i="2"/>
  <c r="CF42" i="2"/>
  <c r="CG42" i="2" s="1"/>
  <c r="CH44" i="2"/>
  <c r="CH39" i="2"/>
  <c r="AB54" i="2"/>
  <c r="AD54" i="2" s="1"/>
  <c r="AQ54" i="2"/>
  <c r="CC54" i="2"/>
  <c r="CH41" i="2"/>
  <c r="CF45" i="2"/>
  <c r="CG45" i="2" s="1"/>
  <c r="CH49" i="2"/>
  <c r="CH52" i="2"/>
  <c r="N54" i="2"/>
  <c r="O54" i="2" s="1"/>
  <c r="AW54" i="2"/>
  <c r="AZ54" i="2" s="1"/>
  <c r="CA53" i="2"/>
  <c r="CB53" i="2" s="1"/>
  <c r="BL54" i="2"/>
  <c r="BQ54" i="2"/>
  <c r="BT54" i="2" s="1"/>
  <c r="BV54" i="2"/>
  <c r="AH54" i="2"/>
  <c r="AK54" i="2" s="1"/>
  <c r="BG53" i="2"/>
  <c r="BH53" i="2" s="1"/>
  <c r="AR54" i="2"/>
  <c r="AU54" i="2" s="1"/>
  <c r="CF49" i="2"/>
  <c r="CG49" i="2" s="1"/>
  <c r="CH50" i="2"/>
  <c r="S53" i="2"/>
  <c r="T53" i="2" s="1"/>
  <c r="X54" i="2"/>
  <c r="AM53" i="2"/>
  <c r="BB54" i="2"/>
  <c r="BE54" i="2" s="1"/>
  <c r="CH48" i="2"/>
  <c r="I54" i="2"/>
  <c r="J54" i="2" s="1"/>
  <c r="CH53" i="2"/>
  <c r="BP31" i="2"/>
  <c r="BP4" i="2" s="1"/>
  <c r="BK31" i="2"/>
  <c r="BK4" i="2" s="1"/>
  <c r="BF31" i="2"/>
  <c r="BH20" i="2"/>
  <c r="BH16" i="2"/>
  <c r="BA31" i="2"/>
  <c r="BA4" i="2" s="1"/>
  <c r="AV31" i="2"/>
  <c r="AV4" i="2" s="1"/>
  <c r="AQ31" i="2"/>
  <c r="AQ4" i="2" s="1"/>
  <c r="AL31" i="2"/>
  <c r="AG31" i="2"/>
  <c r="AG4" i="2" s="1"/>
  <c r="M31" i="2"/>
  <c r="M4" i="2" s="1"/>
  <c r="H31" i="2"/>
  <c r="H4" i="2" s="1"/>
  <c r="J20" i="2"/>
  <c r="C31" i="2"/>
  <c r="C4" i="2" s="1"/>
  <c r="CB20" i="2"/>
  <c r="BU31" i="2"/>
  <c r="BU4" i="2" s="1"/>
  <c r="CF25" i="2"/>
  <c r="CG25" i="2" s="1"/>
  <c r="CF22" i="2"/>
  <c r="CG22" i="2" s="1"/>
  <c r="CF20" i="2"/>
  <c r="CG20" i="2" s="1"/>
  <c r="CF19" i="2"/>
  <c r="CG19" i="2" s="1"/>
  <c r="CF29" i="2"/>
  <c r="CG29" i="2" s="1"/>
  <c r="CF24" i="2"/>
  <c r="CG24" i="2" s="1"/>
  <c r="V22" i="2"/>
  <c r="V15" i="2"/>
  <c r="CF26" i="2"/>
  <c r="CG26" i="2" s="1"/>
  <c r="CF17" i="2"/>
  <c r="CG17" i="2" s="1"/>
  <c r="BV31" i="2"/>
  <c r="BV4" i="2" s="1"/>
  <c r="BB31" i="2"/>
  <c r="AH31" i="2"/>
  <c r="I31" i="2"/>
  <c r="BQ31" i="2"/>
  <c r="AW31" i="2"/>
  <c r="AB31" i="2"/>
  <c r="AB4" i="2" s="1"/>
  <c r="D31" i="2"/>
  <c r="D4" i="2" s="1"/>
  <c r="S30" i="2"/>
  <c r="BL31" i="2"/>
  <c r="BL4" i="2" s="1"/>
  <c r="BG31" i="2"/>
  <c r="BG4" i="2" s="1"/>
  <c r="AR31" i="2"/>
  <c r="AR4" i="2" s="1"/>
  <c r="AM30" i="2"/>
  <c r="X31" i="2"/>
  <c r="N31" i="2"/>
  <c r="CF27" i="2"/>
  <c r="CG27" i="2" s="1"/>
  <c r="CF23" i="2"/>
  <c r="CG23" i="2" s="1"/>
  <c r="CF21" i="2"/>
  <c r="CG21" i="2" s="1"/>
  <c r="S14" i="2"/>
  <c r="V14" i="2" s="1"/>
  <c r="CB16" i="2"/>
  <c r="AM12" i="2"/>
  <c r="CF11" i="2"/>
  <c r="CG11" i="2" s="1"/>
  <c r="CC31" i="2"/>
  <c r="BI31" i="2"/>
  <c r="CF18" i="2"/>
  <c r="CG18" i="2" s="1"/>
  <c r="CF16" i="2"/>
  <c r="S12" i="2"/>
  <c r="CI60" i="2" l="1"/>
  <c r="BH75" i="2"/>
  <c r="CI62" i="2"/>
  <c r="CH11" i="2"/>
  <c r="CI11" i="2" s="1"/>
  <c r="CI26" i="2"/>
  <c r="CI15" i="2"/>
  <c r="CI27" i="2"/>
  <c r="CI22" i="2"/>
  <c r="CI24" i="2"/>
  <c r="CI21" i="2"/>
  <c r="CI20" i="2"/>
  <c r="CI18" i="2"/>
  <c r="CI17" i="2"/>
  <c r="CI28" i="2"/>
  <c r="CI19" i="2"/>
  <c r="CI23" i="2"/>
  <c r="G4" i="2"/>
  <c r="U4" i="2"/>
  <c r="U5" i="2" s="1"/>
  <c r="CH16" i="2"/>
  <c r="CI16" i="2" s="1"/>
  <c r="V16" i="2"/>
  <c r="R4" i="2"/>
  <c r="AP23" i="2"/>
  <c r="AJ31" i="2"/>
  <c r="AJ4" i="2" s="1"/>
  <c r="AJ5" i="2" s="1"/>
  <c r="AO29" i="2"/>
  <c r="AP27" i="2"/>
  <c r="CI44" i="2"/>
  <c r="Z5" i="2"/>
  <c r="CI73" i="2"/>
  <c r="L76" i="2"/>
  <c r="CB75" i="2"/>
  <c r="CI41" i="2"/>
  <c r="CI47" i="2"/>
  <c r="CI59" i="2"/>
  <c r="BI77" i="2"/>
  <c r="V25" i="2"/>
  <c r="CH25" i="2"/>
  <c r="CI25" i="2" s="1"/>
  <c r="CC77" i="2"/>
  <c r="CI50" i="2"/>
  <c r="CI43" i="2"/>
  <c r="CI69" i="2"/>
  <c r="U76" i="2"/>
  <c r="U77" i="2" s="1"/>
  <c r="CI49" i="2"/>
  <c r="CI13" i="2"/>
  <c r="AP66" i="2"/>
  <c r="CD65" i="2"/>
  <c r="CI72" i="2"/>
  <c r="T38" i="2"/>
  <c r="V38" i="2"/>
  <c r="AM54" i="2"/>
  <c r="AP54" i="2" s="1"/>
  <c r="AN53" i="2"/>
  <c r="CG51" i="2"/>
  <c r="CI51" i="2"/>
  <c r="CA64" i="2"/>
  <c r="CI99" i="2"/>
  <c r="V53" i="2"/>
  <c r="CD37" i="2"/>
  <c r="AP61" i="2"/>
  <c r="CD66" i="2"/>
  <c r="CD53" i="2"/>
  <c r="BJ66" i="2"/>
  <c r="AP53" i="2"/>
  <c r="Q31" i="2"/>
  <c r="N4" i="2"/>
  <c r="O4" i="2" s="1"/>
  <c r="AA31" i="2"/>
  <c r="X4" i="2"/>
  <c r="AA4" i="2" s="1"/>
  <c r="AZ31" i="2"/>
  <c r="AW4" i="2"/>
  <c r="T37" i="2"/>
  <c r="V37" i="2"/>
  <c r="CI46" i="2"/>
  <c r="CI71" i="2"/>
  <c r="AP38" i="2"/>
  <c r="CG63" i="2"/>
  <c r="CI63" i="2"/>
  <c r="BJ61" i="2"/>
  <c r="BT31" i="2"/>
  <c r="BQ4" i="2"/>
  <c r="CI70" i="2"/>
  <c r="BJ67" i="2"/>
  <c r="V61" i="2"/>
  <c r="AU4" i="2"/>
  <c r="AR5" i="2"/>
  <c r="AU5" i="2" s="1"/>
  <c r="L31" i="2"/>
  <c r="I4" i="2"/>
  <c r="J4" i="2" s="1"/>
  <c r="T39" i="2"/>
  <c r="V39" i="2"/>
  <c r="CI45" i="2"/>
  <c r="CI42" i="2"/>
  <c r="CG74" i="2"/>
  <c r="CI74" i="2"/>
  <c r="BJ65" i="2"/>
  <c r="BJ37" i="2"/>
  <c r="BJ39" i="2"/>
  <c r="BJ53" i="2"/>
  <c r="CD38" i="2"/>
  <c r="AP37" i="2"/>
  <c r="BG5" i="2"/>
  <c r="BJ5" i="2" s="1"/>
  <c r="BJ4" i="2"/>
  <c r="CI68" i="2"/>
  <c r="BG64" i="2"/>
  <c r="V66" i="2"/>
  <c r="CD61" i="2"/>
  <c r="AP67" i="2"/>
  <c r="V67" i="2"/>
  <c r="AP39" i="2"/>
  <c r="CI36" i="2"/>
  <c r="BV5" i="2"/>
  <c r="BY5" i="2" s="1"/>
  <c r="BY4" i="2"/>
  <c r="AH4" i="2"/>
  <c r="AI4" i="2" s="1"/>
  <c r="BO4" i="2"/>
  <c r="BL5" i="2"/>
  <c r="BO5" i="2" s="1"/>
  <c r="BE31" i="2"/>
  <c r="BB4" i="2"/>
  <c r="BC4" i="2" s="1"/>
  <c r="CI48" i="2"/>
  <c r="CI52" i="2"/>
  <c r="BJ38" i="2"/>
  <c r="CD67" i="2"/>
  <c r="AP65" i="2"/>
  <c r="CD39" i="2"/>
  <c r="V65" i="2"/>
  <c r="AJ12" i="3"/>
  <c r="AI12" i="3"/>
  <c r="BU5" i="2"/>
  <c r="BW4" i="2"/>
  <c r="V75" i="2"/>
  <c r="T75" i="2"/>
  <c r="CF75" i="2"/>
  <c r="BV77" i="2"/>
  <c r="BW77" i="2" s="1"/>
  <c r="BP5" i="2"/>
  <c r="BZ4" i="2"/>
  <c r="BK5" i="2"/>
  <c r="BM4" i="2"/>
  <c r="BA5" i="2"/>
  <c r="AV5" i="2"/>
  <c r="AQ5" i="2"/>
  <c r="BF4" i="2"/>
  <c r="AS4" i="2"/>
  <c r="AG5" i="2"/>
  <c r="AD31" i="2"/>
  <c r="M5" i="2"/>
  <c r="H5" i="2"/>
  <c r="E4" i="2"/>
  <c r="C5" i="2"/>
  <c r="BW54" i="2"/>
  <c r="D5" i="2"/>
  <c r="G5" i="2" s="1"/>
  <c r="Y54" i="2"/>
  <c r="S31" i="2"/>
  <c r="S4" i="2" s="1"/>
  <c r="BM54" i="2"/>
  <c r="S64" i="2"/>
  <c r="L64" i="2"/>
  <c r="J64" i="2"/>
  <c r="BQ77" i="2"/>
  <c r="BR77" i="2" s="1"/>
  <c r="BL77" i="2"/>
  <c r="BM77" i="2" s="1"/>
  <c r="CF65" i="2"/>
  <c r="CG65" i="2" s="1"/>
  <c r="CF61" i="2"/>
  <c r="CG61" i="2" s="1"/>
  <c r="Q77" i="2"/>
  <c r="AR77" i="2"/>
  <c r="AH77" i="2"/>
  <c r="AM64" i="2"/>
  <c r="AO75" i="2"/>
  <c r="AC77" i="2"/>
  <c r="AD77" i="2" s="1"/>
  <c r="BB77" i="2"/>
  <c r="BC77" i="2" s="1"/>
  <c r="CF67" i="2"/>
  <c r="CG67" i="2" s="1"/>
  <c r="G77" i="2"/>
  <c r="E77" i="2"/>
  <c r="CF66" i="2"/>
  <c r="CG66" i="2" s="1"/>
  <c r="X77" i="2"/>
  <c r="Y77" i="2" s="1"/>
  <c r="AW77" i="2"/>
  <c r="I77" i="2"/>
  <c r="J77" i="2" s="1"/>
  <c r="Q54" i="2"/>
  <c r="AI31" i="2"/>
  <c r="AM31" i="2"/>
  <c r="AM4" i="2" s="1"/>
  <c r="AN30" i="2"/>
  <c r="V12" i="2"/>
  <c r="T12" i="2"/>
  <c r="CF12" i="2"/>
  <c r="CI12" i="2" s="1"/>
  <c r="AP30" i="2"/>
  <c r="AN12" i="2"/>
  <c r="AP12" i="2"/>
  <c r="BO54" i="2"/>
  <c r="T30" i="2"/>
  <c r="V30" i="2"/>
  <c r="T14" i="2"/>
  <c r="CF14" i="2"/>
  <c r="CI14" i="2" s="1"/>
  <c r="BY54" i="2"/>
  <c r="BG54" i="2"/>
  <c r="BJ54" i="2" s="1"/>
  <c r="AA54" i="2"/>
  <c r="CF53" i="2"/>
  <c r="CG53" i="2" s="1"/>
  <c r="L54" i="2"/>
  <c r="AL54" i="2"/>
  <c r="CF37" i="2"/>
  <c r="CG37" i="2" s="1"/>
  <c r="AS54" i="2"/>
  <c r="AX54" i="2"/>
  <c r="S54" i="2"/>
  <c r="T54" i="2" s="1"/>
  <c r="CF39" i="2"/>
  <c r="CG39" i="2" s="1"/>
  <c r="CH54" i="2"/>
  <c r="CA54" i="2"/>
  <c r="CB54" i="2" s="1"/>
  <c r="AI54" i="2"/>
  <c r="BF54" i="2"/>
  <c r="BR54" i="2"/>
  <c r="BC54" i="2"/>
  <c r="CF38" i="2"/>
  <c r="CG38" i="2" s="1"/>
  <c r="BW31" i="2"/>
  <c r="BM31" i="2"/>
  <c r="BH31" i="2"/>
  <c r="AS31" i="2"/>
  <c r="E31" i="2"/>
  <c r="BY31" i="2"/>
  <c r="CA31" i="2"/>
  <c r="BO31" i="2"/>
  <c r="BC31" i="2"/>
  <c r="BJ31" i="2"/>
  <c r="J31" i="2"/>
  <c r="BZ31" i="2"/>
  <c r="CF30" i="2"/>
  <c r="CI30" i="2" s="1"/>
  <c r="BR31" i="2"/>
  <c r="G31" i="2"/>
  <c r="O31" i="2"/>
  <c r="CG16" i="2"/>
  <c r="AU31" i="2"/>
  <c r="W31" i="2"/>
  <c r="W4" i="2" s="1"/>
  <c r="AX31" i="2"/>
  <c r="BW5" i="2" l="1"/>
  <c r="AK31" i="2"/>
  <c r="AO4" i="2"/>
  <c r="AO5" i="2" s="1"/>
  <c r="AP29" i="2"/>
  <c r="CH29" i="2"/>
  <c r="AO31" i="2"/>
  <c r="AP31" i="2" s="1"/>
  <c r="T31" i="2"/>
  <c r="V31" i="2"/>
  <c r="BM5" i="2"/>
  <c r="V76" i="2"/>
  <c r="AN31" i="2"/>
  <c r="AN54" i="2"/>
  <c r="CH76" i="2"/>
  <c r="CI76" i="2" s="1"/>
  <c r="AS5" i="2"/>
  <c r="CI37" i="2"/>
  <c r="BH54" i="2"/>
  <c r="L4" i="2"/>
  <c r="I5" i="2"/>
  <c r="L5" i="2" s="1"/>
  <c r="BT4" i="2"/>
  <c r="BQ5" i="2"/>
  <c r="BT5" i="2" s="1"/>
  <c r="BE4" i="2"/>
  <c r="BB5" i="2"/>
  <c r="BE5" i="2" s="1"/>
  <c r="CI66" i="2"/>
  <c r="CD31" i="2"/>
  <c r="CA4" i="2"/>
  <c r="CB4" i="2" s="1"/>
  <c r="T64" i="2"/>
  <c r="V64" i="2"/>
  <c r="BH64" i="2"/>
  <c r="BJ64" i="2"/>
  <c r="AZ4" i="2"/>
  <c r="AW5" i="2"/>
  <c r="AZ5" i="2" s="1"/>
  <c r="CI61" i="2"/>
  <c r="V4" i="2"/>
  <c r="S5" i="2"/>
  <c r="V5" i="2" s="1"/>
  <c r="CI67" i="2"/>
  <c r="CI65" i="2"/>
  <c r="CB64" i="2"/>
  <c r="CD64" i="2"/>
  <c r="X5" i="2"/>
  <c r="AA5" i="2" s="1"/>
  <c r="AK4" i="2"/>
  <c r="AH5" i="2"/>
  <c r="AK5" i="2" s="1"/>
  <c r="AM5" i="2"/>
  <c r="BR4" i="2"/>
  <c r="CI39" i="2"/>
  <c r="AN64" i="2"/>
  <c r="AP64" i="2"/>
  <c r="S77" i="2"/>
  <c r="T77" i="2" s="1"/>
  <c r="AX4" i="2"/>
  <c r="CI53" i="2"/>
  <c r="CI38" i="2"/>
  <c r="Q4" i="2"/>
  <c r="N5" i="2"/>
  <c r="Q5" i="2" s="1"/>
  <c r="AO77" i="2"/>
  <c r="AP75" i="2"/>
  <c r="CG75" i="2"/>
  <c r="BY77" i="2"/>
  <c r="E5" i="2"/>
  <c r="BZ5" i="2"/>
  <c r="BF5" i="2"/>
  <c r="BH5" i="2" s="1"/>
  <c r="BH4" i="2"/>
  <c r="AD4" i="2"/>
  <c r="AB5" i="2"/>
  <c r="AD5" i="2" s="1"/>
  <c r="Y31" i="2"/>
  <c r="R5" i="2"/>
  <c r="T4" i="2"/>
  <c r="BT77" i="2"/>
  <c r="AM77" i="2"/>
  <c r="AN77" i="2" s="1"/>
  <c r="BG77" i="2"/>
  <c r="AZ77" i="2"/>
  <c r="AX77" i="2"/>
  <c r="AA77" i="2"/>
  <c r="CF64" i="2"/>
  <c r="BO77" i="2"/>
  <c r="AF77" i="2"/>
  <c r="CA77" i="2"/>
  <c r="AI77" i="2"/>
  <c r="AK77" i="2"/>
  <c r="AU77" i="2"/>
  <c r="AS77" i="2"/>
  <c r="BE77" i="2"/>
  <c r="L77" i="2"/>
  <c r="CH75" i="2"/>
  <c r="CF54" i="2"/>
  <c r="CI54" i="2" s="1"/>
  <c r="CG14" i="2"/>
  <c r="CG30" i="2"/>
  <c r="CG12" i="2"/>
  <c r="CE54" i="2"/>
  <c r="V54" i="2"/>
  <c r="CD54" i="2"/>
  <c r="CB31" i="2"/>
  <c r="CF31" i="2"/>
  <c r="CE31" i="2"/>
  <c r="CH31" i="2" l="1"/>
  <c r="CI31" i="2" s="1"/>
  <c r="CI29" i="2"/>
  <c r="T5" i="2"/>
  <c r="CH4" i="2"/>
  <c r="CH5" i="2" s="1"/>
  <c r="AP5" i="2"/>
  <c r="AP4" i="2"/>
  <c r="BR5" i="2"/>
  <c r="J5" i="2"/>
  <c r="CH77" i="2"/>
  <c r="AX5" i="2"/>
  <c r="V77" i="2"/>
  <c r="AI5" i="2"/>
  <c r="CG64" i="2"/>
  <c r="CI64" i="2"/>
  <c r="O5" i="2"/>
  <c r="CA5" i="2"/>
  <c r="CD5" i="2" s="1"/>
  <c r="CD4" i="2"/>
  <c r="CF4" i="2"/>
  <c r="BC5" i="2"/>
  <c r="CI75" i="2"/>
  <c r="Y4" i="2"/>
  <c r="AL4" i="2"/>
  <c r="W5" i="2"/>
  <c r="Y5" i="2" s="1"/>
  <c r="CG54" i="2"/>
  <c r="CB77" i="2"/>
  <c r="CD77" i="2"/>
  <c r="BH77" i="2"/>
  <c r="BJ77" i="2"/>
  <c r="AP77" i="2"/>
  <c r="CF77" i="2"/>
  <c r="CG77" i="2" s="1"/>
  <c r="CG31" i="2"/>
  <c r="CB5" i="2" l="1"/>
  <c r="CI4" i="2"/>
  <c r="CF5" i="2"/>
  <c r="CI5" i="2" s="1"/>
  <c r="CI77" i="2"/>
  <c r="AL5" i="2"/>
  <c r="AN5" i="2" s="1"/>
  <c r="AN4" i="2"/>
  <c r="CE4" i="2"/>
  <c r="CG4" i="2" l="1"/>
  <c r="CE5" i="2"/>
  <c r="CG5" i="2" s="1"/>
  <c r="E9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tc={90C7DFB4-E9F0-450F-994A-5BD219EB1B87}</author>
    <author>tc={CB60651F-CA56-4671-85C2-386682113D72}</author>
    <author>tc={F859A275-DEE0-472E-83CE-DC761AFF87BA}</author>
    <author>tc={50EB6A97-B681-4CAD-955A-8056F3F88609}</author>
    <author>tc={3A632358-8225-42B3-BE0E-B22E311C6902}</author>
    <author>tc={58BCC9F4-23AD-42F7-AAE8-9C752330CFDE}</author>
    <author>tc={BBCC4958-F3DA-4442-9DB3-2D49B8B34C58}</author>
  </authors>
  <commentList>
    <comment ref="A27" authorId="0" shapeId="0" xr:uid="{90C7DFB4-E9F0-450F-994A-5BD219EB1B87}">
      <text>
        <t>[Threaded comment]
Your version of Excel allows you to read this threaded comment; however, any edits to it will get removed if the file is opened in a newer version of Excel. Learn more: https://go.microsoft.com/fwlink/?linkid=870924
Comment:
    AKA New Partners</t>
      </text>
    </comment>
    <comment ref="A28" authorId="1" shapeId="0" xr:uid="{CB60651F-CA56-4671-85C2-386682113D72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Compulse DSP Fees/ (Datasphere)</t>
      </text>
    </comment>
    <comment ref="A29" authorId="2" shapeId="0" xr:uid="{F859A275-DEE0-472E-83CE-DC761AFF87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Direct_Legacy Rev- minus Media &amp; Data</t>
      </text>
    </comment>
    <comment ref="A52" authorId="3" shapeId="0" xr:uid="{50EB6A97-B681-4CAD-955A-8056F3F88609}">
      <text>
        <t>[Threaded comment]
Your version of Excel allows you to read this threaded comment; however, any edits to it will get removed if the file is opened in a newer version of Excel. Learn more: https://go.microsoft.com/fwlink/?linkid=870924
Comment:
    AKA New Partners</t>
      </text>
    </comment>
    <comment ref="A53" authorId="4" shapeId="0" xr:uid="{3A632358-8225-42B3-BE0E-B22E311C6902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Direct_Legacy Rev- minus Media &amp; Data</t>
      </text>
    </comment>
    <comment ref="A75" authorId="5" shapeId="0" xr:uid="{58BCC9F4-23AD-42F7-AAE8-9C752330CFDE}">
      <text>
        <t>[Threaded comment]
Your version of Excel allows you to read this threaded comment; however, any edits to it will get removed if the file is opened in a newer version of Excel. Learn more: https://go.microsoft.com/fwlink/?linkid=870924
Comment:
    AKA New Partners</t>
      </text>
    </comment>
    <comment ref="A76" authorId="6" shapeId="0" xr:uid="{BBCC4958-F3DA-4442-9DB3-2D49B8B34C58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Direct_Legacy_Retail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tc={0054A31A-2AB2-441D-9AAD-9C8F7082B169}</author>
    <author>tc={FD6753E9-051E-4756-9B5F-B8D5667F8B0F}</author>
  </authors>
  <commentList>
    <comment ref="B24" authorId="0" shapeId="0" xr:uid="{0054A31A-2AB2-441D-9AAD-9C8F7082B169}">
      <text>
        <t>[Threaded comment]
Your version of Excel allows you to read this threaded comment; however, any edits to it will get removed if the file is opened in a newer version of Excel. Learn more: https://go.microsoft.com/fwlink/?linkid=870924
Comment:
    Yolo 20'-21 annual, ends June</t>
      </text>
    </comment>
    <comment ref="B33" authorId="1" shapeId="0" xr:uid="{FD6753E9-051E-4756-9B5F-B8D5667F8B0F}">
      <text>
        <t>[Threaded comment]
Your version of Excel allows you to read this threaded comment; however, any edits to it will get removed if the file is opened in a newer version of Excel. Learn more: https://go.microsoft.com/fwlink/?linkid=870924
Comment:
    Miller (Shop your City)- May flip to SaaS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tc={0CA430E6-C69F-4DA6-84CC-561C8D38C891}</author>
    <author>Charel MacIntosh</author>
    <author>tc={A4ADA42E-4725-4F2C-A289-93ADEC70F33F}</author>
    <author>tc={85D1B9B7-9444-4534-8D6D-34D206673694}</author>
  </authors>
  <commentList>
    <comment ref="B3" authorId="0" shapeId="0" xr:uid="{0CA430E6-C69F-4DA6-84CC-561C8D38C891}">
      <text>
        <t>[Threaded comment]
Your version of Excel allows you to read this threaded comment; however, any edits to it will get removed if the file is opened in a newer version of Excel. Learn more: https://go.microsoft.com/fwlink/?linkid=870924
Comment:
    (Formerly Tal's)</t>
      </text>
    </comment>
    <comment ref="B4" authorId="1" shapeId="0" xr:uid="{CE3279B8-2960-0F44-A757-4FDE460FDE0C}">
      <text>
        <r>
          <rPr>
            <b/>
            <sz val="10"/>
            <color rgb="FF000000"/>
            <rFont val="Tahoma"/>
            <family val="2"/>
          </rPr>
          <t>Charel MacIntosh: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is OTT and CDV reporting fees
</t>
        </r>
      </text>
    </comment>
    <comment ref="B5" authorId="2" shapeId="0" xr:uid="{A4ADA42E-4725-4F2C-A289-93ADEC70F33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 $1000</t>
      </text>
    </comment>
    <comment ref="B46" authorId="3" shapeId="0" xr:uid="{85D1B9B7-9444-4534-8D6D-34D206673694}">
      <text>
        <t>[Threaded comment]
Your version of Excel allows you to read this threaded comment; however, any edits to it will get removed if the file is opened in a newer version of Excel. Learn more: https://go.microsoft.com/fwlink/?linkid=870924
Comment:
    CPM Based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tc={AFF4C327-0BF7-477E-A4FB-02AE8A2E4742}</author>
    <author>Charel MacIntosh</author>
  </authors>
  <commentList>
    <comment ref="B3" authorId="0" shapeId="0" xr:uid="{AFF4C327-0BF7-477E-A4FB-02AE8A2E4742}">
      <text>
        <t>[Threaded comment]
Your version of Excel allows you to read this threaded comment; however, any edits to it will get removed if the file is opened in a newer version of Excel. Learn more: https://go.microsoft.com/fwlink/?linkid=870924
Comment:
    (Formerly Tal's)</t>
      </text>
    </comment>
    <comment ref="C16" authorId="1" shapeId="0" xr:uid="{0AADE7A3-A815-5941-A0B1-E1BDC554C23E}">
      <text>
        <r>
          <rPr>
            <b/>
            <sz val="10"/>
            <color rgb="FF000000"/>
            <rFont val="Tahoma"/>
            <family val="2"/>
          </rPr>
          <t>Charel MacIntosh: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COntract is in effect 4/1</t>
        </r>
      </text>
    </comment>
    <comment ref="AA45" authorId="1" shapeId="0" xr:uid="{F3161CBE-7045-2E4B-B0AB-7B879FB8267B}">
      <text>
        <r>
          <rPr>
            <b/>
            <sz val="10"/>
            <color rgb="FF000000"/>
            <rFont val="Tahoma"/>
            <family val="2"/>
          </rPr>
          <t>Charel MacIntosh: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New MS fee applies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tc={6261A23F-CD1B-456B-844A-C90C3F29F7C7}</author>
  </authors>
  <commentList>
    <comment ref="B3" authorId="0" shapeId="0" xr:uid="{6261A23F-CD1B-456B-844A-C90C3F29F7C7}">
      <text>
        <t>[Threaded comment]
Your version of Excel allows you to read this threaded comment; however, any edits to it will get removed if the file is opened in a newer version of Excel. Learn more: https://go.microsoft.com/fwlink/?linkid=870924
Comment:
    (Formerly Tal's)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tc={0054A31A-2AB2-441E-9AAD-9C8F7082B169}</author>
  </authors>
  <commentList>
    <comment ref="B28" authorId="0" shapeId="0" xr:uid="{47B56EB2-07D9-3D43-A833-E8B63B5D3988}">
      <text>
        <t>[Threaded comment]
Your version of Excel allows you to read this threaded comment; however, any edits to it will get removed if the file is opened in a newer version of Excel. Learn more: https://go.microsoft.com/fwlink/?linkid=870924
Comment:
    Yolo 20'-21 annual, ends June</t>
      </text>
    </comment>
  </commentList>
</comments>
</file>

<file path=xl/sharedStrings.xml><?xml version="1.0" encoding="utf-8"?>
<sst xmlns="http://schemas.openxmlformats.org/spreadsheetml/2006/main" count="5621" uniqueCount="183">
  <si>
    <t>ZM Revenue Pacing</t>
  </si>
  <si>
    <t>period</t>
  </si>
  <si>
    <t>organization</t>
  </si>
  <si>
    <t>revenue</t>
  </si>
  <si>
    <t>zm_goal</t>
  </si>
  <si>
    <t>Retail Revenue Pacing</t>
  </si>
  <si>
    <t>retail_goal</t>
  </si>
  <si>
    <t>Other Tier 2&amp;3 Retail Revenue</t>
  </si>
  <si>
    <t>Jul</t>
  </si>
  <si>
    <t>May</t>
  </si>
  <si>
    <t>Apr</t>
  </si>
  <si>
    <t>Pikewood Digital</t>
  </si>
  <si>
    <t>Aug</t>
  </si>
  <si>
    <t>Orange Theory</t>
  </si>
  <si>
    <t>Sep</t>
  </si>
  <si>
    <t>Jun</t>
  </si>
  <si>
    <t>Jan</t>
  </si>
  <si>
    <t>Nov</t>
  </si>
  <si>
    <t>Datasphere</t>
  </si>
  <si>
    <t>Marquee Sports Network</t>
  </si>
  <si>
    <t>FORECAST</t>
  </si>
  <si>
    <t>2021 ZM REVENUE</t>
  </si>
  <si>
    <t>Feb</t>
  </si>
  <si>
    <t>Mar</t>
  </si>
  <si>
    <t>Q1</t>
  </si>
  <si>
    <t>Q2</t>
  </si>
  <si>
    <t>Q3</t>
  </si>
  <si>
    <t>Oct</t>
  </si>
  <si>
    <t>Dec</t>
  </si>
  <si>
    <t>Q4</t>
  </si>
  <si>
    <t>group</t>
  </si>
  <si>
    <t>ZM Rev</t>
  </si>
  <si>
    <t>ZM Goal</t>
  </si>
  <si>
    <t>% to Goal</t>
  </si>
  <si>
    <t>Forecast</t>
  </si>
  <si>
    <t>Forecast vs Goal</t>
  </si>
  <si>
    <t>Sinclair Sweeps</t>
  </si>
  <si>
    <t>Sinclair Regional Sports</t>
  </si>
  <si>
    <t>Sinclair Markets</t>
  </si>
  <si>
    <t>Sinclair Markets (Political)</t>
  </si>
  <si>
    <t>Univision National</t>
  </si>
  <si>
    <t>Univision Political</t>
  </si>
  <si>
    <t>Univision Core</t>
  </si>
  <si>
    <t>Nulogic Marketing</t>
  </si>
  <si>
    <t>Euclid Media Group</t>
  </si>
  <si>
    <t>Cumulus</t>
  </si>
  <si>
    <t>Cunningham Media</t>
  </si>
  <si>
    <t>CBS ONO</t>
  </si>
  <si>
    <t>Hearst Media</t>
  </si>
  <si>
    <t>Other Tier 2&amp;3 Partners</t>
  </si>
  <si>
    <t>Sinclair Digital Group</t>
  </si>
  <si>
    <t>Univision</t>
  </si>
  <si>
    <t>Direct</t>
  </si>
  <si>
    <t>Data</t>
  </si>
  <si>
    <t>MEDIA/DATA PASS Thru</t>
  </si>
  <si>
    <t>Cost</t>
  </si>
  <si>
    <t>Planned Cost</t>
  </si>
  <si>
    <t>% to Plan</t>
  </si>
  <si>
    <t>Forecast vs Plan</t>
  </si>
  <si>
    <t>Sinclair Regional Sports (Political)</t>
  </si>
  <si>
    <t>Pass Through</t>
  </si>
  <si>
    <t>2021 RETAIL REVENUE</t>
  </si>
  <si>
    <t>Retail Rev</t>
  </si>
  <si>
    <t>Retail Goal</t>
  </si>
  <si>
    <t>Tier 2 &amp; Tier 3 Detail-(placeholder budgets-excludes those with hard allocated budgets)</t>
  </si>
  <si>
    <t>1797 Creative</t>
  </si>
  <si>
    <t>21st Century Healthcare Consultants</t>
  </si>
  <si>
    <t>Adams Outdoor</t>
  </si>
  <si>
    <t>HenkinSchultz</t>
  </si>
  <si>
    <t>HomeSlice Media</t>
  </si>
  <si>
    <t>NNE</t>
  </si>
  <si>
    <t>NY Interconnect</t>
  </si>
  <si>
    <t>OverTheTop Marketing</t>
  </si>
  <si>
    <t>WFMJ</t>
  </si>
  <si>
    <t>Other Tier 2&amp;3 (Roll-up) New Partners</t>
  </si>
  <si>
    <t>Estrella Media</t>
  </si>
  <si>
    <t>KDOC</t>
  </si>
  <si>
    <t>Unassigned New Tier 2&amp;3 Partners</t>
  </si>
  <si>
    <t>Combined Forecast</t>
  </si>
  <si>
    <t>Zyp + Compulse</t>
  </si>
  <si>
    <t>Rev</t>
  </si>
  <si>
    <t>Goal</t>
  </si>
  <si>
    <t>Compulse SaaS &amp; Management Fees</t>
  </si>
  <si>
    <t>Lic Fee Revenue</t>
  </si>
  <si>
    <t>Vervocity</t>
  </si>
  <si>
    <t>McLean Communications</t>
  </si>
  <si>
    <t>actual cost</t>
  </si>
  <si>
    <t>planned cost</t>
  </si>
  <si>
    <t>House/Charel</t>
  </si>
  <si>
    <t>South</t>
  </si>
  <si>
    <t>Aggregated Direct</t>
  </si>
  <si>
    <t>West</t>
  </si>
  <si>
    <t>North</t>
  </si>
  <si>
    <t>Mid-Mtn</t>
  </si>
  <si>
    <t>South Region</t>
  </si>
  <si>
    <t>Charel</t>
  </si>
  <si>
    <t>University of Mississippi</t>
  </si>
  <si>
    <t>Direct Total</t>
  </si>
  <si>
    <t>West Region</t>
  </si>
  <si>
    <t>House</t>
  </si>
  <si>
    <t xml:space="preserve"> North Region</t>
  </si>
  <si>
    <t>Mid-Mtn Region</t>
  </si>
  <si>
    <t>salesperson</t>
  </si>
  <si>
    <t>forecast</t>
  </si>
  <si>
    <t>Miller Advertising</t>
  </si>
  <si>
    <t>Diversified Digital Marketing Service</t>
  </si>
  <si>
    <t>Yolo Federal Credit Union</t>
  </si>
  <si>
    <t>Direct Retail &amp; Forecast</t>
  </si>
  <si>
    <t>space150</t>
  </si>
  <si>
    <t>ZM DIRECT REVENUE
 (roll-up)</t>
  </si>
  <si>
    <t>2021 DIRECT RETAIL REVENUE</t>
  </si>
  <si>
    <t>Group</t>
  </si>
  <si>
    <t>Goup</t>
  </si>
  <si>
    <t>Compulse (Datasphere)</t>
  </si>
  <si>
    <t>Booked Rev</t>
  </si>
  <si>
    <t>DS SaaS Fee Summary</t>
  </si>
  <si>
    <t>DS Management Fee Summary</t>
  </si>
  <si>
    <t>DS Media/Data Pass-Thru Summary</t>
  </si>
  <si>
    <t>2020 Avg. for Forecasting</t>
  </si>
  <si>
    <t>2021 SaaS</t>
  </si>
  <si>
    <t>SaaS Start</t>
  </si>
  <si>
    <t>SaaS Rev</t>
  </si>
  <si>
    <t>SaaS Goal</t>
  </si>
  <si>
    <t>SaaS Fees</t>
  </si>
  <si>
    <t>Purple Gator</t>
  </si>
  <si>
    <t>Bri</t>
  </si>
  <si>
    <t>Dealer Alchemist</t>
  </si>
  <si>
    <t>2021 MS</t>
  </si>
  <si>
    <t>Management Fees</t>
  </si>
  <si>
    <t>MS Rev</t>
  </si>
  <si>
    <t>MS Goal</t>
  </si>
  <si>
    <t>Q1 MS Rev</t>
  </si>
  <si>
    <t>Q1 MS Goal</t>
  </si>
  <si>
    <t>Q1 Forecast vs Goal</t>
  </si>
  <si>
    <t>Leverage10</t>
  </si>
  <si>
    <t>Media/Data Pass Thru</t>
  </si>
  <si>
    <t>Planned Spend</t>
  </si>
  <si>
    <t>Unlimited</t>
  </si>
  <si>
    <t># of accounts</t>
  </si>
  <si>
    <t>LPP</t>
  </si>
  <si>
    <t>agency</t>
  </si>
  <si>
    <t>saas fee</t>
  </si>
  <si>
    <t>saas goal</t>
  </si>
  <si>
    <t>Compulse</t>
  </si>
  <si>
    <t>ms%</t>
  </si>
  <si>
    <t>ms fee</t>
  </si>
  <si>
    <t>ms goal</t>
  </si>
  <si>
    <t>Compulse MS fee</t>
  </si>
  <si>
    <t>Compulse Pass Thru</t>
  </si>
  <si>
    <t>Agency</t>
  </si>
  <si>
    <t>MS%</t>
  </si>
  <si>
    <t>Saas Rev</t>
  </si>
  <si>
    <t>SaaS Fees(roll up)</t>
  </si>
  <si>
    <t>Management Fees (roll up)</t>
  </si>
  <si>
    <t>Media/Data Pass Thru (roll up)</t>
  </si>
  <si>
    <t>2021 Pass Thru</t>
  </si>
  <si>
    <t>TBA</t>
  </si>
  <si>
    <t>QBall Digital Agency</t>
  </si>
  <si>
    <t>GRO Marketing</t>
  </si>
  <si>
    <t>Sinclair CPM SaaS</t>
  </si>
  <si>
    <t>KDOC CPM SaaS</t>
  </si>
  <si>
    <t xml:space="preserve">House </t>
  </si>
  <si>
    <t xml:space="preserve"> Saas</t>
  </si>
  <si>
    <t>Tier 2 &amp;3 Detail Hidden</t>
  </si>
  <si>
    <t>Briana</t>
  </si>
  <si>
    <t>Win Big</t>
  </si>
  <si>
    <t>media cost</t>
  </si>
  <si>
    <t>data cost</t>
  </si>
  <si>
    <t>Media Spend</t>
  </si>
  <si>
    <t>Data Spend</t>
  </si>
  <si>
    <t>First Media, LLC</t>
  </si>
  <si>
    <t>Fran DiCarlo</t>
  </si>
  <si>
    <t>2021 Wholesale</t>
  </si>
  <si>
    <t>Wholesale Start</t>
  </si>
  <si>
    <t>Wholesale Rev</t>
  </si>
  <si>
    <t>wholesale rev</t>
  </si>
  <si>
    <t>Compulse Wholesale</t>
  </si>
  <si>
    <t>Wholesale Rev
(roll up)</t>
  </si>
  <si>
    <t xml:space="preserve"> </t>
  </si>
  <si>
    <t xml:space="preserve">  </t>
  </si>
  <si>
    <t>(4/1 onward moved to Compulse Wholesale)</t>
  </si>
  <si>
    <t>Compulse Lic fee</t>
  </si>
  <si>
    <t>lic 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</si>
</sst>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  <numFmt numFmtId="166" formatCode="_(&quot;$&quot;* #,##0.0_);_(&quot;$&quot;* \(#,##0.0\);_(&quot;$&quot;* &quot;-&quot;??_);_(@_)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Helvetica Neue"/>
      <family val="2"/>
    </font>
    <font>
      <b/>
      <sz val="10"/>
      <name val="Helvetica Neue"/>
      <family val="2"/>
    </font>
    <font>
      <sz val="10"/>
      <name val="Helvetica Neue"/>
      <family val="2"/>
    </font>
    <font>
      <b/>
      <sz val="10"/>
      <color rgb="FF000000"/>
      <name val="Helvetica Neue"/>
      <family val="2"/>
    </font>
    <font>
      <sz val="10"/>
      <color theme="0"/>
      <name val="Helvetica Neue"/>
      <family val="2"/>
    </font>
    <font>
      <sz val="10"/>
      <color rgb="FF000000"/>
      <name val="Helvetica Neue"/>
      <family val="2"/>
    </font>
    <font>
      <sz val="10"/>
      <color theme="1"/>
      <name val="Helvetica Neue"/>
      <family val="2"/>
    </font>
    <font>
      <b/>
      <sz val="10"/>
      <color rgb="FF000000"/>
      <name val="Helvetica Neue"/>
      <family val="2"/>
    </font>
    <font>
      <b/>
      <sz val="10"/>
      <name val="Helvetica Neue"/>
      <family val="2"/>
    </font>
    <font>
      <b/>
      <sz val="10"/>
      <color theme="1"/>
      <name val="Helvetica Neue"/>
      <family val="2"/>
    </font>
    <font>
      <sz val="12"/>
      <name val="Helvetica"/>
      <family val="2"/>
    </font>
    <font>
      <sz val="10"/>
      <name val="Calibri"/>
      <family val="2"/>
      <scheme val="minor"/>
    </font>
    <font>
      <b/>
      <sz val="10"/>
      <color theme="0"/>
      <name val="Helvetica Neue"/>
      <family val="2"/>
    </font>
    <font>
      <sz val="10"/>
      <color rgb="FF000000"/>
      <name val="Helvetica Neue"/>
      <family val="2"/>
    </font>
    <font>
      <sz val="10"/>
      <name val="Helvetica Neue"/>
      <family val="2"/>
    </font>
    <font>
      <sz val="10"/>
      <color theme="0"/>
      <name val="Helvetica Neue"/>
      <family val="2"/>
    </font>
    <font>
      <sz val="10"/>
      <color theme="1"/>
      <name val="Helvetica Neue"/>
      <family val="2"/>
    </font>
    <font>
      <b/>
      <sz val="14"/>
      <color rgb="FFFF6600"/>
      <name val="Cambria"/>
      <family val="1"/>
    </font>
    <font>
      <b/>
      <sz val="8"/>
      <color rgb="FF000000"/>
      <name val="Helvetica Neue"/>
      <family val="2"/>
    </font>
    <font>
      <sz val="10"/>
      <color rgb="FFFF0000"/>
      <name val="Helvetica Neue"/>
      <family val="2"/>
    </font>
    <font>
      <sz val="11"/>
      <color rgb="FFFF0000"/>
      <name val="Calibri"/>
      <family val="2"/>
      <scheme val="minor"/>
    </font>
    <font>
      <sz val="10"/>
      <color rgb="FF000000"/>
      <name val="Helvetica Neue"/>
      <family val="2"/>
    </font>
    <font>
      <sz val="10"/>
      <color theme="1"/>
      <name val="Helvetica Neue"/>
      <family val="2"/>
    </font>
    <font>
      <sz val="10"/>
      <color theme="0"/>
      <name val="Helvetica Neue"/>
      <family val="2"/>
    </font>
    <font>
      <sz val="10"/>
      <name val="Helvetica Neue"/>
      <family val="2"/>
    </font>
    <font>
      <b/>
      <sz val="10"/>
      <color rgb="FF000000"/>
      <name val="Helvetica Neue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 tint="-0.34998626667073579"/>
      <name val="Helvetica Neue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40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6" tint="0.79998168889431442"/>
      </patternFill>
    </fill>
    <fill>
      <patternFill patternType="solid">
        <fgColor theme="8" tint="0.79998168889431442"/>
        <bgColor theme="6" tint="0.79998168889431442"/>
      </patternFill>
    </fill>
    <fill>
      <patternFill patternType="solid">
        <fgColor theme="0" tint="-0.14999847407452621"/>
        <bgColor theme="6" tint="0.79998168889431442"/>
      </patternFill>
    </fill>
    <fill>
      <patternFill patternType="solid">
        <fgColor rgb="FFDDEBF7"/>
        <bgColor rgb="FF000000"/>
      </patternFill>
    </fill>
    <fill>
      <patternFill patternType="solid">
        <fgColor indexed="6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theme="6" tint="0.79998168889431442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4062"/>
      </left>
      <right style="medium">
        <color rgb="FF004062"/>
      </right>
      <top style="medium">
        <color rgb="FF004062"/>
      </top>
      <bottom style="thin">
        <color theme="0"/>
      </bottom>
      <diagonal/>
    </border>
    <border>
      <left style="medium">
        <color rgb="FF004062"/>
      </left>
      <right style="medium">
        <color rgb="FF004062"/>
      </right>
      <top style="thin">
        <color theme="0"/>
      </top>
      <bottom style="thin">
        <color theme="0"/>
      </bottom>
      <diagonal/>
    </border>
    <border>
      <left style="medium">
        <color rgb="FF004062"/>
      </left>
      <right/>
      <top/>
      <bottom style="medium">
        <color rgb="FF004062"/>
      </bottom>
      <diagonal/>
    </border>
    <border>
      <left/>
      <right/>
      <top/>
      <bottom style="medium">
        <color rgb="FF004062"/>
      </bottom>
      <diagonal/>
    </border>
    <border>
      <left/>
      <right style="medium">
        <color indexed="64"/>
      </right>
      <top/>
      <bottom style="medium">
        <color rgb="FF004062"/>
      </bottom>
      <diagonal/>
    </border>
    <border>
      <left style="medium">
        <color indexed="64"/>
      </left>
      <right/>
      <top/>
      <bottom style="medium">
        <color rgb="FF004062"/>
      </bottom>
      <diagonal/>
    </border>
    <border>
      <left/>
      <right style="medium">
        <color rgb="FF004062"/>
      </right>
      <top/>
      <bottom style="medium">
        <color rgb="FF004062"/>
      </bottom>
      <diagonal/>
    </border>
    <border>
      <left style="medium">
        <color rgb="FF004062"/>
      </left>
      <right style="thin">
        <color theme="0"/>
      </right>
      <top style="medium">
        <color rgb="FF0040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4062"/>
      </top>
      <bottom style="thin">
        <color theme="0"/>
      </bottom>
      <diagonal/>
    </border>
    <border>
      <left style="thin">
        <color theme="0"/>
      </left>
      <right/>
      <top style="medium">
        <color rgb="FF004062"/>
      </top>
      <bottom style="thin">
        <color theme="0"/>
      </bottom>
      <diagonal/>
    </border>
    <border>
      <left/>
      <right style="thin">
        <color theme="0"/>
      </right>
      <top style="medium">
        <color rgb="FF004062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rgb="FF004062"/>
      </top>
      <bottom style="thin">
        <color theme="0"/>
      </bottom>
      <diagonal/>
    </border>
    <border>
      <left/>
      <right style="medium">
        <color rgb="FF004062"/>
      </right>
      <top style="medium">
        <color rgb="FF004062"/>
      </top>
      <bottom style="thin">
        <color theme="0"/>
      </bottom>
      <diagonal/>
    </border>
    <border>
      <left/>
      <right style="medium">
        <color indexed="64"/>
      </right>
      <top style="medium">
        <color rgb="FF004062"/>
      </top>
      <bottom style="thin">
        <color theme="0"/>
      </bottom>
      <diagonal/>
    </border>
    <border>
      <left style="medium">
        <color rgb="FF004062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rgb="FF004062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40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004062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4062"/>
      </left>
      <right style="medium">
        <color rgb="FF004062"/>
      </right>
      <top/>
      <bottom style="thin">
        <color theme="0"/>
      </bottom>
      <diagonal/>
    </border>
    <border>
      <left style="medium">
        <color rgb="FF004062"/>
      </left>
      <right/>
      <top/>
      <bottom style="thin">
        <color theme="0"/>
      </bottom>
      <diagonal/>
    </border>
    <border>
      <left style="thin">
        <color theme="0"/>
      </left>
      <right style="medium">
        <color rgb="FF004062"/>
      </right>
      <top/>
      <bottom style="thin">
        <color theme="0"/>
      </bottom>
      <diagonal/>
    </border>
    <border>
      <left style="medium">
        <color rgb="FF004062"/>
      </left>
      <right style="medium">
        <color rgb="FF004062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rgb="FF004062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4062"/>
      </left>
      <right style="thin">
        <color theme="0"/>
      </right>
      <top style="thin">
        <color theme="0"/>
      </top>
      <bottom/>
      <diagonal/>
    </border>
    <border>
      <left style="medium">
        <color rgb="FF004062"/>
      </left>
      <right/>
      <top/>
      <bottom/>
      <diagonal/>
    </border>
    <border>
      <left style="medium">
        <color rgb="FF004062"/>
      </left>
      <right style="medium">
        <color rgb="FF004062"/>
      </right>
      <top style="thin">
        <color indexed="64"/>
      </top>
      <bottom style="double">
        <color indexed="64"/>
      </bottom>
      <diagonal/>
    </border>
    <border>
      <left style="medium">
        <color rgb="FF004062"/>
      </left>
      <right/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FFFFFF"/>
      </left>
      <right style="medium">
        <color rgb="FF004062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004062"/>
      </right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 style="medium">
        <color rgb="FF004062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rgb="FF004062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medium">
        <color rgb="FF004062"/>
      </right>
      <top style="thin">
        <color theme="0"/>
      </top>
      <bottom/>
      <diagonal/>
    </border>
    <border>
      <left style="medium">
        <color rgb="FF004062"/>
      </left>
      <right style="medium">
        <color rgb="FF004062"/>
      </right>
      <top style="medium">
        <color rgb="FF004062"/>
      </top>
      <bottom/>
      <diagonal/>
    </border>
    <border>
      <left style="medium">
        <color rgb="FF004062"/>
      </left>
      <right style="thin">
        <color theme="0"/>
      </right>
      <top style="medium">
        <color rgb="FF004062"/>
      </top>
      <bottom/>
      <diagonal/>
    </border>
    <border>
      <left style="thin">
        <color theme="0"/>
      </left>
      <right/>
      <top style="medium">
        <color rgb="FF004062"/>
      </top>
      <bottom/>
      <diagonal/>
    </border>
    <border>
      <left/>
      <right style="thin">
        <color theme="0"/>
      </right>
      <top style="medium">
        <color rgb="FF004062"/>
      </top>
      <bottom/>
      <diagonal/>
    </border>
    <border>
      <left style="thin">
        <color theme="0"/>
      </left>
      <right style="medium">
        <color indexed="64"/>
      </right>
      <top style="medium">
        <color rgb="FF004062"/>
      </top>
      <bottom/>
      <diagonal/>
    </border>
    <border>
      <left/>
      <right style="medium">
        <color rgb="FF004062"/>
      </right>
      <top style="medium">
        <color rgb="FF004062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004062"/>
      </left>
      <right style="medium">
        <color rgb="FF004062"/>
      </right>
      <top style="thin">
        <color indexed="64"/>
      </top>
      <bottom style="thin">
        <color theme="0"/>
      </bottom>
      <diagonal/>
    </border>
    <border>
      <left style="medium">
        <color rgb="FF004062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rgb="FF004062"/>
      </left>
      <right style="medium">
        <color rgb="FF004062"/>
      </right>
      <top style="thin">
        <color rgb="FFFFFF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4062"/>
      </left>
      <right style="medium">
        <color rgb="FF004062"/>
      </right>
      <top style="thin">
        <color indexed="64"/>
      </top>
      <bottom style="thin">
        <color indexed="64"/>
      </bottom>
      <diagonal/>
    </border>
    <border>
      <left style="medium">
        <color rgb="FF004062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4062"/>
      </left>
      <right/>
      <top style="medium">
        <color rgb="FF004062"/>
      </top>
      <bottom/>
      <diagonal/>
    </border>
    <border>
      <left style="medium">
        <color rgb="FF004062"/>
      </left>
      <right/>
      <top style="medium">
        <color rgb="FF004062"/>
      </top>
      <bottom style="thin">
        <color theme="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4062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rgb="FF004062"/>
      </left>
      <right style="medium">
        <color indexed="64"/>
      </right>
      <top style="thin">
        <color theme="0"/>
      </top>
      <bottom/>
      <diagonal/>
    </border>
    <border>
      <left style="medium">
        <color rgb="FF004062"/>
      </left>
      <right/>
      <top style="thin">
        <color indexed="64"/>
      </top>
      <bottom style="thin">
        <color theme="0"/>
      </bottom>
      <diagonal/>
    </border>
    <border>
      <left style="medium">
        <color rgb="FF004062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4062"/>
      </left>
      <right style="thin">
        <color theme="0"/>
      </right>
      <top style="thin">
        <color indexed="64"/>
      </top>
      <bottom/>
      <diagonal/>
    </border>
    <border>
      <left style="medium">
        <color rgb="FF004062"/>
      </left>
      <right style="medium">
        <color rgb="FF004062"/>
      </right>
      <top/>
      <bottom/>
      <diagonal/>
    </border>
    <border>
      <left style="medium">
        <color rgb="FF004062"/>
      </left>
      <right style="thin">
        <color theme="0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624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4" fillId="6" borderId="4" xfId="2" applyFont="1" applyFill="1" applyBorder="1" applyAlignment="1">
      <alignment horizontal="center" vertical="center"/>
    </xf>
    <xf numFmtId="0" fontId="6" fillId="0" borderId="0" xfId="2" applyFont="1"/>
    <xf numFmtId="0" fontId="7" fillId="2" borderId="5" xfId="2" applyFont="1" applyFill="1" applyBorder="1" applyAlignment="1">
      <alignment horizontal="center" vertical="center"/>
    </xf>
    <xf numFmtId="0" fontId="9" fillId="10" borderId="5" xfId="2" applyFont="1" applyFill="1" applyBorder="1"/>
    <xf numFmtId="0" fontId="6" fillId="0" borderId="26" xfId="2" applyFont="1" applyBorder="1"/>
    <xf numFmtId="0" fontId="9" fillId="10" borderId="27" xfId="2" applyFont="1" applyFill="1" applyBorder="1"/>
    <xf numFmtId="0" fontId="7" fillId="10" borderId="5" xfId="2" applyFont="1" applyFill="1" applyBorder="1"/>
    <xf numFmtId="0" fontId="7" fillId="10" borderId="27" xfId="2" applyFont="1" applyFill="1" applyBorder="1"/>
    <xf numFmtId="0" fontId="7" fillId="10" borderId="30" xfId="2" applyFont="1" applyFill="1" applyBorder="1"/>
    <xf numFmtId="0" fontId="7" fillId="10" borderId="5" xfId="2" applyFont="1" applyFill="1" applyBorder="1" applyAlignment="1">
      <alignment wrapText="1"/>
    </xf>
    <xf numFmtId="0" fontId="7" fillId="10" borderId="30" xfId="2" applyFont="1" applyFill="1" applyBorder="1" applyAlignment="1">
      <alignment wrapText="1"/>
    </xf>
    <xf numFmtId="0" fontId="8" fillId="0" borderId="0" xfId="2" applyFont="1" applyAlignment="1">
      <alignment vertical="center"/>
    </xf>
    <xf numFmtId="165" fontId="4" fillId="6" borderId="11" xfId="2" applyNumberFormat="1" applyFont="1" applyFill="1" applyBorder="1" applyAlignment="1">
      <alignment horizontal="center" vertical="center"/>
    </xf>
    <xf numFmtId="165" fontId="9" fillId="7" borderId="19" xfId="4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4" fillId="6" borderId="12" xfId="2" applyNumberFormat="1" applyFont="1" applyFill="1" applyBorder="1" applyAlignment="1">
      <alignment horizontal="center" vertical="center"/>
    </xf>
    <xf numFmtId="165" fontId="9" fillId="7" borderId="22" xfId="4" applyNumberFormat="1" applyFont="1" applyFill="1" applyBorder="1" applyAlignment="1">
      <alignment horizontal="center"/>
    </xf>
    <xf numFmtId="165" fontId="4" fillId="6" borderId="14" xfId="2" applyNumberFormat="1" applyFont="1" applyFill="1" applyBorder="1" applyAlignment="1">
      <alignment horizontal="center" vertical="center"/>
    </xf>
    <xf numFmtId="165" fontId="9" fillId="11" borderId="21" xfId="4" applyNumberFormat="1" applyFont="1" applyFill="1" applyBorder="1" applyAlignment="1">
      <alignment horizontal="center"/>
    </xf>
    <xf numFmtId="165" fontId="4" fillId="6" borderId="16" xfId="3" applyNumberFormat="1" applyFont="1" applyFill="1" applyBorder="1" applyAlignment="1">
      <alignment horizontal="center" vertical="center"/>
    </xf>
    <xf numFmtId="165" fontId="9" fillId="12" borderId="18" xfId="4" applyNumberFormat="1" applyFont="1" applyFill="1" applyBorder="1" applyAlignment="1">
      <alignment horizontal="center"/>
    </xf>
    <xf numFmtId="165" fontId="9" fillId="13" borderId="22" xfId="4" applyNumberFormat="1" applyFont="1" applyFill="1" applyBorder="1" applyAlignment="1">
      <alignment horizontal="center"/>
    </xf>
    <xf numFmtId="165" fontId="9" fillId="13" borderId="19" xfId="4" applyNumberFormat="1" applyFont="1" applyFill="1" applyBorder="1" applyAlignment="1">
      <alignment horizontal="center"/>
    </xf>
    <xf numFmtId="165" fontId="5" fillId="0" borderId="0" xfId="2" applyNumberFormat="1" applyFont="1" applyAlignment="1">
      <alignment horizontal="center"/>
    </xf>
    <xf numFmtId="0" fontId="11" fillId="10" borderId="5" xfId="2" applyFont="1" applyFill="1" applyBorder="1"/>
    <xf numFmtId="165" fontId="11" fillId="7" borderId="23" xfId="4" applyNumberFormat="1" applyFont="1" applyFill="1" applyBorder="1" applyAlignment="1">
      <alignment horizontal="center"/>
    </xf>
    <xf numFmtId="165" fontId="11" fillId="12" borderId="23" xfId="4" applyNumberFormat="1" applyFont="1" applyFill="1" applyBorder="1" applyAlignment="1">
      <alignment horizontal="center"/>
    </xf>
    <xf numFmtId="0" fontId="12" fillId="0" borderId="0" xfId="2" applyFont="1"/>
    <xf numFmtId="0" fontId="11" fillId="10" borderId="27" xfId="2" applyFont="1" applyFill="1" applyBorder="1"/>
    <xf numFmtId="165" fontId="11" fillId="7" borderId="18" xfId="4" applyNumberFormat="1" applyFont="1" applyFill="1" applyBorder="1" applyAlignment="1">
      <alignment horizontal="center"/>
    </xf>
    <xf numFmtId="165" fontId="11" fillId="12" borderId="18" xfId="4" applyNumberFormat="1" applyFont="1" applyFill="1" applyBorder="1" applyAlignment="1">
      <alignment horizontal="center"/>
    </xf>
    <xf numFmtId="165" fontId="6" fillId="10" borderId="23" xfId="4" applyNumberFormat="1" applyFont="1" applyFill="1" applyBorder="1" applyAlignment="1">
      <alignment horizontal="center"/>
    </xf>
    <xf numFmtId="165" fontId="9" fillId="10" borderId="24" xfId="4" applyNumberFormat="1" applyFont="1" applyFill="1" applyBorder="1" applyAlignment="1">
      <alignment horizontal="center"/>
    </xf>
    <xf numFmtId="165" fontId="9" fillId="10" borderId="18" xfId="4" applyNumberFormat="1" applyFont="1" applyFill="1" applyBorder="1" applyAlignment="1">
      <alignment horizontal="center"/>
    </xf>
    <xf numFmtId="165" fontId="9" fillId="10" borderId="22" xfId="4" applyNumberFormat="1" applyFont="1" applyFill="1" applyBorder="1" applyAlignment="1">
      <alignment horizontal="center"/>
    </xf>
    <xf numFmtId="165" fontId="11" fillId="10" borderId="23" xfId="4" applyNumberFormat="1" applyFont="1" applyFill="1" applyBorder="1" applyAlignment="1">
      <alignment horizontal="center"/>
    </xf>
    <xf numFmtId="165" fontId="11" fillId="10" borderId="24" xfId="4" applyNumberFormat="1" applyFont="1" applyFill="1" applyBorder="1" applyAlignment="1">
      <alignment horizontal="center"/>
    </xf>
    <xf numFmtId="165" fontId="11" fillId="10" borderId="18" xfId="4" applyNumberFormat="1" applyFont="1" applyFill="1" applyBorder="1" applyAlignment="1">
      <alignment horizontal="center"/>
    </xf>
    <xf numFmtId="165" fontId="11" fillId="10" borderId="22" xfId="4" applyNumberFormat="1" applyFont="1" applyFill="1" applyBorder="1" applyAlignment="1">
      <alignment horizontal="center"/>
    </xf>
    <xf numFmtId="165" fontId="4" fillId="6" borderId="13" xfId="2" applyNumberFormat="1" applyFont="1" applyFill="1" applyBorder="1" applyAlignment="1">
      <alignment horizontal="center" vertical="center"/>
    </xf>
    <xf numFmtId="165" fontId="8" fillId="6" borderId="25" xfId="4" applyNumberFormat="1" applyFont="1" applyFill="1" applyBorder="1" applyAlignment="1">
      <alignment horizontal="center"/>
    </xf>
    <xf numFmtId="165" fontId="6" fillId="0" borderId="0" xfId="2" applyNumberFormat="1" applyFont="1" applyAlignment="1">
      <alignment horizontal="center"/>
    </xf>
    <xf numFmtId="165" fontId="4" fillId="6" borderId="15" xfId="2" applyNumberFormat="1" applyFont="1" applyFill="1" applyBorder="1" applyAlignment="1">
      <alignment horizontal="center" vertical="center"/>
    </xf>
    <xf numFmtId="165" fontId="10" fillId="14" borderId="21" xfId="4" applyNumberFormat="1" applyFont="1" applyFill="1" applyBorder="1" applyAlignment="1">
      <alignment horizontal="center"/>
    </xf>
    <xf numFmtId="165" fontId="4" fillId="6" borderId="24" xfId="4" applyNumberFormat="1" applyFont="1" applyFill="1" applyBorder="1" applyAlignment="1">
      <alignment horizontal="center"/>
    </xf>
    <xf numFmtId="165" fontId="10" fillId="14" borderId="28" xfId="4" applyNumberFormat="1" applyFont="1" applyFill="1" applyBorder="1" applyAlignment="1">
      <alignment horizontal="center"/>
    </xf>
    <xf numFmtId="165" fontId="13" fillId="14" borderId="25" xfId="4" applyNumberFormat="1" applyFont="1" applyFill="1" applyBorder="1" applyAlignment="1">
      <alignment horizontal="center"/>
    </xf>
    <xf numFmtId="165" fontId="13" fillId="14" borderId="21" xfId="4" applyNumberFormat="1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4" fillId="6" borderId="4" xfId="2" applyFont="1" applyFill="1" applyBorder="1" applyAlignment="1">
      <alignment horizontal="center" vertical="center" wrapText="1"/>
    </xf>
    <xf numFmtId="0" fontId="8" fillId="0" borderId="0" xfId="2" applyFont="1" applyAlignment="1">
      <alignment vertical="center" wrapText="1"/>
    </xf>
    <xf numFmtId="0" fontId="2" fillId="18" borderId="0" xfId="0" applyFont="1" applyFill="1" applyAlignment="1">
      <alignment horizontal="left"/>
    </xf>
    <xf numFmtId="0" fontId="2" fillId="18" borderId="0" xfId="0" applyFont="1" applyFill="1"/>
    <xf numFmtId="9" fontId="9" fillId="7" borderId="20" xfId="5" applyFont="1" applyFill="1" applyBorder="1" applyAlignment="1">
      <alignment horizontal="center"/>
    </xf>
    <xf numFmtId="0" fontId="7" fillId="4" borderId="5" xfId="2" applyFont="1" applyFill="1" applyBorder="1" applyAlignment="1">
      <alignment horizontal="center" vertical="center" wrapText="1"/>
    </xf>
    <xf numFmtId="44" fontId="4" fillId="6" borderId="0" xfId="4" applyFont="1" applyFill="1" applyAlignment="1">
      <alignment horizontal="center" vertical="center" wrapText="1"/>
    </xf>
    <xf numFmtId="0" fontId="4" fillId="6" borderId="52" xfId="2" applyFont="1" applyFill="1" applyBorder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6" fillId="0" borderId="0" xfId="2" applyFont="1" applyAlignment="1">
      <alignment horizontal="center"/>
    </xf>
    <xf numFmtId="0" fontId="9" fillId="10" borderId="5" xfId="2" applyFont="1" applyFill="1" applyBorder="1" applyAlignment="1">
      <alignment horizontal="center"/>
    </xf>
    <xf numFmtId="0" fontId="9" fillId="10" borderId="30" xfId="2" applyFont="1" applyFill="1" applyBorder="1" applyAlignment="1">
      <alignment horizontal="center"/>
    </xf>
    <xf numFmtId="0" fontId="6" fillId="0" borderId="60" xfId="2" applyFont="1" applyBorder="1" applyAlignment="1">
      <alignment horizontal="center"/>
    </xf>
    <xf numFmtId="0" fontId="9" fillId="10" borderId="61" xfId="2" applyFont="1" applyFill="1" applyBorder="1" applyAlignment="1">
      <alignment horizontal="center"/>
    </xf>
    <xf numFmtId="0" fontId="4" fillId="6" borderId="0" xfId="2" applyFont="1" applyFill="1" applyAlignment="1">
      <alignment horizontal="center" wrapText="1"/>
    </xf>
    <xf numFmtId="0" fontId="14" fillId="0" borderId="0" xfId="2" applyFont="1" applyAlignment="1">
      <alignment horizontal="center"/>
    </xf>
    <xf numFmtId="0" fontId="0" fillId="0" borderId="0" xfId="0" applyAlignment="1">
      <alignment horizontal="center"/>
    </xf>
    <xf numFmtId="9" fontId="9" fillId="10" borderId="20" xfId="5" applyFont="1" applyFill="1" applyBorder="1" applyAlignment="1">
      <alignment horizontal="center"/>
    </xf>
    <xf numFmtId="165" fontId="12" fillId="10" borderId="23" xfId="4" applyNumberFormat="1" applyFont="1" applyFill="1" applyBorder="1" applyAlignment="1">
      <alignment horizontal="center"/>
    </xf>
    <xf numFmtId="165" fontId="16" fillId="6" borderId="25" xfId="4" applyNumberFormat="1" applyFont="1" applyFill="1" applyBorder="1" applyAlignment="1">
      <alignment horizontal="center"/>
    </xf>
    <xf numFmtId="165" fontId="16" fillId="6" borderId="24" xfId="4" applyNumberFormat="1" applyFont="1" applyFill="1" applyBorder="1" applyAlignment="1">
      <alignment horizontal="center"/>
    </xf>
    <xf numFmtId="165" fontId="17" fillId="7" borderId="28" xfId="4" applyNumberFormat="1" applyFont="1" applyFill="1" applyBorder="1" applyAlignment="1">
      <alignment horizontal="center"/>
    </xf>
    <xf numFmtId="165" fontId="17" fillId="7" borderId="19" xfId="4" applyNumberFormat="1" applyFont="1" applyFill="1" applyBorder="1" applyAlignment="1">
      <alignment horizontal="center"/>
    </xf>
    <xf numFmtId="165" fontId="17" fillId="11" borderId="21" xfId="4" applyNumberFormat="1" applyFont="1" applyFill="1" applyBorder="1" applyAlignment="1">
      <alignment horizontal="center"/>
    </xf>
    <xf numFmtId="165" fontId="17" fillId="12" borderId="18" xfId="4" applyNumberFormat="1" applyFont="1" applyFill="1" applyBorder="1" applyAlignment="1">
      <alignment horizontal="center"/>
    </xf>
    <xf numFmtId="165" fontId="17" fillId="7" borderId="18" xfId="4" applyNumberFormat="1" applyFont="1" applyFill="1" applyBorder="1" applyAlignment="1">
      <alignment horizontal="center"/>
    </xf>
    <xf numFmtId="165" fontId="18" fillId="10" borderId="23" xfId="4" applyNumberFormat="1" applyFont="1" applyFill="1" applyBorder="1" applyAlignment="1">
      <alignment horizontal="center"/>
    </xf>
    <xf numFmtId="165" fontId="17" fillId="10" borderId="24" xfId="4" applyNumberFormat="1" applyFont="1" applyFill="1" applyBorder="1" applyAlignment="1">
      <alignment horizontal="center"/>
    </xf>
    <xf numFmtId="165" fontId="19" fillId="6" borderId="25" xfId="4" applyNumberFormat="1" applyFont="1" applyFill="1" applyBorder="1" applyAlignment="1">
      <alignment horizontal="center"/>
    </xf>
    <xf numFmtId="165" fontId="20" fillId="14" borderId="25" xfId="4" applyNumberFormat="1" applyFont="1" applyFill="1" applyBorder="1" applyAlignment="1">
      <alignment horizontal="center"/>
    </xf>
    <xf numFmtId="165" fontId="20" fillId="14" borderId="21" xfId="4" applyNumberFormat="1" applyFont="1" applyFill="1" applyBorder="1" applyAlignment="1">
      <alignment horizontal="center"/>
    </xf>
    <xf numFmtId="165" fontId="19" fillId="6" borderId="24" xfId="4" applyNumberFormat="1" applyFont="1" applyFill="1" applyBorder="1" applyAlignment="1">
      <alignment horizontal="center"/>
    </xf>
    <xf numFmtId="165" fontId="17" fillId="13" borderId="19" xfId="4" applyNumberFormat="1" applyFont="1" applyFill="1" applyBorder="1" applyAlignment="1">
      <alignment horizontal="center"/>
    </xf>
    <xf numFmtId="165" fontId="17" fillId="10" borderId="18" xfId="4" applyNumberFormat="1" applyFont="1" applyFill="1" applyBorder="1" applyAlignment="1">
      <alignment horizontal="center"/>
    </xf>
    <xf numFmtId="165" fontId="17" fillId="10" borderId="22" xfId="4" applyNumberFormat="1" applyFont="1" applyFill="1" applyBorder="1" applyAlignment="1">
      <alignment horizontal="center"/>
    </xf>
    <xf numFmtId="165" fontId="20" fillId="14" borderId="28" xfId="4" applyNumberFormat="1" applyFont="1" applyFill="1" applyBorder="1" applyAlignment="1">
      <alignment horizontal="center"/>
    </xf>
    <xf numFmtId="165" fontId="18" fillId="10" borderId="18" xfId="4" applyNumberFormat="1" applyFont="1" applyFill="1" applyBorder="1" applyAlignment="1">
      <alignment horizontal="center"/>
    </xf>
    <xf numFmtId="165" fontId="17" fillId="7" borderId="24" xfId="4" applyNumberFormat="1" applyFont="1" applyFill="1" applyBorder="1" applyAlignment="1">
      <alignment horizontal="center"/>
    </xf>
    <xf numFmtId="165" fontId="17" fillId="10" borderId="23" xfId="4" applyNumberFormat="1" applyFont="1" applyFill="1" applyBorder="1" applyAlignment="1">
      <alignment horizontal="center"/>
    </xf>
    <xf numFmtId="165" fontId="17" fillId="14" borderId="28" xfId="4" applyNumberFormat="1" applyFont="1" applyFill="1" applyBorder="1" applyAlignment="1">
      <alignment horizontal="center"/>
    </xf>
    <xf numFmtId="165" fontId="17" fillId="12" borderId="24" xfId="4" applyNumberFormat="1" applyFont="1" applyFill="1" applyBorder="1" applyAlignment="1">
      <alignment horizontal="center"/>
    </xf>
    <xf numFmtId="165" fontId="17" fillId="7" borderId="31" xfId="4" applyNumberFormat="1" applyFont="1" applyFill="1" applyBorder="1" applyAlignment="1">
      <alignment horizontal="center"/>
    </xf>
    <xf numFmtId="165" fontId="17" fillId="12" borderId="31" xfId="4" applyNumberFormat="1" applyFont="1" applyFill="1" applyBorder="1" applyAlignment="1">
      <alignment horizontal="center"/>
    </xf>
    <xf numFmtId="165" fontId="17" fillId="10" borderId="34" xfId="4" applyNumberFormat="1" applyFont="1" applyFill="1" applyBorder="1" applyAlignment="1">
      <alignment horizontal="center"/>
    </xf>
    <xf numFmtId="165" fontId="17" fillId="14" borderId="35" xfId="4" applyNumberFormat="1" applyFont="1" applyFill="1" applyBorder="1" applyAlignment="1">
      <alignment horizontal="center"/>
    </xf>
    <xf numFmtId="165" fontId="17" fillId="10" borderId="31" xfId="4" applyNumberFormat="1" applyFont="1" applyFill="1" applyBorder="1" applyAlignment="1">
      <alignment horizontal="center"/>
    </xf>
    <xf numFmtId="0" fontId="17" fillId="10" borderId="27" xfId="2" applyFont="1" applyFill="1" applyBorder="1"/>
    <xf numFmtId="0" fontId="18" fillId="0" borderId="0" xfId="2" applyFont="1"/>
    <xf numFmtId="0" fontId="17" fillId="10" borderId="5" xfId="2" applyFont="1" applyFill="1" applyBorder="1"/>
    <xf numFmtId="165" fontId="17" fillId="7" borderId="23" xfId="4" applyNumberFormat="1" applyFont="1" applyFill="1" applyBorder="1" applyAlignment="1">
      <alignment horizontal="center"/>
    </xf>
    <xf numFmtId="165" fontId="17" fillId="12" borderId="23" xfId="4" applyNumberFormat="1" applyFont="1" applyFill="1" applyBorder="1" applyAlignment="1">
      <alignment horizontal="center"/>
    </xf>
    <xf numFmtId="0" fontId="18" fillId="0" borderId="26" xfId="2" applyFont="1" applyBorder="1"/>
    <xf numFmtId="0" fontId="11" fillId="10" borderId="30" xfId="2" applyFont="1" applyFill="1" applyBorder="1"/>
    <xf numFmtId="0" fontId="11" fillId="10" borderId="5" xfId="2" applyFont="1" applyFill="1" applyBorder="1" applyAlignment="1">
      <alignment wrapText="1"/>
    </xf>
    <xf numFmtId="9" fontId="11" fillId="7" borderId="45" xfId="5" applyFont="1" applyFill="1" applyBorder="1" applyAlignment="1">
      <alignment horizontal="center"/>
    </xf>
    <xf numFmtId="165" fontId="11" fillId="7" borderId="25" xfId="4" applyNumberFormat="1" applyFont="1" applyFill="1" applyBorder="1" applyAlignment="1">
      <alignment horizontal="center"/>
    </xf>
    <xf numFmtId="165" fontId="11" fillId="12" borderId="25" xfId="4" applyNumberFormat="1" applyFont="1" applyFill="1" applyBorder="1" applyAlignment="1">
      <alignment horizontal="center"/>
    </xf>
    <xf numFmtId="9" fontId="17" fillId="7" borderId="45" xfId="5" applyFont="1" applyFill="1" applyBorder="1" applyAlignment="1">
      <alignment horizontal="center"/>
    </xf>
    <xf numFmtId="165" fontId="17" fillId="7" borderId="25" xfId="4" applyNumberFormat="1" applyFont="1" applyFill="1" applyBorder="1" applyAlignment="1">
      <alignment horizontal="center"/>
    </xf>
    <xf numFmtId="0" fontId="11" fillId="10" borderId="5" xfId="2" applyFont="1" applyFill="1" applyBorder="1" applyAlignment="1"/>
    <xf numFmtId="0" fontId="13" fillId="10" borderId="5" xfId="2" applyFont="1" applyFill="1" applyBorder="1"/>
    <xf numFmtId="165" fontId="4" fillId="6" borderId="53" xfId="2" applyNumberFormat="1" applyFont="1" applyFill="1" applyBorder="1" applyAlignment="1">
      <alignment horizontal="center" vertical="center" wrapText="1"/>
    </xf>
    <xf numFmtId="165" fontId="4" fillId="6" borderId="44" xfId="2" applyNumberFormat="1" applyFont="1" applyFill="1" applyBorder="1" applyAlignment="1">
      <alignment horizontal="center" vertical="center" wrapText="1"/>
    </xf>
    <xf numFmtId="165" fontId="4" fillId="6" borderId="11" xfId="2" applyNumberFormat="1" applyFont="1" applyFill="1" applyBorder="1" applyAlignment="1">
      <alignment horizontal="center" vertical="center" wrapText="1"/>
    </xf>
    <xf numFmtId="165" fontId="4" fillId="6" borderId="12" xfId="2" applyNumberFormat="1" applyFont="1" applyFill="1" applyBorder="1" applyAlignment="1">
      <alignment horizontal="center" vertical="center" wrapText="1"/>
    </xf>
    <xf numFmtId="165" fontId="17" fillId="19" borderId="58" xfId="4" applyNumberFormat="1" applyFont="1" applyFill="1" applyBorder="1" applyAlignment="1">
      <alignment horizontal="center"/>
    </xf>
    <xf numFmtId="165" fontId="17" fillId="19" borderId="21" xfId="4" applyNumberFormat="1" applyFont="1" applyFill="1" applyBorder="1" applyAlignment="1">
      <alignment horizontal="center"/>
    </xf>
    <xf numFmtId="165" fontId="4" fillId="6" borderId="55" xfId="2" applyNumberFormat="1" applyFont="1" applyFill="1" applyBorder="1" applyAlignment="1">
      <alignment horizontal="center" vertical="center" wrapText="1"/>
    </xf>
    <xf numFmtId="165" fontId="4" fillId="6" borderId="14" xfId="2" applyNumberFormat="1" applyFont="1" applyFill="1" applyBorder="1" applyAlignment="1">
      <alignment horizontal="center" vertical="center" wrapText="1"/>
    </xf>
    <xf numFmtId="9" fontId="4" fillId="6" borderId="54" xfId="5" applyFont="1" applyFill="1" applyBorder="1" applyAlignment="1">
      <alignment horizontal="center" vertical="center" wrapText="1"/>
    </xf>
    <xf numFmtId="9" fontId="0" fillId="0" borderId="0" xfId="5" applyFont="1" applyAlignment="1">
      <alignment horizontal="center"/>
    </xf>
    <xf numFmtId="9" fontId="4" fillId="6" borderId="13" xfId="5" applyFont="1" applyFill="1" applyBorder="1" applyAlignment="1">
      <alignment horizontal="center" vertical="center"/>
    </xf>
    <xf numFmtId="9" fontId="17" fillId="7" borderId="20" xfId="5" applyFont="1" applyFill="1" applyBorder="1" applyAlignment="1">
      <alignment horizontal="center"/>
    </xf>
    <xf numFmtId="9" fontId="11" fillId="7" borderId="20" xfId="5" applyFont="1" applyFill="1" applyBorder="1" applyAlignment="1">
      <alignment horizontal="center"/>
    </xf>
    <xf numFmtId="9" fontId="4" fillId="6" borderId="13" xfId="5" applyFont="1" applyFill="1" applyBorder="1" applyAlignment="1">
      <alignment horizontal="center" vertical="center" wrapText="1"/>
    </xf>
    <xf numFmtId="9" fontId="4" fillId="6" borderId="15" xfId="5" applyFont="1" applyFill="1" applyBorder="1" applyAlignment="1">
      <alignment horizontal="center" vertical="center"/>
    </xf>
    <xf numFmtId="9" fontId="17" fillId="19" borderId="20" xfId="5" applyFont="1" applyFill="1" applyBorder="1" applyAlignment="1">
      <alignment horizontal="center"/>
    </xf>
    <xf numFmtId="9" fontId="4" fillId="6" borderId="56" xfId="5" applyFont="1" applyFill="1" applyBorder="1" applyAlignment="1">
      <alignment horizontal="center" vertical="center" wrapText="1"/>
    </xf>
    <xf numFmtId="9" fontId="4" fillId="6" borderId="15" xfId="5" applyFont="1" applyFill="1" applyBorder="1" applyAlignment="1">
      <alignment horizontal="center" vertical="center" wrapText="1"/>
    </xf>
    <xf numFmtId="9" fontId="20" fillId="19" borderId="20" xfId="5" applyFont="1" applyFill="1" applyBorder="1" applyAlignment="1">
      <alignment horizontal="center"/>
    </xf>
    <xf numFmtId="165" fontId="4" fillId="6" borderId="57" xfId="3" applyNumberFormat="1" applyFont="1" applyFill="1" applyBorder="1" applyAlignment="1">
      <alignment horizontal="center" vertical="center" wrapText="1"/>
    </xf>
    <xf numFmtId="165" fontId="4" fillId="6" borderId="16" xfId="3" applyNumberFormat="1" applyFont="1" applyFill="1" applyBorder="1" applyAlignment="1">
      <alignment horizontal="center" vertical="center" wrapText="1"/>
    </xf>
    <xf numFmtId="165" fontId="17" fillId="13" borderId="58" xfId="4" applyNumberFormat="1" applyFont="1" applyFill="1" applyBorder="1" applyAlignment="1">
      <alignment horizontal="center"/>
    </xf>
    <xf numFmtId="165" fontId="17" fillId="13" borderId="33" xfId="4" applyNumberFormat="1" applyFon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5" fontId="17" fillId="19" borderId="33" xfId="4" applyNumberFormat="1" applyFont="1" applyFill="1" applyBorder="1" applyAlignment="1">
      <alignment horizontal="center"/>
    </xf>
    <xf numFmtId="9" fontId="9" fillId="13" borderId="20" xfId="5" applyFont="1" applyFill="1" applyBorder="1" applyAlignment="1">
      <alignment horizontal="center"/>
    </xf>
    <xf numFmtId="9" fontId="17" fillId="13" borderId="20" xfId="5" applyFont="1" applyFill="1" applyBorder="1" applyAlignment="1">
      <alignment horizontal="center"/>
    </xf>
    <xf numFmtId="9" fontId="11" fillId="13" borderId="20" xfId="5" applyFont="1" applyFill="1" applyBorder="1" applyAlignment="1">
      <alignment horizontal="center"/>
    </xf>
    <xf numFmtId="9" fontId="17" fillId="13" borderId="32" xfId="5" applyFont="1" applyFill="1" applyBorder="1" applyAlignment="1">
      <alignment horizontal="center"/>
    </xf>
    <xf numFmtId="9" fontId="17" fillId="13" borderId="45" xfId="5" applyFont="1" applyFill="1" applyBorder="1" applyAlignment="1">
      <alignment horizontal="center"/>
    </xf>
    <xf numFmtId="9" fontId="17" fillId="12" borderId="45" xfId="5" applyFont="1" applyFill="1" applyBorder="1" applyAlignment="1">
      <alignment horizontal="center"/>
    </xf>
    <xf numFmtId="9" fontId="11" fillId="12" borderId="45" xfId="5" applyFont="1" applyFill="1" applyBorder="1" applyAlignment="1">
      <alignment horizontal="center"/>
    </xf>
    <xf numFmtId="9" fontId="17" fillId="12" borderId="48" xfId="5" applyFont="1" applyFill="1" applyBorder="1" applyAlignment="1">
      <alignment horizontal="center"/>
    </xf>
    <xf numFmtId="9" fontId="5" fillId="0" borderId="0" xfId="5" applyFont="1" applyAlignment="1">
      <alignment horizontal="center"/>
    </xf>
    <xf numFmtId="9" fontId="17" fillId="7" borderId="48" xfId="5" applyFont="1" applyFill="1" applyBorder="1" applyAlignment="1">
      <alignment horizontal="center"/>
    </xf>
    <xf numFmtId="9" fontId="17" fillId="7" borderId="32" xfId="5" applyFont="1" applyFill="1" applyBorder="1" applyAlignment="1">
      <alignment horizontal="center"/>
    </xf>
    <xf numFmtId="9" fontId="4" fillId="6" borderId="17" xfId="5" applyFont="1" applyFill="1" applyBorder="1" applyAlignment="1">
      <alignment horizontal="center" vertical="center" wrapText="1"/>
    </xf>
    <xf numFmtId="165" fontId="17" fillId="10" borderId="25" xfId="4" applyNumberFormat="1" applyFont="1" applyFill="1" applyBorder="1" applyAlignment="1">
      <alignment horizontal="center"/>
    </xf>
    <xf numFmtId="165" fontId="11" fillId="10" borderId="25" xfId="4" applyNumberFormat="1" applyFont="1" applyFill="1" applyBorder="1" applyAlignment="1">
      <alignment horizontal="center"/>
    </xf>
    <xf numFmtId="165" fontId="17" fillId="10" borderId="49" xfId="4" applyNumberFormat="1" applyFont="1" applyFill="1" applyBorder="1" applyAlignment="1">
      <alignment horizontal="center"/>
    </xf>
    <xf numFmtId="165" fontId="8" fillId="6" borderId="28" xfId="4" applyNumberFormat="1" applyFont="1" applyFill="1" applyBorder="1" applyAlignment="1">
      <alignment horizontal="center"/>
    </xf>
    <xf numFmtId="165" fontId="4" fillId="6" borderId="13" xfId="2" applyNumberFormat="1" applyFont="1" applyFill="1" applyBorder="1" applyAlignment="1">
      <alignment horizontal="center" vertical="center" wrapText="1"/>
    </xf>
    <xf numFmtId="165" fontId="19" fillId="6" borderId="28" xfId="4" applyNumberFormat="1" applyFont="1" applyFill="1" applyBorder="1" applyAlignment="1">
      <alignment horizontal="center"/>
    </xf>
    <xf numFmtId="165" fontId="16" fillId="6" borderId="28" xfId="4" applyNumberFormat="1" applyFont="1" applyFill="1" applyBorder="1" applyAlignment="1">
      <alignment horizontal="center"/>
    </xf>
    <xf numFmtId="165" fontId="19" fillId="6" borderId="46" xfId="3" applyNumberFormat="1" applyFont="1" applyFill="1" applyBorder="1" applyAlignment="1">
      <alignment horizontal="center"/>
    </xf>
    <xf numFmtId="165" fontId="16" fillId="6" borderId="46" xfId="3" applyNumberFormat="1" applyFont="1" applyFill="1" applyBorder="1" applyAlignment="1">
      <alignment horizontal="center"/>
    </xf>
    <xf numFmtId="165" fontId="19" fillId="6" borderId="50" xfId="3" applyNumberFormat="1" applyFont="1" applyFill="1" applyBorder="1" applyAlignment="1">
      <alignment horizontal="center"/>
    </xf>
    <xf numFmtId="9" fontId="4" fillId="6" borderId="12" xfId="5" applyFont="1" applyFill="1" applyBorder="1" applyAlignment="1">
      <alignment horizontal="center" vertical="center"/>
    </xf>
    <xf numFmtId="9" fontId="17" fillId="10" borderId="20" xfId="5" applyFont="1" applyFill="1" applyBorder="1" applyAlignment="1">
      <alignment horizontal="center"/>
    </xf>
    <xf numFmtId="9" fontId="11" fillId="10" borderId="20" xfId="5" applyFont="1" applyFill="1" applyBorder="1" applyAlignment="1">
      <alignment horizontal="center"/>
    </xf>
    <xf numFmtId="9" fontId="17" fillId="10" borderId="32" xfId="5" applyFont="1" applyFill="1" applyBorder="1" applyAlignment="1">
      <alignment horizontal="center"/>
    </xf>
    <xf numFmtId="9" fontId="4" fillId="6" borderId="12" xfId="5" applyFont="1" applyFill="1" applyBorder="1" applyAlignment="1">
      <alignment horizontal="center" vertical="center" wrapText="1"/>
    </xf>
    <xf numFmtId="9" fontId="17" fillId="10" borderId="21" xfId="5" applyFont="1" applyFill="1" applyBorder="1" applyAlignment="1">
      <alignment horizontal="center"/>
    </xf>
    <xf numFmtId="9" fontId="6" fillId="0" borderId="0" xfId="5" applyFont="1" applyAlignment="1">
      <alignment horizontal="center"/>
    </xf>
    <xf numFmtId="9" fontId="4" fillId="6" borderId="17" xfId="5" applyFont="1" applyFill="1" applyBorder="1" applyAlignment="1">
      <alignment horizontal="center" vertical="center"/>
    </xf>
    <xf numFmtId="165" fontId="9" fillId="13" borderId="19" xfId="1" applyNumberFormat="1" applyFont="1" applyFill="1" applyBorder="1" applyAlignment="1">
      <alignment horizontal="center"/>
    </xf>
    <xf numFmtId="165" fontId="9" fillId="7" borderId="19" xfId="1" applyNumberFormat="1" applyFont="1" applyFill="1" applyBorder="1" applyAlignment="1">
      <alignment horizontal="center"/>
    </xf>
    <xf numFmtId="165" fontId="17" fillId="10" borderId="21" xfId="4" applyNumberFormat="1" applyFont="1" applyFill="1" applyBorder="1" applyAlignment="1">
      <alignment horizontal="center"/>
    </xf>
    <xf numFmtId="165" fontId="11" fillId="10" borderId="21" xfId="4" applyNumberFormat="1" applyFont="1" applyFill="1" applyBorder="1" applyAlignment="1">
      <alignment horizontal="center"/>
    </xf>
    <xf numFmtId="165" fontId="17" fillId="10" borderId="33" xfId="4" applyNumberFormat="1" applyFont="1" applyFill="1" applyBorder="1" applyAlignment="1">
      <alignment horizontal="center"/>
    </xf>
    <xf numFmtId="165" fontId="17" fillId="10" borderId="46" xfId="4" applyNumberFormat="1" applyFont="1" applyFill="1" applyBorder="1" applyAlignment="1">
      <alignment horizontal="center"/>
    </xf>
    <xf numFmtId="165" fontId="17" fillId="13" borderId="23" xfId="4" applyNumberFormat="1" applyFont="1" applyFill="1" applyBorder="1" applyAlignment="1">
      <alignment horizontal="center"/>
    </xf>
    <xf numFmtId="165" fontId="4" fillId="6" borderId="44" xfId="2" applyNumberFormat="1" applyFont="1" applyFill="1" applyBorder="1" applyAlignment="1">
      <alignment horizontal="center" vertical="center"/>
    </xf>
    <xf numFmtId="165" fontId="6" fillId="10" borderId="18" xfId="1" applyNumberFormat="1" applyFont="1" applyFill="1" applyBorder="1" applyAlignment="1">
      <alignment horizontal="center"/>
    </xf>
    <xf numFmtId="165" fontId="17" fillId="10" borderId="19" xfId="4" applyNumberFormat="1" applyFont="1" applyFill="1" applyBorder="1" applyAlignment="1">
      <alignment horizontal="center"/>
    </xf>
    <xf numFmtId="165" fontId="11" fillId="10" borderId="19" xfId="4" applyNumberFormat="1" applyFont="1" applyFill="1" applyBorder="1" applyAlignment="1">
      <alignment horizontal="center"/>
    </xf>
    <xf numFmtId="165" fontId="17" fillId="10" borderId="0" xfId="4" applyNumberFormat="1" applyFont="1" applyFill="1" applyBorder="1" applyAlignment="1">
      <alignment horizontal="center"/>
    </xf>
    <xf numFmtId="165" fontId="19" fillId="6" borderId="21" xfId="4" applyNumberFormat="1" applyFont="1" applyFill="1" applyBorder="1" applyAlignment="1">
      <alignment horizontal="center"/>
    </xf>
    <xf numFmtId="165" fontId="16" fillId="6" borderId="21" xfId="4" applyNumberFormat="1" applyFont="1" applyFill="1" applyBorder="1" applyAlignment="1">
      <alignment horizontal="center"/>
    </xf>
    <xf numFmtId="9" fontId="9" fillId="16" borderId="43" xfId="5" applyFont="1" applyFill="1" applyBorder="1" applyAlignment="1">
      <alignment horizontal="center"/>
    </xf>
    <xf numFmtId="9" fontId="9" fillId="7" borderId="29" xfId="5" applyFont="1" applyFill="1" applyBorder="1" applyAlignment="1">
      <alignment horizontal="center"/>
    </xf>
    <xf numFmtId="9" fontId="6" fillId="10" borderId="29" xfId="5" applyFont="1" applyFill="1" applyBorder="1" applyAlignment="1">
      <alignment horizontal="center"/>
    </xf>
    <xf numFmtId="9" fontId="18" fillId="10" borderId="20" xfId="5" applyFont="1" applyFill="1" applyBorder="1" applyAlignment="1">
      <alignment horizontal="center"/>
    </xf>
    <xf numFmtId="9" fontId="18" fillId="10" borderId="29" xfId="5" applyFont="1" applyFill="1" applyBorder="1" applyAlignment="1">
      <alignment horizontal="center"/>
    </xf>
    <xf numFmtId="9" fontId="17" fillId="10" borderId="29" xfId="5" applyFont="1" applyFill="1" applyBorder="1" applyAlignment="1">
      <alignment horizontal="center"/>
    </xf>
    <xf numFmtId="165" fontId="9" fillId="17" borderId="19" xfId="1" applyNumberFormat="1" applyFont="1" applyFill="1" applyBorder="1" applyAlignment="1">
      <alignment horizontal="center"/>
    </xf>
    <xf numFmtId="165" fontId="17" fillId="17" borderId="23" xfId="4" applyNumberFormat="1" applyFont="1" applyFill="1" applyBorder="1" applyAlignment="1">
      <alignment horizontal="center"/>
    </xf>
    <xf numFmtId="165" fontId="9" fillId="17" borderId="19" xfId="4" applyNumberFormat="1" applyFont="1" applyFill="1" applyBorder="1" applyAlignment="1">
      <alignment horizontal="center"/>
    </xf>
    <xf numFmtId="165" fontId="6" fillId="10" borderId="23" xfId="1" applyNumberFormat="1" applyFont="1" applyFill="1" applyBorder="1" applyAlignment="1">
      <alignment horizontal="center"/>
    </xf>
    <xf numFmtId="165" fontId="19" fillId="6" borderId="21" xfId="3" applyNumberFormat="1" applyFont="1" applyFill="1" applyBorder="1" applyAlignment="1">
      <alignment horizontal="center"/>
    </xf>
    <xf numFmtId="165" fontId="16" fillId="6" borderId="21" xfId="3" applyNumberFormat="1" applyFont="1" applyFill="1" applyBorder="1" applyAlignment="1">
      <alignment horizontal="center"/>
    </xf>
    <xf numFmtId="9" fontId="6" fillId="17" borderId="29" xfId="5" applyFont="1" applyFill="1" applyBorder="1" applyAlignment="1">
      <alignment horizontal="center"/>
    </xf>
    <xf numFmtId="9" fontId="17" fillId="14" borderId="20" xfId="5" applyFont="1" applyFill="1" applyBorder="1" applyAlignment="1">
      <alignment horizontal="center"/>
    </xf>
    <xf numFmtId="9" fontId="17" fillId="17" borderId="45" xfId="5" applyFont="1" applyFill="1" applyBorder="1" applyAlignment="1">
      <alignment horizontal="center"/>
    </xf>
    <xf numFmtId="9" fontId="17" fillId="17" borderId="20" xfId="5" applyFont="1" applyFill="1" applyBorder="1" applyAlignment="1">
      <alignment horizontal="center"/>
    </xf>
    <xf numFmtId="9" fontId="9" fillId="17" borderId="20" xfId="5" applyFont="1" applyFill="1" applyBorder="1" applyAlignment="1">
      <alignment horizontal="center"/>
    </xf>
    <xf numFmtId="9" fontId="6" fillId="7" borderId="29" xfId="5" applyFont="1" applyFill="1" applyBorder="1" applyAlignment="1">
      <alignment horizontal="center"/>
    </xf>
    <xf numFmtId="165" fontId="20" fillId="14" borderId="19" xfId="4" applyNumberFormat="1" applyFont="1" applyFill="1" applyBorder="1" applyAlignment="1">
      <alignment horizontal="center"/>
    </xf>
    <xf numFmtId="165" fontId="13" fillId="14" borderId="19" xfId="4" applyNumberFormat="1" applyFont="1" applyFill="1" applyBorder="1" applyAlignment="1">
      <alignment horizontal="center"/>
    </xf>
    <xf numFmtId="165" fontId="20" fillId="14" borderId="47" xfId="4" applyNumberFormat="1" applyFont="1" applyFill="1" applyBorder="1" applyAlignment="1">
      <alignment horizontal="center"/>
    </xf>
    <xf numFmtId="165" fontId="13" fillId="14" borderId="47" xfId="4" applyNumberFormat="1" applyFont="1" applyFill="1" applyBorder="1" applyAlignment="1">
      <alignment horizontal="center"/>
    </xf>
    <xf numFmtId="165" fontId="17" fillId="14" borderId="0" xfId="4" applyNumberFormat="1" applyFont="1" applyFill="1" applyBorder="1" applyAlignment="1">
      <alignment horizontal="center"/>
    </xf>
    <xf numFmtId="9" fontId="10" fillId="14" borderId="20" xfId="5" applyFont="1" applyFill="1" applyBorder="1" applyAlignment="1">
      <alignment horizontal="center"/>
    </xf>
    <xf numFmtId="9" fontId="10" fillId="14" borderId="29" xfId="5" applyFont="1" applyFill="1" applyBorder="1" applyAlignment="1">
      <alignment horizontal="center"/>
    </xf>
    <xf numFmtId="9" fontId="20" fillId="14" borderId="20" xfId="5" applyFont="1" applyFill="1" applyBorder="1" applyAlignment="1">
      <alignment horizontal="center"/>
    </xf>
    <xf numFmtId="9" fontId="20" fillId="14" borderId="29" xfId="5" applyFont="1" applyFill="1" applyBorder="1" applyAlignment="1">
      <alignment horizontal="center"/>
    </xf>
    <xf numFmtId="9" fontId="13" fillId="14" borderId="20" xfId="5" applyFont="1" applyFill="1" applyBorder="1" applyAlignment="1">
      <alignment horizontal="center"/>
    </xf>
    <xf numFmtId="9" fontId="17" fillId="14" borderId="32" xfId="5" applyFont="1" applyFill="1" applyBorder="1" applyAlignment="1">
      <alignment horizontal="center"/>
    </xf>
    <xf numFmtId="165" fontId="19" fillId="6" borderId="31" xfId="4" applyNumberFormat="1" applyFont="1" applyFill="1" applyBorder="1" applyAlignment="1">
      <alignment horizontal="center"/>
    </xf>
    <xf numFmtId="165" fontId="19" fillId="6" borderId="23" xfId="4" applyNumberFormat="1" applyFont="1" applyFill="1" applyBorder="1" applyAlignment="1">
      <alignment horizontal="center"/>
    </xf>
    <xf numFmtId="165" fontId="17" fillId="14" borderId="23" xfId="4" applyNumberFormat="1" applyFont="1" applyFill="1" applyBorder="1" applyAlignment="1">
      <alignment horizontal="center"/>
    </xf>
    <xf numFmtId="165" fontId="17" fillId="14" borderId="34" xfId="4" applyNumberFormat="1" applyFont="1" applyFill="1" applyBorder="1" applyAlignment="1">
      <alignment horizontal="center"/>
    </xf>
    <xf numFmtId="165" fontId="2" fillId="2" borderId="0" xfId="1" applyNumberFormat="1" applyFont="1" applyFill="1" applyAlignment="1">
      <alignment horizontal="center"/>
    </xf>
    <xf numFmtId="165" fontId="2" fillId="18" borderId="0" xfId="1" applyNumberFormat="1" applyFont="1" applyFill="1" applyAlignment="1">
      <alignment horizontal="center"/>
    </xf>
    <xf numFmtId="165" fontId="2" fillId="3" borderId="0" xfId="1" applyNumberFormat="1" applyFont="1" applyFill="1" applyAlignment="1">
      <alignment horizontal="center"/>
    </xf>
    <xf numFmtId="165" fontId="2" fillId="4" borderId="0" xfId="1" applyNumberFormat="1" applyFont="1" applyFill="1" applyAlignment="1">
      <alignment horizontal="center"/>
    </xf>
    <xf numFmtId="165" fontId="2" fillId="5" borderId="0" xfId="1" applyNumberFormat="1" applyFont="1" applyFill="1" applyAlignment="1">
      <alignment horizontal="center"/>
    </xf>
    <xf numFmtId="164" fontId="2" fillId="5" borderId="0" xfId="1" applyNumberFormat="1" applyFont="1" applyFill="1" applyAlignment="1">
      <alignment horizontal="left"/>
    </xf>
    <xf numFmtId="164" fontId="0" fillId="0" borderId="0" xfId="1" applyNumberFormat="1" applyFont="1" applyAlignment="1">
      <alignment horizontal="left"/>
    </xf>
    <xf numFmtId="0" fontId="4" fillId="6" borderId="0" xfId="2" applyFont="1" applyFill="1" applyAlignment="1">
      <alignment horizontal="center" vertical="center"/>
    </xf>
    <xf numFmtId="165" fontId="9" fillId="12" borderId="23" xfId="4" applyNumberFormat="1" applyFont="1" applyFill="1" applyBorder="1" applyAlignment="1">
      <alignment horizontal="center"/>
    </xf>
    <xf numFmtId="165" fontId="9" fillId="25" borderId="23" xfId="4" applyNumberFormat="1" applyFont="1" applyFill="1" applyBorder="1" applyAlignment="1">
      <alignment horizontal="center"/>
    </xf>
    <xf numFmtId="165" fontId="10" fillId="10" borderId="23" xfId="4" applyNumberFormat="1" applyFont="1" applyFill="1" applyBorder="1" applyAlignment="1">
      <alignment horizontal="center"/>
    </xf>
    <xf numFmtId="165" fontId="8" fillId="6" borderId="23" xfId="4" applyNumberFormat="1" applyFont="1" applyFill="1" applyBorder="1" applyAlignment="1">
      <alignment horizontal="center"/>
    </xf>
    <xf numFmtId="165" fontId="4" fillId="6" borderId="23" xfId="4" applyNumberFormat="1" applyFont="1" applyFill="1" applyBorder="1" applyAlignment="1">
      <alignment horizontal="center"/>
    </xf>
    <xf numFmtId="165" fontId="9" fillId="12" borderId="34" xfId="4" applyNumberFormat="1" applyFont="1" applyFill="1" applyBorder="1" applyAlignment="1">
      <alignment horizontal="center"/>
    </xf>
    <xf numFmtId="165" fontId="9" fillId="25" borderId="34" xfId="4" applyNumberFormat="1" applyFont="1" applyFill="1" applyBorder="1" applyAlignment="1">
      <alignment horizontal="center"/>
    </xf>
    <xf numFmtId="165" fontId="10" fillId="10" borderId="34" xfId="4" applyNumberFormat="1" applyFont="1" applyFill="1" applyBorder="1" applyAlignment="1">
      <alignment horizontal="center"/>
    </xf>
    <xf numFmtId="165" fontId="8" fillId="6" borderId="34" xfId="4" applyNumberFormat="1" applyFont="1" applyFill="1" applyBorder="1" applyAlignment="1">
      <alignment horizontal="center"/>
    </xf>
    <xf numFmtId="165" fontId="4" fillId="6" borderId="34" xfId="4" applyNumberFormat="1" applyFont="1" applyFill="1" applyBorder="1" applyAlignment="1">
      <alignment horizontal="center"/>
    </xf>
    <xf numFmtId="165" fontId="9" fillId="12" borderId="62" xfId="4" applyNumberFormat="1" applyFont="1" applyFill="1" applyBorder="1" applyAlignment="1">
      <alignment horizontal="center"/>
    </xf>
    <xf numFmtId="165" fontId="9" fillId="0" borderId="62" xfId="4" applyNumberFormat="1" applyFont="1" applyFill="1" applyBorder="1" applyAlignment="1">
      <alignment horizontal="center"/>
    </xf>
    <xf numFmtId="165" fontId="10" fillId="10" borderId="62" xfId="4" applyNumberFormat="1" applyFont="1" applyFill="1" applyBorder="1" applyAlignment="1">
      <alignment horizontal="center"/>
    </xf>
    <xf numFmtId="165" fontId="8" fillId="6" borderId="62" xfId="4" applyNumberFormat="1" applyFont="1" applyFill="1" applyBorder="1" applyAlignment="1">
      <alignment horizontal="center"/>
    </xf>
    <xf numFmtId="165" fontId="4" fillId="6" borderId="62" xfId="4" applyNumberFormat="1" applyFont="1" applyFill="1" applyBorder="1" applyAlignment="1">
      <alignment horizontal="center"/>
    </xf>
    <xf numFmtId="165" fontId="9" fillId="0" borderId="23" xfId="4" applyNumberFormat="1" applyFont="1" applyFill="1" applyBorder="1" applyAlignment="1">
      <alignment horizontal="center"/>
    </xf>
    <xf numFmtId="165" fontId="9" fillId="26" borderId="23" xfId="4" applyNumberFormat="1" applyFont="1" applyFill="1" applyBorder="1" applyAlignment="1">
      <alignment horizontal="center"/>
    </xf>
    <xf numFmtId="165" fontId="9" fillId="27" borderId="23" xfId="4" applyNumberFormat="1" applyFont="1" applyFill="1" applyBorder="1" applyAlignment="1">
      <alignment horizontal="center"/>
    </xf>
    <xf numFmtId="165" fontId="9" fillId="28" borderId="23" xfId="4" applyNumberFormat="1" applyFont="1" applyFill="1" applyBorder="1" applyAlignment="1">
      <alignment horizontal="center"/>
    </xf>
    <xf numFmtId="165" fontId="7" fillId="10" borderId="30" xfId="4" applyNumberFormat="1" applyFont="1" applyFill="1" applyBorder="1" applyAlignment="1">
      <alignment horizontal="center"/>
    </xf>
    <xf numFmtId="165" fontId="15" fillId="0" borderId="0" xfId="6" applyNumberFormat="1" applyFont="1" applyFill="1" applyAlignment="1">
      <alignment horizontal="center"/>
    </xf>
    <xf numFmtId="165" fontId="7" fillId="29" borderId="63" xfId="0" applyNumberFormat="1" applyFont="1" applyFill="1" applyBorder="1" applyAlignment="1">
      <alignment horizontal="center"/>
    </xf>
    <xf numFmtId="165" fontId="6" fillId="30" borderId="0" xfId="2" applyNumberFormat="1" applyFont="1" applyFill="1" applyAlignment="1">
      <alignment horizontal="center"/>
    </xf>
    <xf numFmtId="0" fontId="0" fillId="0" borderId="0" xfId="0" applyAlignment="1"/>
    <xf numFmtId="0" fontId="6" fillId="32" borderId="64" xfId="2" applyFont="1" applyFill="1" applyBorder="1" applyAlignment="1">
      <alignment horizontal="center"/>
    </xf>
    <xf numFmtId="0" fontId="9" fillId="32" borderId="65" xfId="2" applyFont="1" applyFill="1" applyBorder="1" applyAlignment="1">
      <alignment horizontal="center"/>
    </xf>
    <xf numFmtId="165" fontId="9" fillId="32" borderId="66" xfId="4" applyNumberFormat="1" applyFont="1" applyFill="1" applyBorder="1" applyAlignment="1">
      <alignment horizontal="center"/>
    </xf>
    <xf numFmtId="165" fontId="10" fillId="32" borderId="66" xfId="4" applyNumberFormat="1" applyFont="1" applyFill="1" applyBorder="1" applyAlignment="1">
      <alignment horizontal="center"/>
    </xf>
    <xf numFmtId="165" fontId="8" fillId="32" borderId="66" xfId="4" applyNumberFormat="1" applyFont="1" applyFill="1" applyBorder="1" applyAlignment="1">
      <alignment horizontal="center"/>
    </xf>
    <xf numFmtId="165" fontId="4" fillId="32" borderId="66" xfId="4" applyNumberFormat="1" applyFont="1" applyFill="1" applyBorder="1" applyAlignment="1">
      <alignment horizontal="center"/>
    </xf>
    <xf numFmtId="17" fontId="4" fillId="6" borderId="14" xfId="2" applyNumberFormat="1" applyFont="1" applyFill="1" applyBorder="1" applyAlignment="1">
      <alignment horizontal="center" vertical="center" wrapText="1"/>
    </xf>
    <xf numFmtId="0" fontId="4" fillId="6" borderId="44" xfId="2" applyFont="1" applyFill="1" applyBorder="1" applyAlignment="1">
      <alignment horizontal="center" vertical="center" wrapText="1"/>
    </xf>
    <xf numFmtId="0" fontId="4" fillId="6" borderId="12" xfId="2" applyFont="1" applyFill="1" applyBorder="1" applyAlignment="1">
      <alignment horizontal="center" vertical="center" wrapText="1"/>
    </xf>
    <xf numFmtId="0" fontId="4" fillId="6" borderId="15" xfId="2" applyFont="1" applyFill="1" applyBorder="1" applyAlignment="1">
      <alignment horizontal="center" vertical="center" wrapText="1"/>
    </xf>
    <xf numFmtId="165" fontId="5" fillId="0" borderId="35" xfId="4" applyNumberFormat="1" applyFont="1" applyFill="1" applyBorder="1" applyAlignment="1">
      <alignment horizontal="center" vertical="center"/>
    </xf>
    <xf numFmtId="165" fontId="5" fillId="0" borderId="37" xfId="4" applyNumberFormat="1" applyFont="1" applyFill="1" applyBorder="1" applyAlignment="1">
      <alignment horizontal="center" vertical="center"/>
    </xf>
    <xf numFmtId="165" fontId="5" fillId="0" borderId="38" xfId="4" applyNumberFormat="1" applyFont="1" applyFill="1" applyBorder="1" applyAlignment="1">
      <alignment horizontal="center" vertical="center"/>
    </xf>
    <xf numFmtId="0" fontId="5" fillId="0" borderId="36" xfId="2" applyFont="1" applyFill="1" applyBorder="1" applyAlignment="1">
      <alignment horizontal="center" vertical="center"/>
    </xf>
    <xf numFmtId="9" fontId="5" fillId="0" borderId="39" xfId="3" applyFont="1" applyFill="1" applyBorder="1" applyAlignment="1">
      <alignment horizontal="center" vertical="center"/>
    </xf>
    <xf numFmtId="165" fontId="5" fillId="0" borderId="40" xfId="4" applyNumberFormat="1" applyFont="1" applyFill="1" applyBorder="1" applyAlignment="1">
      <alignment horizontal="center" vertical="center"/>
    </xf>
    <xf numFmtId="9" fontId="5" fillId="0" borderId="41" xfId="3" applyFont="1" applyFill="1" applyBorder="1" applyAlignment="1">
      <alignment horizontal="center" vertical="center"/>
    </xf>
    <xf numFmtId="9" fontId="5" fillId="0" borderId="41" xfId="5" applyFont="1" applyFill="1" applyBorder="1" applyAlignment="1">
      <alignment horizontal="center" vertical="center"/>
    </xf>
    <xf numFmtId="9" fontId="5" fillId="0" borderId="67" xfId="3" applyFont="1" applyFill="1" applyBorder="1" applyAlignment="1">
      <alignment horizontal="center" vertical="center"/>
    </xf>
    <xf numFmtId="0" fontId="5" fillId="0" borderId="0" xfId="2" applyFont="1" applyFill="1" applyAlignment="1">
      <alignment horizontal="center"/>
    </xf>
    <xf numFmtId="0" fontId="4" fillId="31" borderId="36" xfId="2" applyFont="1" applyFill="1" applyBorder="1" applyAlignment="1">
      <alignment horizontal="center" vertical="center"/>
    </xf>
    <xf numFmtId="0" fontId="7" fillId="2" borderId="35" xfId="2" applyFont="1" applyFill="1" applyBorder="1" applyAlignment="1">
      <alignment horizontal="center" vertical="center"/>
    </xf>
    <xf numFmtId="0" fontId="4" fillId="6" borderId="68" xfId="2" applyFont="1" applyFill="1" applyBorder="1" applyAlignment="1">
      <alignment horizontal="center" vertical="center" wrapText="1"/>
    </xf>
    <xf numFmtId="0" fontId="4" fillId="6" borderId="35" xfId="2" applyFont="1" applyFill="1" applyBorder="1" applyAlignment="1">
      <alignment horizontal="center" vertical="center"/>
    </xf>
    <xf numFmtId="0" fontId="4" fillId="6" borderId="69" xfId="2" applyFont="1" applyFill="1" applyBorder="1" applyAlignment="1">
      <alignment horizontal="center" vertical="center"/>
    </xf>
    <xf numFmtId="0" fontId="4" fillId="6" borderId="69" xfId="2" applyFont="1" applyFill="1" applyBorder="1" applyAlignment="1">
      <alignment horizontal="center" vertical="center" wrapText="1"/>
    </xf>
    <xf numFmtId="0" fontId="7" fillId="4" borderId="35" xfId="2" applyFont="1" applyFill="1" applyBorder="1" applyAlignment="1">
      <alignment horizontal="center" vertical="center" wrapText="1"/>
    </xf>
    <xf numFmtId="0" fontId="4" fillId="0" borderId="70" xfId="2" applyFont="1" applyBorder="1" applyAlignment="1">
      <alignment horizontal="center" vertical="center" wrapText="1"/>
    </xf>
    <xf numFmtId="0" fontId="22" fillId="2" borderId="35" xfId="2" applyFont="1" applyFill="1" applyBorder="1" applyAlignment="1">
      <alignment horizontal="center" vertical="center" wrapText="1"/>
    </xf>
    <xf numFmtId="165" fontId="5" fillId="11" borderId="41" xfId="4" applyNumberFormat="1" applyFont="1" applyFill="1" applyBorder="1" applyAlignment="1">
      <alignment horizontal="center" vertical="center"/>
    </xf>
    <xf numFmtId="44" fontId="19" fillId="6" borderId="25" xfId="1" applyFont="1" applyFill="1" applyBorder="1" applyAlignment="1">
      <alignment horizontal="center"/>
    </xf>
    <xf numFmtId="44" fontId="16" fillId="6" borderId="25" xfId="1" applyFont="1" applyFill="1" applyBorder="1" applyAlignment="1">
      <alignment horizontal="center"/>
    </xf>
    <xf numFmtId="9" fontId="7" fillId="13" borderId="20" xfId="3" applyFont="1" applyFill="1" applyBorder="1" applyAlignment="1">
      <alignment horizontal="center"/>
    </xf>
    <xf numFmtId="0" fontId="5" fillId="11" borderId="37" xfId="2" applyFont="1" applyFill="1" applyBorder="1" applyAlignment="1">
      <alignment horizontal="center" vertical="center"/>
    </xf>
    <xf numFmtId="0" fontId="5" fillId="11" borderId="41" xfId="2" applyFont="1" applyFill="1" applyBorder="1" applyAlignment="1">
      <alignment horizontal="center" vertical="center"/>
    </xf>
    <xf numFmtId="17" fontId="4" fillId="6" borderId="14" xfId="2" applyNumberFormat="1" applyFont="1" applyFill="1" applyBorder="1" applyAlignment="1">
      <alignment horizontal="center" vertical="center"/>
    </xf>
    <xf numFmtId="0" fontId="4" fillId="6" borderId="12" xfId="2" applyFont="1" applyFill="1" applyBorder="1" applyAlignment="1">
      <alignment horizontal="center" vertical="center"/>
    </xf>
    <xf numFmtId="0" fontId="4" fillId="6" borderId="15" xfId="2" applyFont="1" applyFill="1" applyBorder="1" applyAlignment="1">
      <alignment horizontal="center" vertical="center"/>
    </xf>
    <xf numFmtId="16" fontId="9" fillId="10" borderId="25" xfId="2" applyNumberFormat="1" applyFont="1" applyFill="1" applyBorder="1" applyAlignment="1">
      <alignment horizontal="center"/>
    </xf>
    <xf numFmtId="44" fontId="9" fillId="12" borderId="23" xfId="4" applyFont="1" applyFill="1" applyBorder="1" applyAlignment="1">
      <alignment horizontal="center"/>
    </xf>
    <xf numFmtId="44" fontId="9" fillId="25" borderId="23" xfId="4" applyFont="1" applyFill="1" applyBorder="1" applyAlignment="1">
      <alignment horizontal="center"/>
    </xf>
    <xf numFmtId="44" fontId="10" fillId="10" borderId="23" xfId="4" applyFont="1" applyFill="1" applyBorder="1" applyAlignment="1">
      <alignment horizontal="center"/>
    </xf>
    <xf numFmtId="44" fontId="8" fillId="6" borderId="23" xfId="4" applyFont="1" applyFill="1" applyBorder="1" applyAlignment="1">
      <alignment horizontal="center"/>
    </xf>
    <xf numFmtId="44" fontId="9" fillId="10" borderId="23" xfId="4" applyFont="1" applyFill="1" applyBorder="1" applyAlignment="1">
      <alignment horizontal="center"/>
    </xf>
    <xf numFmtId="44" fontId="9" fillId="3" borderId="23" xfId="4" applyFont="1" applyFill="1" applyBorder="1" applyAlignment="1">
      <alignment horizontal="center"/>
    </xf>
    <xf numFmtId="44" fontId="4" fillId="6" borderId="23" xfId="4" applyFont="1" applyFill="1" applyBorder="1" applyAlignment="1">
      <alignment horizontal="center"/>
    </xf>
    <xf numFmtId="44" fontId="9" fillId="3" borderId="71" xfId="4" applyFont="1" applyFill="1" applyBorder="1" applyAlignment="1">
      <alignment horizontal="center"/>
    </xf>
    <xf numFmtId="0" fontId="9" fillId="10" borderId="25" xfId="2" applyFont="1" applyFill="1" applyBorder="1" applyAlignment="1">
      <alignment horizontal="center"/>
    </xf>
    <xf numFmtId="0" fontId="9" fillId="10" borderId="49" xfId="2" applyFont="1" applyFill="1" applyBorder="1" applyAlignment="1">
      <alignment horizontal="center"/>
    </xf>
    <xf numFmtId="44" fontId="9" fillId="12" borderId="34" xfId="4" applyFont="1" applyFill="1" applyBorder="1" applyAlignment="1">
      <alignment horizontal="center"/>
    </xf>
    <xf numFmtId="44" fontId="9" fillId="25" borderId="34" xfId="4" applyFont="1" applyFill="1" applyBorder="1" applyAlignment="1">
      <alignment horizontal="center"/>
    </xf>
    <xf numFmtId="44" fontId="10" fillId="10" borderId="34" xfId="4" applyFont="1" applyFill="1" applyBorder="1" applyAlignment="1">
      <alignment horizontal="center"/>
    </xf>
    <xf numFmtId="44" fontId="8" fillId="6" borderId="34" xfId="4" applyFont="1" applyFill="1" applyBorder="1" applyAlignment="1">
      <alignment horizontal="center"/>
    </xf>
    <xf numFmtId="44" fontId="9" fillId="10" borderId="34" xfId="4" applyFont="1" applyFill="1" applyBorder="1" applyAlignment="1">
      <alignment horizontal="center"/>
    </xf>
    <xf numFmtId="44" fontId="9" fillId="3" borderId="34" xfId="4" applyFont="1" applyFill="1" applyBorder="1" applyAlignment="1">
      <alignment horizontal="center"/>
    </xf>
    <xf numFmtId="44" fontId="4" fillId="6" borderId="34" xfId="4" applyFont="1" applyFill="1" applyBorder="1" applyAlignment="1">
      <alignment horizontal="center"/>
    </xf>
    <xf numFmtId="44" fontId="9" fillId="3" borderId="72" xfId="4" applyFont="1" applyFill="1" applyBorder="1" applyAlignment="1">
      <alignment horizontal="center"/>
    </xf>
    <xf numFmtId="0" fontId="9" fillId="10" borderId="73" xfId="2" applyFont="1" applyFill="1" applyBorder="1" applyAlignment="1">
      <alignment horizontal="center"/>
    </xf>
    <xf numFmtId="44" fontId="9" fillId="12" borderId="62" xfId="4" applyFont="1" applyFill="1" applyBorder="1" applyAlignment="1">
      <alignment horizontal="center"/>
    </xf>
    <xf numFmtId="44" fontId="9" fillId="0" borderId="62" xfId="4" applyFont="1" applyFill="1" applyBorder="1" applyAlignment="1">
      <alignment horizontal="center"/>
    </xf>
    <xf numFmtId="44" fontId="10" fillId="10" borderId="62" xfId="4" applyFont="1" applyFill="1" applyBorder="1" applyAlignment="1">
      <alignment horizontal="center"/>
    </xf>
    <xf numFmtId="44" fontId="8" fillId="6" borderId="62" xfId="4" applyFont="1" applyFill="1" applyBorder="1" applyAlignment="1">
      <alignment horizontal="center"/>
    </xf>
    <xf numFmtId="44" fontId="9" fillId="10" borderId="62" xfId="4" applyFont="1" applyFill="1" applyBorder="1" applyAlignment="1">
      <alignment horizontal="center"/>
    </xf>
    <xf numFmtId="44" fontId="9" fillId="3" borderId="62" xfId="4" applyFont="1" applyFill="1" applyBorder="1" applyAlignment="1">
      <alignment horizontal="center"/>
    </xf>
    <xf numFmtId="44" fontId="4" fillId="6" borderId="62" xfId="4" applyFont="1" applyFill="1" applyBorder="1" applyAlignment="1">
      <alignment horizontal="center"/>
    </xf>
    <xf numFmtId="44" fontId="9" fillId="3" borderId="74" xfId="4" applyFont="1" applyFill="1" applyBorder="1" applyAlignment="1">
      <alignment horizontal="center"/>
    </xf>
    <xf numFmtId="44" fontId="9" fillId="0" borderId="23" xfId="4" applyFont="1" applyFill="1" applyBorder="1" applyAlignment="1">
      <alignment horizontal="center"/>
    </xf>
    <xf numFmtId="44" fontId="7" fillId="10" borderId="30" xfId="4" applyFont="1" applyFill="1" applyBorder="1"/>
    <xf numFmtId="44" fontId="9" fillId="10" borderId="24" xfId="4" applyFont="1" applyFill="1" applyBorder="1"/>
    <xf numFmtId="9" fontId="7" fillId="10" borderId="30" xfId="3" applyFont="1" applyFill="1" applyBorder="1"/>
    <xf numFmtId="44" fontId="13" fillId="10" borderId="23" xfId="4" applyFont="1" applyFill="1" applyBorder="1" applyAlignment="1">
      <alignment horizontal="center"/>
    </xf>
    <xf numFmtId="9" fontId="7" fillId="10" borderId="72" xfId="3" applyFont="1" applyFill="1" applyBorder="1"/>
    <xf numFmtId="0" fontId="14" fillId="0" borderId="0" xfId="2" applyFont="1"/>
    <xf numFmtId="44" fontId="9" fillId="26" borderId="23" xfId="4" applyFont="1" applyFill="1" applyBorder="1" applyAlignment="1">
      <alignment horizontal="center"/>
    </xf>
    <xf numFmtId="9" fontId="9" fillId="12" borderId="23" xfId="4" applyNumberFormat="1" applyFont="1" applyFill="1" applyBorder="1" applyAlignment="1">
      <alignment horizontal="right"/>
    </xf>
    <xf numFmtId="44" fontId="9" fillId="27" borderId="23" xfId="4" applyFont="1" applyFill="1" applyBorder="1" applyAlignment="1">
      <alignment horizontal="center"/>
    </xf>
    <xf numFmtId="9" fontId="9" fillId="10" borderId="23" xfId="4" applyNumberFormat="1" applyFont="1" applyFill="1" applyBorder="1" applyAlignment="1">
      <alignment horizontal="right"/>
    </xf>
    <xf numFmtId="9" fontId="9" fillId="3" borderId="23" xfId="4" applyNumberFormat="1" applyFont="1" applyFill="1" applyBorder="1" applyAlignment="1">
      <alignment horizontal="right"/>
    </xf>
    <xf numFmtId="9" fontId="9" fillId="3" borderId="71" xfId="4" applyNumberFormat="1" applyFont="1" applyFill="1" applyBorder="1" applyAlignment="1">
      <alignment horizontal="right"/>
    </xf>
    <xf numFmtId="9" fontId="9" fillId="28" borderId="23" xfId="4" applyNumberFormat="1" applyFont="1" applyFill="1" applyBorder="1" applyAlignment="1">
      <alignment horizontal="right"/>
    </xf>
    <xf numFmtId="9" fontId="9" fillId="27" borderId="23" xfId="4" applyNumberFormat="1" applyFont="1" applyFill="1" applyBorder="1" applyAlignment="1">
      <alignment horizontal="right"/>
    </xf>
    <xf numFmtId="9" fontId="9" fillId="33" borderId="23" xfId="4" applyNumberFormat="1" applyFont="1" applyFill="1" applyBorder="1" applyAlignment="1">
      <alignment horizontal="right"/>
    </xf>
    <xf numFmtId="9" fontId="9" fillId="33" borderId="71" xfId="4" applyNumberFormat="1" applyFont="1" applyFill="1" applyBorder="1" applyAlignment="1">
      <alignment horizontal="right"/>
    </xf>
    <xf numFmtId="44" fontId="7" fillId="29" borderId="63" xfId="0" applyNumberFormat="1" applyFont="1" applyFill="1" applyBorder="1"/>
    <xf numFmtId="0" fontId="6" fillId="30" borderId="0" xfId="2" applyFont="1" applyFill="1"/>
    <xf numFmtId="9" fontId="7" fillId="0" borderId="0" xfId="3" applyFont="1" applyFill="1" applyBorder="1"/>
    <xf numFmtId="9" fontId="9" fillId="10" borderId="25" xfId="5" applyFont="1" applyFill="1" applyBorder="1" applyAlignment="1">
      <alignment horizontal="center"/>
    </xf>
    <xf numFmtId="44" fontId="7" fillId="10" borderId="24" xfId="4" applyFont="1" applyFill="1" applyBorder="1"/>
    <xf numFmtId="0" fontId="9" fillId="10" borderId="61" xfId="2" applyFont="1" applyFill="1" applyBorder="1" applyAlignment="1">
      <alignment horizontal="center" vertical="center"/>
    </xf>
    <xf numFmtId="0" fontId="9" fillId="10" borderId="73" xfId="2" applyFont="1" applyFill="1" applyBorder="1" applyAlignment="1">
      <alignment horizontal="center" vertical="center"/>
    </xf>
    <xf numFmtId="0" fontId="9" fillId="10" borderId="5" xfId="2" applyFont="1" applyFill="1" applyBorder="1" applyAlignment="1">
      <alignment horizontal="center" vertical="center"/>
    </xf>
    <xf numFmtId="0" fontId="9" fillId="10" borderId="25" xfId="2" applyFont="1" applyFill="1" applyBorder="1" applyAlignment="1">
      <alignment horizontal="center" vertical="center"/>
    </xf>
    <xf numFmtId="0" fontId="2" fillId="23" borderId="0" xfId="0" applyFont="1" applyFill="1"/>
    <xf numFmtId="165" fontId="2" fillId="23" borderId="0" xfId="1" applyNumberFormat="1" applyFont="1" applyFill="1" applyAlignment="1">
      <alignment horizontal="center"/>
    </xf>
    <xf numFmtId="165" fontId="0" fillId="0" borderId="0" xfId="0" applyNumberFormat="1"/>
    <xf numFmtId="9" fontId="2" fillId="23" borderId="0" xfId="5" applyFont="1" applyFill="1" applyAlignment="1">
      <alignment horizontal="center"/>
    </xf>
    <xf numFmtId="165" fontId="2" fillId="23" borderId="0" xfId="1" applyNumberFormat="1" applyFont="1" applyFill="1" applyAlignment="1">
      <alignment horizontal="left"/>
    </xf>
    <xf numFmtId="165" fontId="2" fillId="23" borderId="0" xfId="5" applyNumberFormat="1" applyFont="1" applyFill="1" applyAlignment="1">
      <alignment horizontal="center"/>
    </xf>
    <xf numFmtId="9" fontId="9" fillId="10" borderId="28" xfId="5" applyFont="1" applyFill="1" applyBorder="1" applyAlignment="1">
      <alignment horizontal="center"/>
    </xf>
    <xf numFmtId="9" fontId="9" fillId="10" borderId="49" xfId="5" applyFont="1" applyFill="1" applyBorder="1" applyAlignment="1">
      <alignment horizontal="center"/>
    </xf>
    <xf numFmtId="7" fontId="9" fillId="12" borderId="23" xfId="4" applyNumberFormat="1" applyFont="1" applyFill="1" applyBorder="1" applyAlignment="1">
      <alignment horizontal="center"/>
    </xf>
    <xf numFmtId="7" fontId="10" fillId="10" borderId="23" xfId="4" applyNumberFormat="1" applyFont="1" applyFill="1" applyBorder="1" applyAlignment="1">
      <alignment horizontal="center"/>
    </xf>
    <xf numFmtId="7" fontId="9" fillId="3" borderId="23" xfId="4" applyNumberFormat="1" applyFont="1" applyFill="1" applyBorder="1" applyAlignment="1">
      <alignment horizontal="center"/>
    </xf>
    <xf numFmtId="44" fontId="7" fillId="10" borderId="30" xfId="4" applyFont="1" applyFill="1" applyBorder="1" applyAlignment="1">
      <alignment horizontal="center"/>
    </xf>
    <xf numFmtId="44" fontId="9" fillId="10" borderId="24" xfId="4" applyFont="1" applyFill="1" applyBorder="1" applyAlignment="1">
      <alignment horizontal="center"/>
    </xf>
    <xf numFmtId="44" fontId="9" fillId="12" borderId="18" xfId="4" applyFont="1" applyFill="1" applyBorder="1" applyAlignment="1">
      <alignment horizontal="center"/>
    </xf>
    <xf numFmtId="165" fontId="9" fillId="32" borderId="75" xfId="4" applyNumberFormat="1" applyFont="1" applyFill="1" applyBorder="1" applyAlignment="1">
      <alignment horizontal="center"/>
    </xf>
    <xf numFmtId="44" fontId="9" fillId="12" borderId="76" xfId="4" applyFont="1" applyFill="1" applyBorder="1" applyAlignment="1">
      <alignment horizontal="center"/>
    </xf>
    <xf numFmtId="7" fontId="10" fillId="10" borderId="62" xfId="4" applyNumberFormat="1" applyFont="1" applyFill="1" applyBorder="1" applyAlignment="1">
      <alignment horizontal="center"/>
    </xf>
    <xf numFmtId="7" fontId="9" fillId="3" borderId="62" xfId="4" applyNumberFormat="1" applyFont="1" applyFill="1" applyBorder="1" applyAlignment="1">
      <alignment horizontal="center"/>
    </xf>
    <xf numFmtId="17" fontId="7" fillId="10" borderId="30" xfId="4" applyNumberFormat="1" applyFont="1" applyFill="1" applyBorder="1"/>
    <xf numFmtId="44" fontId="7" fillId="29" borderId="63" xfId="1" applyFont="1" applyFill="1" applyBorder="1"/>
    <xf numFmtId="44" fontId="7" fillId="10" borderId="30" xfId="1" applyFont="1" applyFill="1" applyBorder="1"/>
    <xf numFmtId="44" fontId="7" fillId="10" borderId="30" xfId="1" applyFont="1" applyFill="1" applyBorder="1" applyAlignment="1">
      <alignment horizontal="center"/>
    </xf>
    <xf numFmtId="165" fontId="24" fillId="0" borderId="0" xfId="0" applyNumberFormat="1" applyFont="1" applyAlignment="1">
      <alignment horizontal="center"/>
    </xf>
    <xf numFmtId="9" fontId="25" fillId="13" borderId="20" xfId="3" applyFont="1" applyFill="1" applyBorder="1" applyAlignment="1">
      <alignment horizontal="center"/>
    </xf>
    <xf numFmtId="165" fontId="25" fillId="19" borderId="58" xfId="4" applyNumberFormat="1" applyFont="1" applyFill="1" applyBorder="1" applyAlignment="1">
      <alignment horizontal="center"/>
    </xf>
    <xf numFmtId="9" fontId="25" fillId="19" borderId="20" xfId="5" applyFont="1" applyFill="1" applyBorder="1" applyAlignment="1">
      <alignment horizontal="center"/>
    </xf>
    <xf numFmtId="9" fontId="26" fillId="19" borderId="20" xfId="5" applyFont="1" applyFill="1" applyBorder="1" applyAlignment="1">
      <alignment horizontal="center"/>
    </xf>
    <xf numFmtId="165" fontId="25" fillId="13" borderId="58" xfId="4" applyNumberFormat="1" applyFont="1" applyFill="1" applyBorder="1" applyAlignment="1">
      <alignment horizontal="center"/>
    </xf>
    <xf numFmtId="9" fontId="25" fillId="13" borderId="20" xfId="5" applyFont="1" applyFill="1" applyBorder="1" applyAlignment="1">
      <alignment horizontal="center"/>
    </xf>
    <xf numFmtId="165" fontId="25" fillId="10" borderId="23" xfId="4" applyNumberFormat="1" applyFont="1" applyFill="1" applyBorder="1" applyAlignment="1">
      <alignment horizontal="center"/>
    </xf>
    <xf numFmtId="165" fontId="25" fillId="10" borderId="46" xfId="4" applyNumberFormat="1" applyFont="1" applyFill="1" applyBorder="1" applyAlignment="1">
      <alignment horizontal="center"/>
    </xf>
    <xf numFmtId="9" fontId="25" fillId="10" borderId="21" xfId="5" applyFont="1" applyFill="1" applyBorder="1" applyAlignment="1">
      <alignment horizontal="center"/>
    </xf>
    <xf numFmtId="165" fontId="27" fillId="6" borderId="25" xfId="4" applyNumberFormat="1" applyFont="1" applyFill="1" applyBorder="1" applyAlignment="1">
      <alignment horizontal="center"/>
    </xf>
    <xf numFmtId="9" fontId="25" fillId="10" borderId="20" xfId="5" applyFont="1" applyFill="1" applyBorder="1" applyAlignment="1">
      <alignment horizontal="center"/>
    </xf>
    <xf numFmtId="165" fontId="25" fillId="10" borderId="21" xfId="4" applyNumberFormat="1" applyFont="1" applyFill="1" applyBorder="1" applyAlignment="1">
      <alignment horizontal="center"/>
    </xf>
    <xf numFmtId="165" fontId="25" fillId="10" borderId="0" xfId="4" applyNumberFormat="1" applyFont="1" applyFill="1" applyBorder="1" applyAlignment="1">
      <alignment horizontal="center"/>
    </xf>
    <xf numFmtId="165" fontId="25" fillId="14" borderId="23" xfId="4" applyNumberFormat="1" applyFont="1" applyFill="1" applyBorder="1" applyAlignment="1">
      <alignment horizontal="center"/>
    </xf>
    <xf numFmtId="165" fontId="25" fillId="14" borderId="0" xfId="4" applyNumberFormat="1" applyFont="1" applyFill="1" applyBorder="1" applyAlignment="1">
      <alignment horizontal="center"/>
    </xf>
    <xf numFmtId="165" fontId="27" fillId="6" borderId="23" xfId="4" applyNumberFormat="1" applyFont="1" applyFill="1" applyBorder="1" applyAlignment="1">
      <alignment horizontal="center"/>
    </xf>
    <xf numFmtId="0" fontId="28" fillId="0" borderId="0" xfId="2" applyFont="1"/>
    <xf numFmtId="0" fontId="29" fillId="10" borderId="5" xfId="2" applyFont="1" applyFill="1" applyBorder="1"/>
    <xf numFmtId="0" fontId="9" fillId="10" borderId="76" xfId="2" applyFont="1" applyFill="1" applyBorder="1" applyAlignment="1">
      <alignment horizontal="center"/>
    </xf>
    <xf numFmtId="16" fontId="9" fillId="10" borderId="35" xfId="2" applyNumberFormat="1" applyFont="1" applyFill="1" applyBorder="1" applyAlignment="1">
      <alignment horizontal="center"/>
    </xf>
    <xf numFmtId="44" fontId="9" fillId="12" borderId="77" xfId="4" applyFont="1" applyFill="1" applyBorder="1" applyAlignment="1">
      <alignment horizontal="center"/>
    </xf>
    <xf numFmtId="44" fontId="9" fillId="25" borderId="77" xfId="4" applyFont="1" applyFill="1" applyBorder="1" applyAlignment="1">
      <alignment horizontal="center"/>
    </xf>
    <xf numFmtId="44" fontId="10" fillId="10" borderId="77" xfId="4" applyFont="1" applyFill="1" applyBorder="1" applyAlignment="1">
      <alignment horizontal="center"/>
    </xf>
    <xf numFmtId="44" fontId="8" fillId="6" borderId="77" xfId="4" applyFont="1" applyFill="1" applyBorder="1" applyAlignment="1">
      <alignment horizontal="center"/>
    </xf>
    <xf numFmtId="44" fontId="9" fillId="10" borderId="77" xfId="4" applyFont="1" applyFill="1" applyBorder="1" applyAlignment="1">
      <alignment horizontal="center"/>
    </xf>
    <xf numFmtId="44" fontId="9" fillId="3" borderId="77" xfId="4" applyFont="1" applyFill="1" applyBorder="1" applyAlignment="1">
      <alignment horizontal="center"/>
    </xf>
    <xf numFmtId="44" fontId="4" fillId="6" borderId="77" xfId="4" applyFont="1" applyFill="1" applyBorder="1" applyAlignment="1">
      <alignment horizontal="center"/>
    </xf>
    <xf numFmtId="44" fontId="9" fillId="3" borderId="35" xfId="4" applyFont="1" applyFill="1" applyBorder="1" applyAlignment="1">
      <alignment horizontal="center"/>
    </xf>
    <xf numFmtId="165" fontId="23" fillId="7" borderId="23" xfId="4" applyNumberFormat="1" applyFont="1" applyFill="1" applyBorder="1" applyAlignment="1">
      <alignment horizontal="center"/>
    </xf>
    <xf numFmtId="165" fontId="23" fillId="12" borderId="23" xfId="4" applyNumberFormat="1" applyFont="1" applyFill="1" applyBorder="1" applyAlignment="1">
      <alignment horizontal="center"/>
    </xf>
    <xf numFmtId="7" fontId="9" fillId="27" borderId="23" xfId="4" applyNumberFormat="1" applyFont="1" applyFill="1" applyBorder="1" applyAlignment="1">
      <alignment horizontal="center"/>
    </xf>
    <xf numFmtId="165" fontId="10" fillId="7" borderId="18" xfId="4" applyNumberFormat="1" applyFont="1" applyFill="1" applyBorder="1" applyAlignment="1">
      <alignment horizontal="center"/>
    </xf>
    <xf numFmtId="165" fontId="10" fillId="12" borderId="18" xfId="4" applyNumberFormat="1" applyFont="1" applyFill="1" applyBorder="1" applyAlignment="1">
      <alignment horizontal="center"/>
    </xf>
    <xf numFmtId="9" fontId="9" fillId="10" borderId="25" xfId="2" applyNumberFormat="1" applyFont="1" applyFill="1" applyBorder="1" applyAlignment="1">
      <alignment horizontal="center"/>
    </xf>
    <xf numFmtId="9" fontId="9" fillId="12" borderId="23" xfId="5" applyFont="1" applyFill="1" applyBorder="1" applyAlignment="1">
      <alignment horizontal="center"/>
    </xf>
    <xf numFmtId="9" fontId="9" fillId="12" borderId="34" xfId="5" applyFont="1" applyFill="1" applyBorder="1" applyAlignment="1">
      <alignment horizontal="center"/>
    </xf>
    <xf numFmtId="9" fontId="9" fillId="32" borderId="66" xfId="5" applyFont="1" applyFill="1" applyBorder="1" applyAlignment="1">
      <alignment horizontal="center"/>
    </xf>
    <xf numFmtId="9" fontId="9" fillId="12" borderId="62" xfId="5" applyFont="1" applyFill="1" applyBorder="1" applyAlignment="1">
      <alignment horizontal="center"/>
    </xf>
    <xf numFmtId="9" fontId="7" fillId="10" borderId="30" xfId="5" applyFont="1" applyFill="1" applyBorder="1" applyAlignment="1">
      <alignment horizontal="center"/>
    </xf>
    <xf numFmtId="9" fontId="9" fillId="28" borderId="23" xfId="5" applyFont="1" applyFill="1" applyBorder="1" applyAlignment="1">
      <alignment horizontal="center"/>
    </xf>
    <xf numFmtId="9" fontId="6" fillId="30" borderId="0" xfId="5" applyFont="1" applyFill="1" applyAlignment="1">
      <alignment horizontal="center"/>
    </xf>
    <xf numFmtId="9" fontId="8" fillId="32" borderId="66" xfId="5" applyFont="1" applyFill="1" applyBorder="1" applyAlignment="1">
      <alignment horizontal="center"/>
    </xf>
    <xf numFmtId="9" fontId="9" fillId="10" borderId="23" xfId="5" applyFont="1" applyFill="1" applyBorder="1" applyAlignment="1">
      <alignment horizontal="center"/>
    </xf>
    <xf numFmtId="9" fontId="9" fillId="10" borderId="34" xfId="5" applyFont="1" applyFill="1" applyBorder="1" applyAlignment="1">
      <alignment horizontal="center"/>
    </xf>
    <xf numFmtId="9" fontId="9" fillId="10" borderId="62" xfId="5" applyFont="1" applyFill="1" applyBorder="1" applyAlignment="1">
      <alignment horizontal="center"/>
    </xf>
    <xf numFmtId="9" fontId="9" fillId="27" borderId="23" xfId="5" applyFont="1" applyFill="1" applyBorder="1" applyAlignment="1">
      <alignment horizontal="center"/>
    </xf>
    <xf numFmtId="9" fontId="10" fillId="32" borderId="66" xfId="5" applyFont="1" applyFill="1" applyBorder="1" applyAlignment="1">
      <alignment horizontal="center"/>
    </xf>
    <xf numFmtId="9" fontId="4" fillId="32" borderId="66" xfId="5" applyFont="1" applyFill="1" applyBorder="1" applyAlignment="1">
      <alignment horizontal="center"/>
    </xf>
    <xf numFmtId="9" fontId="7" fillId="0" borderId="0" xfId="5" applyFont="1" applyFill="1" applyBorder="1" applyAlignment="1">
      <alignment horizontal="center"/>
    </xf>
    <xf numFmtId="9" fontId="9" fillId="3" borderId="23" xfId="5" applyFont="1" applyFill="1" applyBorder="1" applyAlignment="1">
      <alignment horizontal="center"/>
    </xf>
    <xf numFmtId="9" fontId="9" fillId="3" borderId="34" xfId="5" applyFont="1" applyFill="1" applyBorder="1" applyAlignment="1">
      <alignment horizontal="center"/>
    </xf>
    <xf numFmtId="9" fontId="9" fillId="3" borderId="62" xfId="5" applyFont="1" applyFill="1" applyBorder="1" applyAlignment="1">
      <alignment horizontal="center"/>
    </xf>
    <xf numFmtId="9" fontId="9" fillId="3" borderId="71" xfId="5" applyFont="1" applyFill="1" applyBorder="1" applyAlignment="1">
      <alignment horizontal="center"/>
    </xf>
    <xf numFmtId="9" fontId="9" fillId="3" borderId="72" xfId="5" applyFont="1" applyFill="1" applyBorder="1" applyAlignment="1">
      <alignment horizontal="center"/>
    </xf>
    <xf numFmtId="9" fontId="9" fillId="3" borderId="74" xfId="5" applyFont="1" applyFill="1" applyBorder="1" applyAlignment="1">
      <alignment horizontal="center"/>
    </xf>
    <xf numFmtId="9" fontId="7" fillId="10" borderId="72" xfId="5" applyFont="1" applyFill="1" applyBorder="1" applyAlignment="1">
      <alignment horizontal="center"/>
    </xf>
    <xf numFmtId="9" fontId="9" fillId="33" borderId="23" xfId="5" applyFont="1" applyFill="1" applyBorder="1" applyAlignment="1">
      <alignment horizontal="center"/>
    </xf>
    <xf numFmtId="9" fontId="9" fillId="33" borderId="71" xfId="5" applyFont="1" applyFill="1" applyBorder="1" applyAlignment="1">
      <alignment horizontal="center"/>
    </xf>
    <xf numFmtId="9" fontId="5" fillId="0" borderId="39" xfId="5" applyFont="1" applyFill="1" applyBorder="1" applyAlignment="1">
      <alignment horizontal="center" vertical="center"/>
    </xf>
    <xf numFmtId="9" fontId="9" fillId="15" borderId="43" xfId="5" applyFont="1" applyFill="1" applyBorder="1" applyAlignment="1">
      <alignment horizontal="center"/>
    </xf>
    <xf numFmtId="9" fontId="17" fillId="15" borderId="42" xfId="5" applyFont="1" applyFill="1" applyBorder="1" applyAlignment="1">
      <alignment horizontal="center"/>
    </xf>
    <xf numFmtId="9" fontId="17" fillId="15" borderId="43" xfId="5" applyFont="1" applyFill="1" applyBorder="1" applyAlignment="1">
      <alignment horizontal="center"/>
    </xf>
    <xf numFmtId="9" fontId="11" fillId="15" borderId="43" xfId="5" applyFont="1" applyFill="1" applyBorder="1" applyAlignment="1">
      <alignment horizontal="center"/>
    </xf>
    <xf numFmtId="166" fontId="4" fillId="6" borderId="12" xfId="1" applyNumberFormat="1" applyFont="1" applyFill="1" applyBorder="1" applyAlignment="1">
      <alignment horizontal="center" vertical="center"/>
    </xf>
    <xf numFmtId="166" fontId="7" fillId="10" borderId="30" xfId="1" applyNumberFormat="1" applyFont="1" applyFill="1" applyBorder="1" applyAlignment="1">
      <alignment horizontal="center"/>
    </xf>
    <xf numFmtId="166" fontId="6" fillId="0" borderId="0" xfId="1" applyNumberFormat="1" applyFont="1"/>
    <xf numFmtId="166" fontId="0" fillId="0" borderId="0" xfId="1" applyNumberFormat="1" applyFont="1"/>
    <xf numFmtId="166" fontId="7" fillId="10" borderId="30" xfId="1" applyNumberFormat="1" applyFont="1" applyFill="1" applyBorder="1"/>
    <xf numFmtId="166" fontId="6" fillId="30" borderId="0" xfId="1" applyNumberFormat="1" applyFont="1" applyFill="1"/>
    <xf numFmtId="164" fontId="4" fillId="6" borderId="12" xfId="1" applyNumberFormat="1" applyFont="1" applyFill="1" applyBorder="1" applyAlignment="1">
      <alignment horizontal="center" vertical="center"/>
    </xf>
    <xf numFmtId="164" fontId="4" fillId="6" borderId="23" xfId="1" applyNumberFormat="1" applyFont="1" applyFill="1" applyBorder="1" applyAlignment="1">
      <alignment horizontal="center"/>
    </xf>
    <xf numFmtId="164" fontId="4" fillId="6" borderId="34" xfId="1" applyNumberFormat="1" applyFont="1" applyFill="1" applyBorder="1" applyAlignment="1">
      <alignment horizontal="center"/>
    </xf>
    <xf numFmtId="164" fontId="4" fillId="32" borderId="66" xfId="1" applyNumberFormat="1" applyFont="1" applyFill="1" applyBorder="1" applyAlignment="1">
      <alignment horizontal="center"/>
    </xf>
    <xf numFmtId="164" fontId="4" fillId="6" borderId="62" xfId="1" applyNumberFormat="1" applyFont="1" applyFill="1" applyBorder="1" applyAlignment="1">
      <alignment horizontal="center"/>
    </xf>
    <xf numFmtId="164" fontId="7" fillId="10" borderId="30" xfId="1" applyNumberFormat="1" applyFont="1" applyFill="1" applyBorder="1" applyAlignment="1">
      <alignment horizontal="center"/>
    </xf>
    <xf numFmtId="164" fontId="6" fillId="0" borderId="0" xfId="1" applyNumberFormat="1" applyFont="1"/>
    <xf numFmtId="164" fontId="0" fillId="0" borderId="0" xfId="1" applyNumberFormat="1" applyFont="1"/>
    <xf numFmtId="164" fontId="8" fillId="6" borderId="23" xfId="1" applyNumberFormat="1" applyFont="1" applyFill="1" applyBorder="1" applyAlignment="1">
      <alignment horizontal="center"/>
    </xf>
    <xf numFmtId="164" fontId="7" fillId="10" borderId="30" xfId="1" applyNumberFormat="1" applyFont="1" applyFill="1" applyBorder="1"/>
    <xf numFmtId="164" fontId="6" fillId="30" borderId="0" xfId="1" applyNumberFormat="1" applyFont="1" applyFill="1"/>
    <xf numFmtId="164" fontId="8" fillId="6" borderId="34" xfId="1" applyNumberFormat="1" applyFont="1" applyFill="1" applyBorder="1" applyAlignment="1">
      <alignment horizontal="center"/>
    </xf>
    <xf numFmtId="164" fontId="8" fillId="6" borderId="62" xfId="1" applyNumberFormat="1" applyFont="1" applyFill="1" applyBorder="1" applyAlignment="1">
      <alignment horizontal="center"/>
    </xf>
    <xf numFmtId="164" fontId="10" fillId="10" borderId="23" xfId="1" applyNumberFormat="1" applyFont="1" applyFill="1" applyBorder="1" applyAlignment="1">
      <alignment horizontal="center"/>
    </xf>
    <xf numFmtId="166" fontId="9" fillId="25" borderId="23" xfId="1" applyNumberFormat="1" applyFont="1" applyFill="1" applyBorder="1" applyAlignment="1">
      <alignment horizontal="center"/>
    </xf>
    <xf numFmtId="166" fontId="9" fillId="25" borderId="34" xfId="1" applyNumberFormat="1" applyFont="1" applyFill="1" applyBorder="1" applyAlignment="1">
      <alignment horizontal="center"/>
    </xf>
    <xf numFmtId="166" fontId="9" fillId="0" borderId="62" xfId="1" applyNumberFormat="1" applyFont="1" applyFill="1" applyBorder="1" applyAlignment="1">
      <alignment horizontal="center"/>
    </xf>
    <xf numFmtId="166" fontId="9" fillId="0" borderId="23" xfId="1" applyNumberFormat="1" applyFont="1" applyFill="1" applyBorder="1" applyAlignment="1">
      <alignment horizontal="center"/>
    </xf>
    <xf numFmtId="166" fontId="9" fillId="26" borderId="23" xfId="1" applyNumberFormat="1" applyFont="1" applyFill="1" applyBorder="1" applyAlignment="1">
      <alignment horizontal="center"/>
    </xf>
    <xf numFmtId="164" fontId="9" fillId="25" borderId="23" xfId="1" applyNumberFormat="1" applyFont="1" applyFill="1" applyBorder="1" applyAlignment="1">
      <alignment horizontal="center"/>
    </xf>
    <xf numFmtId="164" fontId="9" fillId="25" borderId="34" xfId="1" applyNumberFormat="1" applyFont="1" applyFill="1" applyBorder="1" applyAlignment="1">
      <alignment horizontal="center"/>
    </xf>
    <xf numFmtId="164" fontId="9" fillId="0" borderId="62" xfId="1" applyNumberFormat="1" applyFont="1" applyFill="1" applyBorder="1" applyAlignment="1">
      <alignment horizontal="center"/>
    </xf>
    <xf numFmtId="164" fontId="9" fillId="0" borderId="23" xfId="1" applyNumberFormat="1" applyFont="1" applyFill="1" applyBorder="1" applyAlignment="1">
      <alignment horizontal="center"/>
    </xf>
    <xf numFmtId="164" fontId="9" fillId="26" borderId="23" xfId="1" applyNumberFormat="1" applyFont="1" applyFill="1" applyBorder="1" applyAlignment="1">
      <alignment horizontal="center"/>
    </xf>
    <xf numFmtId="164" fontId="13" fillId="10" borderId="23" xfId="1" applyNumberFormat="1" applyFont="1" applyFill="1" applyBorder="1" applyAlignment="1">
      <alignment horizontal="center"/>
    </xf>
    <xf numFmtId="164" fontId="9" fillId="32" borderId="66" xfId="1" applyNumberFormat="1" applyFont="1" applyFill="1" applyBorder="1" applyAlignment="1">
      <alignment horizontal="center"/>
    </xf>
    <xf numFmtId="166" fontId="10" fillId="32" borderId="66" xfId="1" applyNumberFormat="1" applyFont="1" applyFill="1" applyBorder="1" applyAlignment="1">
      <alignment horizontal="center"/>
    </xf>
    <xf numFmtId="7" fontId="7" fillId="10" borderId="30" xfId="4" applyNumberFormat="1" applyFont="1" applyFill="1" applyBorder="1"/>
    <xf numFmtId="0" fontId="7" fillId="10" borderId="5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10" borderId="5" xfId="2" applyFont="1" applyFill="1" applyBorder="1" applyAlignment="1">
      <alignment horizontal="center"/>
    </xf>
    <xf numFmtId="0" fontId="23" fillId="0" borderId="0" xfId="2" applyFont="1" applyAlignment="1">
      <alignment horizontal="center"/>
    </xf>
    <xf numFmtId="0" fontId="23" fillId="10" borderId="5" xfId="2" applyFont="1" applyFill="1" applyBorder="1" applyAlignment="1">
      <alignment horizontal="center"/>
    </xf>
    <xf numFmtId="165" fontId="23" fillId="26" borderId="23" xfId="4" applyNumberFormat="1" applyFont="1" applyFill="1" applyBorder="1" applyAlignment="1">
      <alignment horizontal="center"/>
    </xf>
    <xf numFmtId="165" fontId="23" fillId="27" borderId="23" xfId="4" applyNumberFormat="1" applyFont="1" applyFill="1" applyBorder="1" applyAlignment="1">
      <alignment horizontal="center"/>
    </xf>
    <xf numFmtId="165" fontId="23" fillId="6" borderId="23" xfId="4" applyNumberFormat="1" applyFont="1" applyFill="1" applyBorder="1" applyAlignment="1">
      <alignment horizontal="center"/>
    </xf>
    <xf numFmtId="44" fontId="4" fillId="6" borderId="25" xfId="1" applyFont="1" applyFill="1" applyBorder="1" applyAlignment="1">
      <alignment horizontal="center"/>
    </xf>
    <xf numFmtId="0" fontId="0" fillId="0" borderId="0" xfId="0" applyAlignment="1">
      <alignment wrapText="1"/>
    </xf>
    <xf numFmtId="10" fontId="5" fillId="0" borderId="41" xfId="3" applyNumberFormat="1" applyFont="1" applyFill="1" applyBorder="1" applyAlignment="1">
      <alignment horizontal="center" vertical="center"/>
    </xf>
    <xf numFmtId="165" fontId="9" fillId="11" borderId="22" xfId="4" applyNumberFormat="1" applyFont="1" applyFill="1" applyBorder="1" applyAlignment="1">
      <alignment horizontal="center"/>
    </xf>
    <xf numFmtId="9" fontId="5" fillId="0" borderId="39" xfId="3" applyNumberFormat="1" applyFont="1" applyFill="1" applyBorder="1" applyAlignment="1">
      <alignment horizontal="center" vertical="center"/>
    </xf>
    <xf numFmtId="165" fontId="9" fillId="0" borderId="22" xfId="4" applyNumberFormat="1" applyFont="1" applyFill="1" applyBorder="1" applyAlignment="1">
      <alignment horizontal="center"/>
    </xf>
    <xf numFmtId="9" fontId="9" fillId="10" borderId="25" xfId="5" applyFont="1" applyFill="1" applyBorder="1" applyAlignment="1">
      <alignment horizontal="center" wrapText="1"/>
    </xf>
    <xf numFmtId="0" fontId="24" fillId="0" borderId="0" xfId="0" applyFont="1"/>
    <xf numFmtId="7" fontId="10" fillId="12" borderId="23" xfId="4" applyNumberFormat="1" applyFont="1" applyFill="1" applyBorder="1" applyAlignment="1">
      <alignment horizontal="center"/>
    </xf>
    <xf numFmtId="0" fontId="32" fillId="10" borderId="5" xfId="2" applyFont="1" applyFill="1" applyBorder="1"/>
    <xf numFmtId="44" fontId="7" fillId="29" borderId="76" xfId="0" applyNumberFormat="1" applyFont="1" applyFill="1" applyBorder="1"/>
    <xf numFmtId="44" fontId="7" fillId="29" borderId="76" xfId="1" applyFont="1" applyFill="1" applyBorder="1"/>
    <xf numFmtId="165" fontId="33" fillId="23" borderId="0" xfId="1" applyNumberFormat="1" applyFont="1" applyFill="1" applyAlignment="1">
      <alignment horizontal="center"/>
    </xf>
    <xf numFmtId="165" fontId="34" fillId="0" borderId="0" xfId="1" applyNumberFormat="1" applyFont="1" applyAlignment="1">
      <alignment horizontal="center"/>
    </xf>
    <xf numFmtId="165" fontId="33" fillId="5" borderId="0" xfId="1" applyNumberFormat="1" applyFont="1" applyFill="1" applyAlignment="1">
      <alignment horizontal="center"/>
    </xf>
    <xf numFmtId="165" fontId="34" fillId="0" borderId="0" xfId="0" applyNumberFormat="1" applyFont="1" applyAlignment="1">
      <alignment horizontal="center"/>
    </xf>
    <xf numFmtId="164" fontId="2" fillId="0" borderId="0" xfId="1" applyNumberFormat="1" applyFont="1"/>
    <xf numFmtId="0" fontId="5" fillId="24" borderId="9" xfId="2" applyFont="1" applyFill="1" applyBorder="1" applyAlignment="1">
      <alignment horizontal="center" vertical="center"/>
    </xf>
    <xf numFmtId="0" fontId="5" fillId="24" borderId="7" xfId="2" applyFont="1" applyFill="1" applyBorder="1" applyAlignment="1">
      <alignment horizontal="center" vertical="center"/>
    </xf>
    <xf numFmtId="0" fontId="5" fillId="24" borderId="8" xfId="2" applyFont="1" applyFill="1" applyBorder="1" applyAlignment="1">
      <alignment horizontal="center" vertical="center"/>
    </xf>
    <xf numFmtId="0" fontId="5" fillId="3" borderId="9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5" fillId="9" borderId="9" xfId="2" applyFont="1" applyFill="1" applyBorder="1" applyAlignment="1">
      <alignment horizontal="center" vertical="center"/>
    </xf>
    <xf numFmtId="0" fontId="5" fillId="9" borderId="7" xfId="2" applyFont="1" applyFill="1" applyBorder="1" applyAlignment="1">
      <alignment horizontal="center" vertical="center"/>
    </xf>
    <xf numFmtId="0" fontId="5" fillId="9" borderId="8" xfId="2" applyFont="1" applyFill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 wrapText="1"/>
    </xf>
    <xf numFmtId="0" fontId="2" fillId="19" borderId="7" xfId="0" applyFont="1" applyFill="1" applyBorder="1" applyAlignment="1">
      <alignment horizontal="center" vertical="center" wrapText="1"/>
    </xf>
    <xf numFmtId="0" fontId="2" fillId="19" borderId="8" xfId="0" applyFont="1" applyFill="1" applyBorder="1" applyAlignment="1">
      <alignment horizontal="center" vertical="center" wrapText="1"/>
    </xf>
    <xf numFmtId="0" fontId="5" fillId="20" borderId="9" xfId="2" applyFont="1" applyFill="1" applyBorder="1" applyAlignment="1">
      <alignment horizontal="center" vertical="center"/>
    </xf>
    <xf numFmtId="0" fontId="5" fillId="20" borderId="7" xfId="2" applyFont="1" applyFill="1" applyBorder="1" applyAlignment="1">
      <alignment horizontal="center" vertical="center"/>
    </xf>
    <xf numFmtId="0" fontId="5" fillId="20" borderId="8" xfId="2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5" fillId="4" borderId="9" xfId="2" applyFont="1" applyFill="1" applyBorder="1" applyAlignment="1">
      <alignment horizontal="center" vertical="center" wrapText="1"/>
    </xf>
    <xf numFmtId="0" fontId="5" fillId="4" borderId="7" xfId="2" applyFont="1" applyFill="1" applyBorder="1" applyAlignment="1">
      <alignment horizontal="center" vertical="center" wrapText="1"/>
    </xf>
    <xf numFmtId="0" fontId="2" fillId="19" borderId="6" xfId="0" applyFont="1" applyFill="1" applyBorder="1" applyAlignment="1">
      <alignment horizontal="center" vertical="center" wrapText="1"/>
    </xf>
    <xf numFmtId="0" fontId="5" fillId="3" borderId="9" xfId="2" applyNumberFormat="1" applyFont="1" applyFill="1" applyBorder="1" applyAlignment="1">
      <alignment horizontal="center" vertical="center" wrapText="1"/>
    </xf>
    <xf numFmtId="0" fontId="5" fillId="3" borderId="7" xfId="2" applyNumberFormat="1" applyFont="1" applyFill="1" applyBorder="1" applyAlignment="1">
      <alignment horizontal="center" vertical="center" wrapText="1"/>
    </xf>
    <xf numFmtId="0" fontId="6" fillId="21" borderId="35" xfId="2" applyFont="1" applyFill="1" applyBorder="1" applyAlignment="1">
      <alignment horizontal="center" vertical="center" wrapText="1"/>
    </xf>
    <xf numFmtId="0" fontId="6" fillId="21" borderId="0" xfId="2" applyFont="1" applyFill="1" applyBorder="1" applyAlignment="1">
      <alignment horizontal="center" vertical="center" wrapText="1"/>
    </xf>
    <xf numFmtId="165" fontId="2" fillId="8" borderId="9" xfId="0" applyNumberFormat="1" applyFont="1" applyFill="1" applyBorder="1" applyAlignment="1">
      <alignment horizontal="center" vertical="center" wrapText="1"/>
    </xf>
    <xf numFmtId="165" fontId="2" fillId="8" borderId="7" xfId="0" applyNumberFormat="1" applyFont="1" applyFill="1" applyBorder="1" applyAlignment="1">
      <alignment horizontal="center" vertical="center" wrapText="1"/>
    </xf>
    <xf numFmtId="165" fontId="2" fillId="22" borderId="9" xfId="0" applyNumberFormat="1" applyFont="1" applyFill="1" applyBorder="1" applyAlignment="1">
      <alignment horizontal="center" vertical="center" wrapText="1"/>
    </xf>
    <xf numFmtId="165" fontId="2" fillId="22" borderId="7" xfId="0" applyNumberFormat="1" applyFont="1" applyFill="1" applyBorder="1" applyAlignment="1">
      <alignment horizontal="center" vertical="center" wrapText="1"/>
    </xf>
    <xf numFmtId="165" fontId="5" fillId="10" borderId="9" xfId="2" applyNumberFormat="1" applyFont="1" applyFill="1" applyBorder="1" applyAlignment="1">
      <alignment horizontal="center" vertical="center"/>
    </xf>
    <xf numFmtId="165" fontId="5" fillId="10" borderId="7" xfId="2" applyNumberFormat="1" applyFont="1" applyFill="1" applyBorder="1" applyAlignment="1">
      <alignment horizontal="center" vertical="center"/>
    </xf>
    <xf numFmtId="165" fontId="5" fillId="23" borderId="9" xfId="2" applyNumberFormat="1" applyFont="1" applyFill="1" applyBorder="1" applyAlignment="1">
      <alignment horizontal="center" vertical="center"/>
    </xf>
    <xf numFmtId="165" fontId="5" fillId="23" borderId="7" xfId="2" applyNumberFormat="1" applyFont="1" applyFill="1" applyBorder="1" applyAlignment="1">
      <alignment horizontal="center" vertical="center"/>
    </xf>
    <xf numFmtId="165" fontId="5" fillId="24" borderId="9" xfId="2" applyNumberFormat="1" applyFont="1" applyFill="1" applyBorder="1" applyAlignment="1">
      <alignment horizontal="center" vertical="center"/>
    </xf>
    <xf numFmtId="165" fontId="5" fillId="24" borderId="7" xfId="2" applyNumberFormat="1" applyFont="1" applyFill="1" applyBorder="1" applyAlignment="1">
      <alignment horizontal="center" vertical="center"/>
    </xf>
    <xf numFmtId="165" fontId="5" fillId="22" borderId="9" xfId="2" applyNumberFormat="1" applyFont="1" applyFill="1" applyBorder="1" applyAlignment="1">
      <alignment horizontal="center"/>
    </xf>
    <xf numFmtId="165" fontId="5" fillId="22" borderId="7" xfId="2" applyNumberFormat="1" applyFont="1" applyFill="1" applyBorder="1" applyAlignment="1">
      <alignment horizontal="center"/>
    </xf>
    <xf numFmtId="0" fontId="7" fillId="5" borderId="0" xfId="2" applyFont="1" applyFill="1" applyAlignment="1">
      <alignment horizontal="center" vertical="center" wrapText="1"/>
    </xf>
    <xf numFmtId="0" fontId="7" fillId="5" borderId="59" xfId="2" applyFont="1" applyFill="1" applyBorder="1" applyAlignment="1">
      <alignment horizontal="center" vertical="center" wrapText="1"/>
    </xf>
    <xf numFmtId="165" fontId="5" fillId="14" borderId="9" xfId="2" applyNumberFormat="1" applyFont="1" applyFill="1" applyBorder="1" applyAlignment="1">
      <alignment horizontal="center"/>
    </xf>
    <xf numFmtId="165" fontId="5" fillId="14" borderId="7" xfId="2" applyNumberFormat="1" applyFont="1" applyFill="1" applyBorder="1" applyAlignment="1">
      <alignment horizontal="center"/>
    </xf>
    <xf numFmtId="165" fontId="5" fillId="10" borderId="9" xfId="2" applyNumberFormat="1" applyFont="1" applyFill="1" applyBorder="1" applyAlignment="1">
      <alignment horizontal="center"/>
    </xf>
    <xf numFmtId="165" fontId="5" fillId="10" borderId="7" xfId="2" applyNumberFormat="1" applyFont="1" applyFill="1" applyBorder="1" applyAlignment="1">
      <alignment horizontal="center"/>
    </xf>
    <xf numFmtId="0" fontId="5" fillId="23" borderId="9" xfId="2" applyFont="1" applyFill="1" applyBorder="1" applyAlignment="1">
      <alignment horizontal="center" vertical="center"/>
    </xf>
    <xf numFmtId="0" fontId="5" fillId="23" borderId="7" xfId="2" applyFont="1" applyFill="1" applyBorder="1" applyAlignment="1">
      <alignment horizontal="center" vertical="center"/>
    </xf>
    <xf numFmtId="0" fontId="5" fillId="23" borderId="8" xfId="2" applyFont="1" applyFill="1" applyBorder="1" applyAlignment="1">
      <alignment horizontal="center" vertical="center"/>
    </xf>
    <xf numFmtId="0" fontId="5" fillId="5" borderId="9" xfId="2" applyFont="1" applyFill="1" applyBorder="1" applyAlignment="1">
      <alignment horizontal="center" vertical="center" wrapText="1"/>
    </xf>
    <xf numFmtId="0" fontId="5" fillId="5" borderId="7" xfId="2" applyFont="1" applyFill="1" applyBorder="1" applyAlignment="1">
      <alignment horizontal="center" vertical="center" wrapText="1"/>
    </xf>
    <xf numFmtId="0" fontId="2" fillId="22" borderId="9" xfId="0" applyFont="1" applyFill="1" applyBorder="1" applyAlignment="1">
      <alignment horizontal="center" vertical="center" wrapText="1"/>
    </xf>
    <xf numFmtId="0" fontId="2" fillId="22" borderId="7" xfId="0" applyFont="1" applyFill="1" applyBorder="1" applyAlignment="1">
      <alignment horizontal="center" vertical="center" wrapText="1"/>
    </xf>
    <xf numFmtId="0" fontId="2" fillId="22" borderId="8" xfId="0" applyFont="1" applyFill="1" applyBorder="1" applyAlignment="1">
      <alignment horizontal="center" vertical="center" wrapText="1"/>
    </xf>
    <xf numFmtId="0" fontId="5" fillId="22" borderId="9" xfId="2" applyFont="1" applyFill="1" applyBorder="1" applyAlignment="1">
      <alignment horizontal="center"/>
    </xf>
    <xf numFmtId="0" fontId="5" fillId="22" borderId="7" xfId="2" applyFont="1" applyFill="1" applyBorder="1" applyAlignment="1">
      <alignment horizontal="center"/>
    </xf>
    <xf numFmtId="0" fontId="5" fillId="22" borderId="8" xfId="2" applyFont="1" applyFill="1" applyBorder="1" applyAlignment="1">
      <alignment horizontal="center"/>
    </xf>
    <xf numFmtId="0" fontId="5" fillId="14" borderId="9" xfId="2" applyFont="1" applyFill="1" applyBorder="1" applyAlignment="1">
      <alignment horizontal="center"/>
    </xf>
    <xf numFmtId="0" fontId="5" fillId="14" borderId="7" xfId="2" applyFont="1" applyFill="1" applyBorder="1" applyAlignment="1">
      <alignment horizontal="center"/>
    </xf>
    <xf numFmtId="0" fontId="5" fillId="14" borderId="8" xfId="2" applyFont="1" applyFill="1" applyBorder="1" applyAlignment="1">
      <alignment horizontal="center"/>
    </xf>
    <xf numFmtId="0" fontId="5" fillId="23" borderId="9" xfId="2" applyFont="1" applyFill="1" applyBorder="1" applyAlignment="1">
      <alignment horizontal="center"/>
    </xf>
    <xf numFmtId="0" fontId="5" fillId="23" borderId="7" xfId="2" applyFont="1" applyFill="1" applyBorder="1" applyAlignment="1">
      <alignment horizontal="center"/>
    </xf>
    <xf numFmtId="0" fontId="5" fillId="23" borderId="8" xfId="2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 vertical="center" wrapText="1"/>
    </xf>
    <xf numFmtId="0" fontId="2" fillId="23" borderId="2" xfId="0" applyFont="1" applyFill="1" applyBorder="1" applyAlignment="1">
      <alignment horizontal="center" vertical="center" wrapText="1"/>
    </xf>
    <xf numFmtId="0" fontId="2" fillId="23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2" fillId="5" borderId="3" xfId="0" applyFont="1" applyFill="1" applyBorder="1" applyAlignment="1">
      <alignment horizontal="center" wrapText="1"/>
    </xf>
    <xf numFmtId="0" fontId="2" fillId="18" borderId="1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 wrapText="1"/>
    </xf>
    <xf numFmtId="0" fontId="2" fillId="18" borderId="3" xfId="0" applyFont="1" applyFill="1" applyBorder="1" applyAlignment="1">
      <alignment horizontal="center" vertical="center" wrapText="1"/>
    </xf>
    <xf numFmtId="0" fontId="5" fillId="10" borderId="5" xfId="2" applyFont="1" applyFill="1" applyBorder="1"/>
    <xf numFmtId="9" fontId="5" fillId="13" borderId="20" xfId="3" applyFont="1" applyFill="1" applyBorder="1" applyAlignment="1">
      <alignment horizontal="center"/>
    </xf>
    <xf numFmtId="165" fontId="6" fillId="19" borderId="21" xfId="4" applyNumberFormat="1" applyFont="1" applyFill="1" applyBorder="1" applyAlignment="1">
      <alignment horizontal="center"/>
    </xf>
    <xf numFmtId="9" fontId="6" fillId="19" borderId="20" xfId="5" applyFont="1" applyFill="1" applyBorder="1" applyAlignment="1">
      <alignment horizontal="center"/>
    </xf>
    <xf numFmtId="165" fontId="6" fillId="13" borderId="33" xfId="4" applyNumberFormat="1" applyFont="1" applyFill="1" applyBorder="1" applyAlignment="1">
      <alignment horizontal="center"/>
    </xf>
    <xf numFmtId="9" fontId="6" fillId="13" borderId="51" xfId="5" applyFont="1" applyFill="1" applyBorder="1" applyAlignment="1">
      <alignment horizontal="center"/>
    </xf>
    <xf numFmtId="9" fontId="6" fillId="13" borderId="20" xfId="5" applyFont="1" applyFill="1" applyBorder="1" applyAlignment="1">
      <alignment horizontal="center"/>
    </xf>
    <xf numFmtId="165" fontId="6" fillId="19" borderId="33" xfId="4" applyNumberFormat="1" applyFont="1" applyFill="1" applyBorder="1" applyAlignment="1">
      <alignment horizontal="center"/>
    </xf>
    <xf numFmtId="9" fontId="6" fillId="19" borderId="51" xfId="5" applyFont="1" applyFill="1" applyBorder="1" applyAlignment="1">
      <alignment horizontal="center"/>
    </xf>
    <xf numFmtId="165" fontId="6" fillId="10" borderId="34" xfId="4" applyNumberFormat="1" applyFont="1" applyFill="1" applyBorder="1" applyAlignment="1">
      <alignment horizontal="center"/>
    </xf>
    <xf numFmtId="165" fontId="6" fillId="10" borderId="46" xfId="4" applyNumberFormat="1" applyFont="1" applyFill="1" applyBorder="1" applyAlignment="1">
      <alignment horizontal="center"/>
    </xf>
    <xf numFmtId="9" fontId="6" fillId="10" borderId="50" xfId="5" applyFont="1" applyFill="1" applyBorder="1" applyAlignment="1">
      <alignment horizontal="center"/>
    </xf>
    <xf numFmtId="165" fontId="6" fillId="6" borderId="25" xfId="4" applyNumberFormat="1" applyFont="1" applyFill="1" applyBorder="1" applyAlignment="1">
      <alignment horizontal="center"/>
    </xf>
    <xf numFmtId="9" fontId="6" fillId="10" borderId="20" xfId="5" applyFont="1" applyFill="1" applyBorder="1" applyAlignment="1">
      <alignment horizontal="center"/>
    </xf>
    <xf numFmtId="165" fontId="6" fillId="10" borderId="33" xfId="4" applyNumberFormat="1" applyFont="1" applyFill="1" applyBorder="1" applyAlignment="1">
      <alignment horizontal="center"/>
    </xf>
    <xf numFmtId="165" fontId="6" fillId="10" borderId="0" xfId="4" applyNumberFormat="1" applyFont="1" applyFill="1" applyBorder="1" applyAlignment="1">
      <alignment horizontal="center"/>
    </xf>
    <xf numFmtId="165" fontId="6" fillId="14" borderId="34" xfId="4" applyNumberFormat="1" applyFont="1" applyFill="1" applyBorder="1" applyAlignment="1">
      <alignment horizontal="center"/>
    </xf>
    <xf numFmtId="165" fontId="6" fillId="14" borderId="0" xfId="4" applyNumberFormat="1" applyFont="1" applyFill="1" applyBorder="1" applyAlignment="1">
      <alignment horizontal="center"/>
    </xf>
    <xf numFmtId="0" fontId="5" fillId="10" borderId="30" xfId="2" applyFont="1" applyFill="1" applyBorder="1" applyAlignment="1">
      <alignment wrapText="1"/>
    </xf>
    <xf numFmtId="0" fontId="5" fillId="10" borderId="5" xfId="2" applyFont="1" applyFill="1" applyBorder="1" applyAlignment="1">
      <alignment wrapText="1"/>
    </xf>
    <xf numFmtId="165" fontId="6" fillId="7" borderId="18" xfId="4" applyNumberFormat="1" applyFont="1" applyFill="1" applyBorder="1" applyAlignment="1">
      <alignment horizontal="center"/>
    </xf>
    <xf numFmtId="9" fontId="6" fillId="7" borderId="20" xfId="5" applyFont="1" applyFill="1" applyBorder="1" applyAlignment="1">
      <alignment horizontal="center"/>
    </xf>
    <xf numFmtId="165" fontId="6" fillId="12" borderId="18" xfId="4" applyNumberFormat="1" applyFont="1" applyFill="1" applyBorder="1" applyAlignment="1">
      <alignment horizontal="center"/>
    </xf>
    <xf numFmtId="165" fontId="6" fillId="10" borderId="24" xfId="4" applyNumberFormat="1" applyFont="1" applyFill="1" applyBorder="1" applyAlignment="1">
      <alignment horizontal="center"/>
    </xf>
    <xf numFmtId="9" fontId="6" fillId="15" borderId="43" xfId="5" applyFont="1" applyFill="1" applyBorder="1" applyAlignment="1">
      <alignment horizontal="center"/>
    </xf>
    <xf numFmtId="165" fontId="6" fillId="10" borderId="18" xfId="4" applyNumberFormat="1" applyFont="1" applyFill="1" applyBorder="1" applyAlignment="1">
      <alignment horizontal="center"/>
    </xf>
    <xf numFmtId="165" fontId="6" fillId="10" borderId="22" xfId="4" applyNumberFormat="1" applyFont="1" applyFill="1" applyBorder="1" applyAlignment="1">
      <alignment horizontal="center"/>
    </xf>
    <xf numFmtId="9" fontId="6" fillId="14" borderId="20" xfId="5" applyFont="1" applyFill="1" applyBorder="1" applyAlignment="1">
      <alignment horizontal="center"/>
    </xf>
    <xf numFmtId="165" fontId="6" fillId="14" borderId="28" xfId="4" applyNumberFormat="1" applyFont="1" applyFill="1" applyBorder="1" applyAlignment="1">
      <alignment horizontal="center"/>
    </xf>
    <xf numFmtId="165" fontId="6" fillId="14" borderId="19" xfId="4" applyNumberFormat="1" applyFont="1" applyFill="1" applyBorder="1" applyAlignment="1">
      <alignment horizontal="center"/>
    </xf>
    <xf numFmtId="165" fontId="6" fillId="7" borderId="25" xfId="4" applyNumberFormat="1" applyFont="1" applyFill="1" applyBorder="1" applyAlignment="1">
      <alignment horizontal="center"/>
    </xf>
    <xf numFmtId="165" fontId="6" fillId="12" borderId="25" xfId="4" applyNumberFormat="1" applyFont="1" applyFill="1" applyBorder="1" applyAlignment="1">
      <alignment horizontal="center"/>
    </xf>
    <xf numFmtId="165" fontId="6" fillId="7" borderId="23" xfId="4" applyNumberFormat="1" applyFont="1" applyFill="1" applyBorder="1" applyAlignment="1">
      <alignment horizontal="center"/>
    </xf>
    <xf numFmtId="165" fontId="6" fillId="12" borderId="49" xfId="4" applyNumberFormat="1" applyFont="1" applyFill="1" applyBorder="1" applyAlignment="1">
      <alignment horizontal="center"/>
    </xf>
    <xf numFmtId="9" fontId="6" fillId="12" borderId="48" xfId="5" applyFont="1" applyFill="1" applyBorder="1" applyAlignment="1">
      <alignment horizontal="center"/>
    </xf>
    <xf numFmtId="9" fontId="6" fillId="13" borderId="32" xfId="5" applyFont="1" applyFill="1" applyBorder="1" applyAlignment="1">
      <alignment horizontal="center"/>
    </xf>
    <xf numFmtId="165" fontId="6" fillId="7" borderId="49" xfId="4" applyNumberFormat="1" applyFont="1" applyFill="1" applyBorder="1" applyAlignment="1">
      <alignment horizontal="center"/>
    </xf>
    <xf numFmtId="9" fontId="6" fillId="7" borderId="48" xfId="5" applyFont="1" applyFill="1" applyBorder="1" applyAlignment="1">
      <alignment horizontal="center"/>
    </xf>
    <xf numFmtId="9" fontId="6" fillId="7" borderId="32" xfId="5" applyFont="1" applyFill="1" applyBorder="1" applyAlignment="1">
      <alignment horizontal="center"/>
    </xf>
    <xf numFmtId="9" fontId="6" fillId="10" borderId="32" xfId="5" applyFont="1" applyFill="1" applyBorder="1" applyAlignment="1">
      <alignment horizontal="center"/>
    </xf>
    <xf numFmtId="165" fontId="6" fillId="6" borderId="46" xfId="3" applyNumberFormat="1" applyFont="1" applyFill="1" applyBorder="1" applyAlignment="1">
      <alignment horizontal="center"/>
    </xf>
    <xf numFmtId="165" fontId="6" fillId="10" borderId="49" xfId="4" applyNumberFormat="1" applyFont="1" applyFill="1" applyBorder="1" applyAlignment="1">
      <alignment horizontal="center"/>
    </xf>
    <xf numFmtId="165" fontId="6" fillId="6" borderId="50" xfId="3" applyNumberFormat="1" applyFont="1" applyFill="1" applyBorder="1" applyAlignment="1">
      <alignment horizontal="center"/>
    </xf>
    <xf numFmtId="165" fontId="6" fillId="6" borderId="21" xfId="4" applyNumberFormat="1" applyFont="1" applyFill="1" applyBorder="1" applyAlignment="1">
      <alignment horizontal="center"/>
    </xf>
    <xf numFmtId="165" fontId="6" fillId="14" borderId="25" xfId="4" applyNumberFormat="1" applyFont="1" applyFill="1" applyBorder="1" applyAlignment="1">
      <alignment horizontal="center"/>
    </xf>
    <xf numFmtId="165" fontId="6" fillId="14" borderId="47" xfId="4" applyNumberFormat="1" applyFont="1" applyFill="1" applyBorder="1" applyAlignment="1">
      <alignment horizontal="center"/>
    </xf>
    <xf numFmtId="9" fontId="6" fillId="14" borderId="32" xfId="5" applyFont="1" applyFill="1" applyBorder="1" applyAlignment="1">
      <alignment horizontal="center"/>
    </xf>
    <xf numFmtId="0" fontId="0" fillId="0" borderId="0" xfId="0" applyAlignment="1">
      <alignment vertical="center" wrapText="1"/>
    </xf>
    <xf numFmtId="165" fontId="8" fillId="6" borderId="31" xfId="4" applyNumberFormat="1" applyFont="1" applyFill="1" applyBorder="1" applyAlignment="1">
      <alignment horizontal="center"/>
    </xf>
    <xf numFmtId="165" fontId="8" fillId="6" borderId="21" xfId="3" applyNumberFormat="1" applyFont="1" applyFill="1" applyBorder="1" applyAlignment="1">
      <alignment horizontal="center"/>
    </xf>
    <xf numFmtId="165" fontId="8" fillId="6" borderId="24" xfId="4" applyNumberFormat="1" applyFont="1" applyFill="1" applyBorder="1" applyAlignment="1">
      <alignment horizontal="center"/>
    </xf>
    <xf numFmtId="165" fontId="7" fillId="10" borderId="30" xfId="4" applyNumberFormat="1" applyFont="1" applyFill="1" applyBorder="1"/>
  </cellXfs>
  <cellStyles count="7">
    <cellStyle name="Comma 2" xfId="6" xr:uid="{A79DAA84-1574-48D4-B40A-88501041983F}"/>
    <cellStyle name="Currency" xfId="1" builtinId="4"/>
    <cellStyle name="Currency 2" xfId="4" xr:uid="{6F44A37E-5BC9-4F6F-B4A5-E87B654D3FF5}"/>
    <cellStyle name="Normal" xfId="0" builtinId="0"/>
    <cellStyle name="Normal 2" xfId="2" xr:uid="{5BDADFC8-9BAC-46BC-9DD7-F43082A54850}"/>
    <cellStyle name="Percent" xfId="5" builtinId="5"/>
    <cellStyle name="Percent 2" xfId="3" xr:uid="{EDDE0683-3F36-498C-B720-3E03420138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23813</xdr:rowOff>
        </xdr:from>
        <xdr:to>
          <xdr:col>0</xdr:col>
          <xdr:colOff>2490788</xdr:colOff>
          <xdr:row>0</xdr:row>
          <xdr:rowOff>342900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mbria"/>
                  <a:ea typeface="Cambria"/>
                </a:rPr>
                <a:t>Update Revenue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ding@zypmedia.com" id="{8E246F15-97E9-4FAA-8469-BEF11FC711CC}" userId="0deb3712586f8ce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7" dT="2021-01-13T19:00:09.97" personId="{8E246F15-97E9-4FAA-8469-BEF11FC711CC}" id="{90C7DFB4-E9F0-450F-994A-5BD219EB1B87}">
    <text>AKA New Partners</text>
  </threadedComment>
  <threadedComment ref="A28" dT="2021-01-13T19:05:27.34" personId="{8E246F15-97E9-4FAA-8469-BEF11FC711CC}" id="{CB60651F-CA56-4671-85C2-386682113D72}">
    <text>Compulse DSP Fees/ (Datasphere)</text>
  </threadedComment>
  <threadedComment ref="A29" dT="2021-01-13T19:02:27.80" personId="{8E246F15-97E9-4FAA-8469-BEF11FC711CC}" id="{F859A275-DEE0-472E-83CE-DC761AFF87BA}">
    <text>Direct_Legacy Rev- minus Media &amp; Data</text>
  </threadedComment>
  <threadedComment ref="A52" dT="2021-01-13T19:00:09.97" personId="{8E246F15-97E9-4FAA-8469-BEF11FC711CC}" id="{50EB6A97-B681-4CAD-955A-8056F3F88609}">
    <text>AKA New Partners</text>
  </threadedComment>
  <threadedComment ref="A53" dT="2021-01-13T19:02:27.80" personId="{8E246F15-97E9-4FAA-8469-BEF11FC711CC}" id="{3A632358-8225-42B3-BE0E-B22E311C6902}">
    <text>Direct_Legacy Rev- minus Media &amp; Data</text>
  </threadedComment>
  <threadedComment ref="A75" dT="2021-01-13T19:00:09.97" personId="{8E246F15-97E9-4FAA-8469-BEF11FC711CC}" id="{58BCC9F4-23AD-42F7-AAE8-9C752330CFDE}">
    <text>AKA New Partners</text>
  </threadedComment>
  <threadedComment ref="A76" dT="2021-01-13T19:02:27.80" personId="{8E246F15-97E9-4FAA-8469-BEF11FC711CC}" id="{BBCC4958-F3DA-4442-9DB3-2D49B8B34C58}">
    <text>Direct_Legacy_Retail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4" dT="2021-01-16T01:49:31.23" personId="{8E246F15-97E9-4FAA-8469-BEF11FC711CC}" id="{0054A31A-2AB2-441D-9AAD-9C8F7082B169}">
    <text>Yolo 20'-21 annual, ends June</text>
  </threadedComment>
  <threadedComment ref="B33" dT="2021-01-16T01:50:03.25" personId="{8E246F15-97E9-4FAA-8469-BEF11FC711CC}" id="{FD6753E9-051E-4756-9B5F-B8D5667F8B0F}">
    <text>Miller (Shop your City)- May flip to SaaS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21-01-25T19:00:40.79" personId="{8E246F15-97E9-4FAA-8469-BEF11FC711CC}" id="{0CA430E6-C69F-4DA6-84CC-561C8D38C891}">
    <text>(Formerly Tal's)</text>
  </threadedComment>
  <threadedComment ref="B5" dT="2021-03-31T16:29:52.62" personId="{8E246F15-97E9-4FAA-8469-BEF11FC711CC}" id="{A4ADA42E-4725-4F2C-A289-93ADEC70F33F}">
    <text>Cap $1000</text>
  </threadedComment>
  <threadedComment ref="B46" dT="2021-03-31T16:30:06.25" personId="{8E246F15-97E9-4FAA-8469-BEF11FC711CC}" id="{85D1B9B7-9444-4534-8D6D-34D206673694}">
    <text>CPM Based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3" dT="2021-01-25T19:00:59.07" personId="{8E246F15-97E9-4FAA-8469-BEF11FC711CC}" id="{AFF4C327-0BF7-477E-A4FB-02AE8A2E4742}">
    <text>(Formerly Tal's)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" dT="2021-01-25T19:01:14.98" personId="{8E246F15-97E9-4FAA-8469-BEF11FC711CC}" id="{6261A23F-CD1B-456B-844A-C90C3F29F7C7}">
    <text>(Formerly Tal's)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28" dT="2021-01-16T01:49:31.23" personId="{8E246F15-97E9-4FAA-8469-BEF11FC711CC}" id="{0054A31A-2AB2-441E-9AAD-9C8F7082B169}">
    <text>Yolo 20'-21 annual, ends June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21646-B78F-401A-AF0E-8996D2534B80}">
  <sheetPr codeName="Sheet2">
    <tabColor theme="9"/>
  </sheetPr>
  <dimension ref="A1:CJ138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4" sqref="F14"/>
    </sheetView>
  </sheetViews>
  <sheetFormatPr defaultColWidth="8.796875" defaultRowHeight="14.25"/>
  <cols>
    <col min="1" max="1" width="36" bestFit="1" customWidth="1"/>
    <col min="2" max="2" width="12.33203125" style="74" bestFit="1" customWidth="1"/>
    <col min="3" max="3" width="17.33203125" style="20" customWidth="1"/>
    <col min="4" max="4" width="12.796875" style="20" customWidth="1"/>
    <col min="5" max="5" width="9.59765625" style="128" customWidth="1"/>
    <col min="6" max="6" width="13.59765625" style="20" customWidth="1"/>
    <col min="7" max="7" width="16.59765625" style="128" customWidth="1"/>
    <col min="8" max="8" width="14.59765625" style="20" customWidth="1"/>
    <col min="9" max="9" width="12.796875" style="20" customWidth="1"/>
    <col min="10" max="10" width="9.59765625" style="128" customWidth="1"/>
    <col min="11" max="11" width="14.46484375" style="20" customWidth="1"/>
    <col min="12" max="12" width="16.59765625" style="128" customWidth="1"/>
    <col min="13" max="13" width="14.46484375" style="20" customWidth="1"/>
    <col min="14" max="14" width="12.59765625" style="20" customWidth="1"/>
    <col min="15" max="15" width="9.59765625" style="128" customWidth="1"/>
    <col min="16" max="16" width="15.33203125" style="20" customWidth="1"/>
    <col min="17" max="17" width="16.59765625" style="128" customWidth="1"/>
    <col min="18" max="18" width="14.46484375" style="20" customWidth="1"/>
    <col min="19" max="19" width="13.59765625" style="20" customWidth="1"/>
    <col min="20" max="20" width="9.59765625" style="128" customWidth="1"/>
    <col min="21" max="21" width="13.59765625" style="20" customWidth="1"/>
    <col min="22" max="22" width="16.59765625" style="128" customWidth="1"/>
    <col min="23" max="23" width="14.796875" style="20" customWidth="1"/>
    <col min="24" max="24" width="12.59765625" style="20" customWidth="1"/>
    <col min="25" max="25" width="9.59765625" style="128" customWidth="1"/>
    <col min="26" max="26" width="13.59765625" style="20" customWidth="1"/>
    <col min="27" max="27" width="16.59765625" style="128" customWidth="1"/>
    <col min="28" max="28" width="12.46484375" style="20" customWidth="1"/>
    <col min="29" max="29" width="13.796875" style="20" customWidth="1"/>
    <col min="30" max="30" width="9.59765625" style="128" customWidth="1"/>
    <col min="31" max="31" width="16.59765625" style="20" customWidth="1"/>
    <col min="32" max="32" width="16.59765625" style="128" customWidth="1"/>
    <col min="33" max="33" width="16.46484375" style="20" customWidth="1"/>
    <col min="34" max="34" width="14.19921875" style="20" customWidth="1"/>
    <col min="35" max="35" width="9.59765625" style="128" customWidth="1"/>
    <col min="36" max="36" width="14.59765625" style="20" customWidth="1"/>
    <col min="37" max="37" width="16.59765625" style="128" customWidth="1"/>
    <col min="38" max="38" width="14.33203125" style="20" customWidth="1"/>
    <col min="39" max="39" width="15.33203125" style="20" customWidth="1"/>
    <col min="40" max="40" width="10.46484375" style="128" customWidth="1"/>
    <col min="41" max="41" width="13.59765625" style="20" bestFit="1" customWidth="1"/>
    <col min="42" max="42" width="16.46484375" style="128" bestFit="1" customWidth="1"/>
    <col min="43" max="43" width="16.46484375" style="20" bestFit="1" customWidth="1"/>
    <col min="44" max="44" width="14" style="20" bestFit="1" customWidth="1"/>
    <col min="45" max="45" width="9.46484375" style="128" bestFit="1" customWidth="1"/>
    <col min="46" max="46" width="13.46484375" style="20" bestFit="1" customWidth="1"/>
    <col min="47" max="47" width="16.46484375" style="128" bestFit="1" customWidth="1"/>
    <col min="48" max="48" width="16.46484375" style="20" bestFit="1" customWidth="1"/>
    <col min="49" max="49" width="13.59765625" style="20" bestFit="1" customWidth="1"/>
    <col min="50" max="50" width="9.46484375" style="128" bestFit="1" customWidth="1"/>
    <col min="51" max="51" width="13.46484375" style="20" bestFit="1" customWidth="1"/>
    <col min="52" max="52" width="16.46484375" style="128" bestFit="1" customWidth="1"/>
    <col min="53" max="53" width="16.19921875" style="20" bestFit="1" customWidth="1"/>
    <col min="54" max="54" width="12.46484375" style="20" bestFit="1" customWidth="1"/>
    <col min="55" max="55" width="9.46484375" style="128" bestFit="1" customWidth="1"/>
    <col min="56" max="56" width="13.796875" style="20" bestFit="1" customWidth="1"/>
    <col min="57" max="57" width="16.46484375" style="128" bestFit="1" customWidth="1"/>
    <col min="58" max="58" width="14.33203125" style="20" bestFit="1" customWidth="1"/>
    <col min="59" max="59" width="13.46484375" style="20" bestFit="1" customWidth="1"/>
    <col min="60" max="60" width="9.46484375" style="128" bestFit="1" customWidth="1"/>
    <col min="61" max="61" width="13.796875" style="20" bestFit="1" customWidth="1"/>
    <col min="62" max="62" width="16.46484375" style="128" bestFit="1" customWidth="1"/>
    <col min="63" max="63" width="16.33203125" style="20" bestFit="1" customWidth="1"/>
    <col min="64" max="64" width="12.46484375" style="20" bestFit="1" customWidth="1"/>
    <col min="65" max="65" width="9.46484375" style="128" bestFit="1" customWidth="1"/>
    <col min="66" max="66" width="14.33203125" style="20" bestFit="1" customWidth="1"/>
    <col min="67" max="67" width="16.46484375" style="128" bestFit="1" customWidth="1"/>
    <col min="68" max="68" width="17" style="20" bestFit="1" customWidth="1"/>
    <col min="69" max="69" width="12.46484375" style="20" bestFit="1" customWidth="1"/>
    <col min="70" max="70" width="9.46484375" style="128" bestFit="1" customWidth="1"/>
    <col min="71" max="71" width="13.796875" style="20" bestFit="1" customWidth="1"/>
    <col min="72" max="72" width="16.46484375" style="128" bestFit="1" customWidth="1"/>
    <col min="73" max="73" width="16.46484375" style="20" bestFit="1" customWidth="1"/>
    <col min="74" max="74" width="12.46484375" style="20" bestFit="1" customWidth="1"/>
    <col min="75" max="75" width="9.46484375" style="128" bestFit="1" customWidth="1"/>
    <col min="76" max="76" width="14.796875" style="20" bestFit="1" customWidth="1"/>
    <col min="77" max="77" width="16.46484375" style="128" bestFit="1" customWidth="1"/>
    <col min="78" max="78" width="14.33203125" style="20" bestFit="1" customWidth="1"/>
    <col min="79" max="79" width="13.46484375" style="20" bestFit="1" customWidth="1"/>
    <col min="80" max="80" width="9.33203125" style="128" bestFit="1" customWidth="1"/>
    <col min="81" max="81" width="13.796875" style="20" bestFit="1" customWidth="1"/>
    <col min="82" max="82" width="16.46484375" style="128" bestFit="1" customWidth="1"/>
    <col min="83" max="83" width="15.33203125" style="20" bestFit="1" customWidth="1"/>
    <col min="84" max="84" width="13.46484375" style="20" bestFit="1" customWidth="1"/>
    <col min="85" max="85" width="9.46484375" style="128" bestFit="1" customWidth="1"/>
    <col min="86" max="86" width="14.19921875" style="20" bestFit="1" customWidth="1"/>
    <col min="87" max="87" width="16.46484375" style="128" bestFit="1" customWidth="1"/>
  </cols>
  <sheetData>
    <row r="1" spans="1:88" s="7" customFormat="1" ht="29.25" customHeight="1" thickBot="1">
      <c r="A1" s="8" t="s">
        <v>78</v>
      </c>
      <c r="B1" s="281" t="s">
        <v>118</v>
      </c>
      <c r="C1" s="510" t="s">
        <v>16</v>
      </c>
      <c r="D1" s="496"/>
      <c r="E1" s="496"/>
      <c r="F1" s="496"/>
      <c r="G1" s="497"/>
      <c r="H1" s="498" t="s">
        <v>22</v>
      </c>
      <c r="I1" s="499"/>
      <c r="J1" s="499"/>
      <c r="K1" s="499"/>
      <c r="L1" s="511"/>
      <c r="M1" s="510" t="s">
        <v>23</v>
      </c>
      <c r="N1" s="496"/>
      <c r="O1" s="496"/>
      <c r="P1" s="496"/>
      <c r="Q1" s="497"/>
      <c r="R1" s="501" t="s">
        <v>24</v>
      </c>
      <c r="S1" s="502"/>
      <c r="T1" s="502"/>
      <c r="U1" s="502"/>
      <c r="V1" s="503"/>
      <c r="W1" s="495" t="s">
        <v>10</v>
      </c>
      <c r="X1" s="496"/>
      <c r="Y1" s="496"/>
      <c r="Z1" s="496"/>
      <c r="AA1" s="497"/>
      <c r="AB1" s="498" t="s">
        <v>9</v>
      </c>
      <c r="AC1" s="499"/>
      <c r="AD1" s="499"/>
      <c r="AE1" s="499"/>
      <c r="AF1" s="500"/>
      <c r="AG1" s="495" t="s">
        <v>15</v>
      </c>
      <c r="AH1" s="496"/>
      <c r="AI1" s="496"/>
      <c r="AJ1" s="496"/>
      <c r="AK1" s="497"/>
      <c r="AL1" s="501" t="s">
        <v>25</v>
      </c>
      <c r="AM1" s="502"/>
      <c r="AN1" s="502"/>
      <c r="AO1" s="502"/>
      <c r="AP1" s="503"/>
      <c r="AQ1" s="495" t="s">
        <v>8</v>
      </c>
      <c r="AR1" s="496"/>
      <c r="AS1" s="496"/>
      <c r="AT1" s="496"/>
      <c r="AU1" s="497"/>
      <c r="AV1" s="498" t="s">
        <v>12</v>
      </c>
      <c r="AW1" s="499"/>
      <c r="AX1" s="499"/>
      <c r="AY1" s="499"/>
      <c r="AZ1" s="500"/>
      <c r="BA1" s="495" t="s">
        <v>14</v>
      </c>
      <c r="BB1" s="496"/>
      <c r="BC1" s="496"/>
      <c r="BD1" s="496"/>
      <c r="BE1" s="497"/>
      <c r="BF1" s="501" t="s">
        <v>26</v>
      </c>
      <c r="BG1" s="502"/>
      <c r="BH1" s="502"/>
      <c r="BI1" s="502"/>
      <c r="BJ1" s="503"/>
      <c r="BK1" s="495" t="s">
        <v>27</v>
      </c>
      <c r="BL1" s="496"/>
      <c r="BM1" s="496"/>
      <c r="BN1" s="496"/>
      <c r="BO1" s="497"/>
      <c r="BP1" s="498" t="s">
        <v>17</v>
      </c>
      <c r="BQ1" s="499"/>
      <c r="BR1" s="499"/>
      <c r="BS1" s="499"/>
      <c r="BT1" s="500"/>
      <c r="BU1" s="495" t="s">
        <v>28</v>
      </c>
      <c r="BV1" s="496"/>
      <c r="BW1" s="496"/>
      <c r="BX1" s="496"/>
      <c r="BY1" s="497"/>
      <c r="BZ1" s="501" t="s">
        <v>29</v>
      </c>
      <c r="CA1" s="502"/>
      <c r="CB1" s="502"/>
      <c r="CC1" s="502"/>
      <c r="CD1" s="503"/>
      <c r="CE1" s="493">
        <v>2021</v>
      </c>
      <c r="CF1" s="494"/>
      <c r="CG1" s="494"/>
      <c r="CH1" s="494"/>
      <c r="CI1" s="494"/>
    </row>
    <row r="2" spans="1:88" s="59" customFormat="1" ht="13.15">
      <c r="A2" s="65" t="s">
        <v>79</v>
      </c>
      <c r="B2" s="275"/>
      <c r="C2" s="119" t="s">
        <v>80</v>
      </c>
      <c r="D2" s="120" t="s">
        <v>81</v>
      </c>
      <c r="E2" s="127" t="s">
        <v>33</v>
      </c>
      <c r="F2" s="125" t="s">
        <v>34</v>
      </c>
      <c r="G2" s="135" t="s">
        <v>35</v>
      </c>
      <c r="H2" s="138" t="s">
        <v>80</v>
      </c>
      <c r="I2" s="120" t="s">
        <v>81</v>
      </c>
      <c r="J2" s="127" t="s">
        <v>33</v>
      </c>
      <c r="K2" s="125" t="s">
        <v>34</v>
      </c>
      <c r="L2" s="135" t="s">
        <v>35</v>
      </c>
      <c r="M2" s="119" t="s">
        <v>80</v>
      </c>
      <c r="N2" s="120" t="s">
        <v>81</v>
      </c>
      <c r="O2" s="127" t="s">
        <v>33</v>
      </c>
      <c r="P2" s="125" t="s">
        <v>34</v>
      </c>
      <c r="Q2" s="135" t="s">
        <v>35</v>
      </c>
      <c r="R2" s="119" t="s">
        <v>80</v>
      </c>
      <c r="S2" s="120" t="s">
        <v>81</v>
      </c>
      <c r="T2" s="127" t="s">
        <v>33</v>
      </c>
      <c r="U2" s="125" t="s">
        <v>34</v>
      </c>
      <c r="V2" s="135" t="s">
        <v>35</v>
      </c>
      <c r="W2" s="119" t="s">
        <v>80</v>
      </c>
      <c r="X2" s="120" t="s">
        <v>81</v>
      </c>
      <c r="Y2" s="127" t="s">
        <v>33</v>
      </c>
      <c r="Z2" s="125" t="s">
        <v>34</v>
      </c>
      <c r="AA2" s="135" t="s">
        <v>35</v>
      </c>
      <c r="AB2" s="119" t="s">
        <v>80</v>
      </c>
      <c r="AC2" s="120" t="s">
        <v>81</v>
      </c>
      <c r="AD2" s="127" t="s">
        <v>33</v>
      </c>
      <c r="AE2" s="125" t="s">
        <v>34</v>
      </c>
      <c r="AF2" s="135" t="s">
        <v>35</v>
      </c>
      <c r="AG2" s="119" t="s">
        <v>80</v>
      </c>
      <c r="AH2" s="120" t="s">
        <v>81</v>
      </c>
      <c r="AI2" s="127" t="s">
        <v>33</v>
      </c>
      <c r="AJ2" s="125" t="s">
        <v>34</v>
      </c>
      <c r="AK2" s="135" t="s">
        <v>35</v>
      </c>
      <c r="AL2" s="119" t="s">
        <v>80</v>
      </c>
      <c r="AM2" s="120" t="s">
        <v>81</v>
      </c>
      <c r="AN2" s="127" t="s">
        <v>33</v>
      </c>
      <c r="AO2" s="125" t="s">
        <v>34</v>
      </c>
      <c r="AP2" s="135" t="s">
        <v>35</v>
      </c>
      <c r="AQ2" s="119" t="s">
        <v>80</v>
      </c>
      <c r="AR2" s="120" t="s">
        <v>81</v>
      </c>
      <c r="AS2" s="127" t="s">
        <v>33</v>
      </c>
      <c r="AT2" s="125" t="s">
        <v>34</v>
      </c>
      <c r="AU2" s="135" t="s">
        <v>35</v>
      </c>
      <c r="AV2" s="119" t="s">
        <v>80</v>
      </c>
      <c r="AW2" s="120" t="s">
        <v>81</v>
      </c>
      <c r="AX2" s="127" t="s">
        <v>33</v>
      </c>
      <c r="AY2" s="125" t="s">
        <v>34</v>
      </c>
      <c r="AZ2" s="135" t="s">
        <v>35</v>
      </c>
      <c r="BA2" s="119" t="s">
        <v>80</v>
      </c>
      <c r="BB2" s="120" t="s">
        <v>81</v>
      </c>
      <c r="BC2" s="127" t="s">
        <v>33</v>
      </c>
      <c r="BD2" s="125" t="s">
        <v>34</v>
      </c>
      <c r="BE2" s="135" t="s">
        <v>35</v>
      </c>
      <c r="BF2" s="119" t="s">
        <v>80</v>
      </c>
      <c r="BG2" s="120" t="s">
        <v>81</v>
      </c>
      <c r="BH2" s="127" t="s">
        <v>33</v>
      </c>
      <c r="BI2" s="125" t="s">
        <v>34</v>
      </c>
      <c r="BJ2" s="135" t="s">
        <v>35</v>
      </c>
      <c r="BK2" s="119" t="s">
        <v>80</v>
      </c>
      <c r="BL2" s="120" t="s">
        <v>81</v>
      </c>
      <c r="BM2" s="127" t="s">
        <v>33</v>
      </c>
      <c r="BN2" s="125" t="s">
        <v>34</v>
      </c>
      <c r="BO2" s="135" t="s">
        <v>35</v>
      </c>
      <c r="BP2" s="119" t="s">
        <v>80</v>
      </c>
      <c r="BQ2" s="120" t="s">
        <v>81</v>
      </c>
      <c r="BR2" s="127" t="s">
        <v>33</v>
      </c>
      <c r="BS2" s="125" t="s">
        <v>34</v>
      </c>
      <c r="BT2" s="135" t="s">
        <v>35</v>
      </c>
      <c r="BU2" s="119" t="s">
        <v>80</v>
      </c>
      <c r="BV2" s="120" t="s">
        <v>81</v>
      </c>
      <c r="BW2" s="127" t="s">
        <v>33</v>
      </c>
      <c r="BX2" s="125" t="s">
        <v>34</v>
      </c>
      <c r="BY2" s="135" t="s">
        <v>35</v>
      </c>
      <c r="BZ2" s="119" t="s">
        <v>80</v>
      </c>
      <c r="CA2" s="120" t="s">
        <v>81</v>
      </c>
      <c r="CB2" s="127" t="s">
        <v>33</v>
      </c>
      <c r="CC2" s="125" t="s">
        <v>34</v>
      </c>
      <c r="CD2" s="135" t="s">
        <v>35</v>
      </c>
      <c r="CE2" s="119" t="s">
        <v>80</v>
      </c>
      <c r="CF2" s="120" t="s">
        <v>81</v>
      </c>
      <c r="CG2" s="127" t="s">
        <v>33</v>
      </c>
      <c r="CH2" s="125" t="s">
        <v>34</v>
      </c>
      <c r="CI2" s="135" t="s">
        <v>35</v>
      </c>
    </row>
    <row r="3" spans="1:88" s="10" customFormat="1" ht="13.15">
      <c r="A3" s="9" t="s">
        <v>82</v>
      </c>
      <c r="B3" s="285"/>
      <c r="C3" s="22">
        <f>C104+C105</f>
        <v>240519</v>
      </c>
      <c r="D3" s="22">
        <f ca="1">D104+D105</f>
        <v>307219</v>
      </c>
      <c r="E3" s="62">
        <f ca="1">IFERROR(C3/D3,"")</f>
        <v>0.78289103213017419</v>
      </c>
      <c r="F3" s="478">
        <f ca="1">F104+F105</f>
        <v>288309</v>
      </c>
      <c r="G3" s="62">
        <f ca="1">IFERROR(F3/D3,"")</f>
        <v>0.93844781735504645</v>
      </c>
      <c r="H3" s="26">
        <f>H104+H105</f>
        <v>204609</v>
      </c>
      <c r="I3" s="27">
        <f ca="1">I104+I105</f>
        <v>288957</v>
      </c>
      <c r="J3" s="144">
        <f ca="1">IFERROR(H3/I3,"")</f>
        <v>0.70809497606910365</v>
      </c>
      <c r="K3" s="24">
        <f ca="1">SUM(K104:K105)</f>
        <v>249289</v>
      </c>
      <c r="L3" s="144">
        <f ca="1">IFERROR(K3/I3,"")</f>
        <v>0.86272005869385415</v>
      </c>
      <c r="M3" s="22">
        <f>M104+M105</f>
        <v>413900</v>
      </c>
      <c r="N3" s="22">
        <f ca="1">N104+N105</f>
        <v>481034</v>
      </c>
      <c r="O3" s="62">
        <f ca="1">IFERROR(M3/N3,"")</f>
        <v>0.86043813950781023</v>
      </c>
      <c r="P3" s="476">
        <f ca="1">P104+P105</f>
        <v>466410</v>
      </c>
      <c r="Q3" s="62">
        <f ca="1">IFERROR(P3/N3,"")</f>
        <v>0.96959882253645269</v>
      </c>
      <c r="R3" s="39">
        <f>R104+R105</f>
        <v>859028</v>
      </c>
      <c r="S3" s="38">
        <f ca="1">S104+S105</f>
        <v>1077210</v>
      </c>
      <c r="T3" s="75">
        <f ca="1">IFERROR(R3/S3,"")</f>
        <v>0.7974563919755665</v>
      </c>
      <c r="U3" s="46">
        <f ca="1">F3+K3+P3</f>
        <v>1004008</v>
      </c>
      <c r="V3" s="75">
        <f ca="1">IFERROR(U3/S3,"")</f>
        <v>0.93204481948737938</v>
      </c>
      <c r="W3" s="22">
        <f>W104+W105</f>
        <v>669663</v>
      </c>
      <c r="X3" s="22">
        <f ca="1">X104+X105</f>
        <v>820352</v>
      </c>
      <c r="Y3" s="62">
        <f ca="1">IFERROR(W3/X3,"")</f>
        <v>0.81631177835855828</v>
      </c>
      <c r="Z3" s="478">
        <f ca="1">Z104+Z105</f>
        <v>728303</v>
      </c>
      <c r="AA3" s="62">
        <f ca="1">(Z3/X3)</f>
        <v>0.88779328873459196</v>
      </c>
      <c r="AB3" s="26">
        <f>AB104+AB105</f>
        <v>560525</v>
      </c>
      <c r="AC3" s="27">
        <f ca="1">AC104+AC105</f>
        <v>699341</v>
      </c>
      <c r="AD3" s="144">
        <f ca="1">IFERROR(AB3/AC3,"")</f>
        <v>0.80150455929224795</v>
      </c>
      <c r="AE3" s="24">
        <f ca="1">SUM(AE104:AE105)</f>
        <v>638645</v>
      </c>
      <c r="AF3" s="144">
        <f ca="1">IFERROR(AE3/AC3,"")</f>
        <v>0.91320972172373704</v>
      </c>
      <c r="AG3" s="22">
        <f>AG104+AG105</f>
        <v>390865</v>
      </c>
      <c r="AH3" s="22">
        <f ca="1">AH104+AH105</f>
        <v>507821</v>
      </c>
      <c r="AI3" s="62">
        <f ca="1">IFERROR(AG3/AH3,"")</f>
        <v>0.76969050118053406</v>
      </c>
      <c r="AJ3" s="478">
        <f ca="1">AJ104+AJ105</f>
        <v>430015</v>
      </c>
      <c r="AK3" s="62">
        <f ca="1">IFERROR(AJ3/AH3,"")</f>
        <v>0.84678459535938844</v>
      </c>
      <c r="AL3" s="37">
        <f t="shared" ref="AL3:AL4" si="0">W3+AB3+AG3</f>
        <v>1621053</v>
      </c>
      <c r="AM3" s="38">
        <f ca="1">AM104+AM105</f>
        <v>2027514</v>
      </c>
      <c r="AN3" s="75">
        <f ca="1">IFERROR(AL3/AM3,"")</f>
        <v>0.7995274015370547</v>
      </c>
      <c r="AO3" s="46">
        <f ca="1">Z3+AE3+AJ3</f>
        <v>1796963</v>
      </c>
      <c r="AP3" s="75">
        <f ca="1">IFERROR(AO3/AM3,"")</f>
        <v>0.88628882463943526</v>
      </c>
      <c r="AQ3" s="22">
        <f>AQ104+AQ105</f>
        <v>506491</v>
      </c>
      <c r="AR3" s="22">
        <f ca="1">AR104+AR105</f>
        <v>575840</v>
      </c>
      <c r="AS3" s="62">
        <f ca="1">IFERROR(AQ3/AR3,"")</f>
        <v>0.87956897749374829</v>
      </c>
      <c r="AT3" s="22">
        <f ca="1">AT104+AT105</f>
        <v>601541</v>
      </c>
      <c r="AU3" s="62">
        <f ca="1">(AT3/AR3)</f>
        <v>1.0446321894970825</v>
      </c>
      <c r="AV3" s="26">
        <f>AV104+AV105</f>
        <v>607816</v>
      </c>
      <c r="AW3" s="27">
        <f ca="1">AW104+AW105</f>
        <v>684237</v>
      </c>
      <c r="AX3" s="144">
        <f ca="1">IFERROR(AV3/AW3,"")</f>
        <v>0.88831209069372163</v>
      </c>
      <c r="AY3" s="24">
        <f ca="1">SUM(AY104:AY105)</f>
        <v>664940</v>
      </c>
      <c r="AZ3" s="144">
        <f ca="1">IFERROR(AY3/AW3,"")</f>
        <v>0.97179778351653012</v>
      </c>
      <c r="BA3" s="22">
        <f>BA104+BA105</f>
        <v>381606</v>
      </c>
      <c r="BB3" s="22">
        <f ca="1">BB104+BB105</f>
        <v>418627</v>
      </c>
      <c r="BC3" s="62">
        <f ca="1">IFERROR(BA3/BB3,"")</f>
        <v>0.91156566585528409</v>
      </c>
      <c r="BD3" s="22">
        <f ca="1">BD104+BD105</f>
        <v>458304</v>
      </c>
      <c r="BE3" s="62">
        <f ca="1">IFERROR(BD3/BB3,"")</f>
        <v>1.0947788843051212</v>
      </c>
      <c r="BF3" s="182">
        <f t="shared" ref="BF3:BF4" si="1">AQ3+AV3+BA3</f>
        <v>1495913</v>
      </c>
      <c r="BG3" s="38">
        <f ca="1">BG104+BG105</f>
        <v>1678704</v>
      </c>
      <c r="BH3" s="75">
        <f ca="1">IFERROR(BF3/BG3,"")</f>
        <v>0.89111183389090631</v>
      </c>
      <c r="BI3" s="46">
        <f ca="1">AT3+AY3+BD3</f>
        <v>1724785</v>
      </c>
      <c r="BJ3" s="75">
        <f ca="1">IFERROR(BI3/BG3,"")</f>
        <v>1.0274503426452788</v>
      </c>
      <c r="BK3" s="22">
        <f>BK104+BK105</f>
        <v>592037</v>
      </c>
      <c r="BL3" s="22">
        <f ca="1">BL104+BL105</f>
        <v>651923</v>
      </c>
      <c r="BM3" s="62">
        <f ca="1">IFERROR(BK3/BL3,"")</f>
        <v>0.90813945818754671</v>
      </c>
      <c r="BN3" s="22">
        <f ca="1">BN104+BN105</f>
        <v>667865</v>
      </c>
      <c r="BO3" s="62">
        <f ca="1">IFERROR(BN3/BL3,"")</f>
        <v>1.0244538081951395</v>
      </c>
      <c r="BP3" s="26">
        <f>BP104+BP105</f>
        <v>685597</v>
      </c>
      <c r="BQ3" s="27">
        <f ca="1">BQ104+BQ105</f>
        <v>781206</v>
      </c>
      <c r="BR3" s="144">
        <f ca="1">IFERROR(BP3/BQ3,"")</f>
        <v>0.87761358719723093</v>
      </c>
      <c r="BS3" s="24">
        <f ca="1">SUM(BS104:BS105)</f>
        <v>759062</v>
      </c>
      <c r="BT3" s="144">
        <f ca="1">IFERROR(BS3/BQ3,"")</f>
        <v>0.97165408355798599</v>
      </c>
      <c r="BU3" s="22">
        <f>BU104+BU105</f>
        <v>565494</v>
      </c>
      <c r="BV3" s="22">
        <f ca="1">BV104+BV105</f>
        <v>735202</v>
      </c>
      <c r="BW3" s="62">
        <f ca="1">IFERROR(BU3/BV3,"")</f>
        <v>0.76916820139227038</v>
      </c>
      <c r="BX3" s="22">
        <f ca="1">BX104+BX105</f>
        <v>638330</v>
      </c>
      <c r="BY3" s="62">
        <f ca="1">IFERROR(BX3/BV3,"")</f>
        <v>0.86823757280312075</v>
      </c>
      <c r="BZ3" s="197">
        <f t="shared" ref="BZ3:BZ4" si="2">BK3+BP3+BU3</f>
        <v>1843128</v>
      </c>
      <c r="CA3" s="38">
        <f ca="1">CA104+CA105</f>
        <v>2168331</v>
      </c>
      <c r="CB3" s="75">
        <f ca="1">IFERROR(BZ3/CA3,"")</f>
        <v>0.85002151424298222</v>
      </c>
      <c r="CC3" s="46">
        <f ca="1">BN3+BS3+BX3</f>
        <v>2065257</v>
      </c>
      <c r="CD3" s="75">
        <f ca="1">IFERROR(CC3/CA3,"")</f>
        <v>0.95246389965369682</v>
      </c>
      <c r="CE3" s="51">
        <f t="shared" ref="CE3:CE4" si="3">R3+AL3+BF3+BZ3</f>
        <v>5819122</v>
      </c>
      <c r="CF3" s="49">
        <f ca="1">CF104+CF105</f>
        <v>6951759</v>
      </c>
      <c r="CG3" s="211">
        <f ca="1">IFERROR(CE3/CF3,"")</f>
        <v>0.83707188353336182</v>
      </c>
      <c r="CH3" s="50">
        <f t="shared" ref="CH3:CH4" ca="1" si="4">AO3+BI3+CC3+U3</f>
        <v>6591013</v>
      </c>
      <c r="CI3" s="144">
        <f ca="1">IFERROR(CH3/CF3,"")</f>
        <v>0.94810723444239076</v>
      </c>
    </row>
    <row r="4" spans="1:88" s="7" customFormat="1" ht="13.15">
      <c r="A4" s="11" t="s">
        <v>83</v>
      </c>
      <c r="B4" s="285"/>
      <c r="C4" s="19">
        <f>C31</f>
        <v>8237239</v>
      </c>
      <c r="D4" s="19">
        <f ca="1">D31</f>
        <v>8877157</v>
      </c>
      <c r="E4" s="62">
        <f ca="1">IFERROR(C4/D4,"")</f>
        <v>0.92791408330392267</v>
      </c>
      <c r="F4" s="24">
        <f ca="1">F31</f>
        <v>8606315</v>
      </c>
      <c r="G4" s="62">
        <f ca="1">IFERROR(F4/D4,"")</f>
        <v>0.96949000676680608</v>
      </c>
      <c r="H4" s="28">
        <f>H31</f>
        <v>7310873</v>
      </c>
      <c r="I4" s="28">
        <f ca="1">I31</f>
        <v>7897159</v>
      </c>
      <c r="J4" s="144">
        <f ca="1">IFERROR(H4/I4,"")</f>
        <v>0.92575988402918064</v>
      </c>
      <c r="K4" s="24">
        <f ca="1">K31</f>
        <v>7627353</v>
      </c>
      <c r="L4" s="144">
        <f ca="1">IFERROR(K4/I4,"")</f>
        <v>0.96583505536611336</v>
      </c>
      <c r="M4" s="19">
        <f>M31</f>
        <v>9801747</v>
      </c>
      <c r="N4" s="19">
        <f ca="1">N31</f>
        <v>10311786</v>
      </c>
      <c r="O4" s="62">
        <f ca="1">IFERROR(M4/N4,"")</f>
        <v>0.95053824817543731</v>
      </c>
      <c r="P4" s="24">
        <f ca="1">P31</f>
        <v>10162097</v>
      </c>
      <c r="Q4" s="62">
        <f ca="1">IFERROR(P4/N4,"")</f>
        <v>0.98548369797433732</v>
      </c>
      <c r="R4" s="39">
        <f>C4+H4+M4</f>
        <v>25349859</v>
      </c>
      <c r="S4" s="40">
        <f ca="1">S31</f>
        <v>27086102</v>
      </c>
      <c r="T4" s="75">
        <f ca="1">IFERROR(R4/S4,"")</f>
        <v>0.93589911903898171</v>
      </c>
      <c r="U4" s="159">
        <f ca="1">F4+K4+P4</f>
        <v>26395765</v>
      </c>
      <c r="V4" s="75">
        <f ca="1">IFERROR(U4/S4,"")</f>
        <v>0.97451323929888467</v>
      </c>
      <c r="W4" s="19">
        <f>W31</f>
        <v>7855242</v>
      </c>
      <c r="X4" s="19">
        <f ca="1">X31</f>
        <v>8569164</v>
      </c>
      <c r="Y4" s="62">
        <f ca="1">IFERROR(W4/X4,"")</f>
        <v>0.91668708872884219</v>
      </c>
      <c r="Z4" s="24">
        <f ca="1">Z31</f>
        <v>8214213</v>
      </c>
      <c r="AA4" s="62">
        <f ca="1">(Z4/X4)</f>
        <v>0.95857810633569385</v>
      </c>
      <c r="AB4" s="174">
        <f>AB31</f>
        <v>7464048</v>
      </c>
      <c r="AC4" s="28">
        <f ca="1">AC31</f>
        <v>7998033</v>
      </c>
      <c r="AD4" s="144">
        <f ca="1">IFERROR(AB4/AC4,"")</f>
        <v>0.93323545926854767</v>
      </c>
      <c r="AE4" s="24">
        <f ca="1">AE31</f>
        <v>7789516</v>
      </c>
      <c r="AF4" s="144">
        <f ca="1">IFERROR(AE4/AC4,"")</f>
        <v>0.97392896478421631</v>
      </c>
      <c r="AG4" s="175">
        <f>AG31</f>
        <v>8060305</v>
      </c>
      <c r="AH4" s="19">
        <f ca="1">AH31</f>
        <v>8633673</v>
      </c>
      <c r="AI4" s="62">
        <f ca="1">IFERROR(AG4/AH4,"")</f>
        <v>0.93358933098346442</v>
      </c>
      <c r="AJ4" s="24">
        <f ca="1">AJ31</f>
        <v>8389032</v>
      </c>
      <c r="AK4" s="62">
        <f ca="1">IFERROR(AJ4/AH4,"")</f>
        <v>0.97166431946171694</v>
      </c>
      <c r="AL4" s="37">
        <f t="shared" si="0"/>
        <v>23379595</v>
      </c>
      <c r="AM4" s="40">
        <f ca="1">AM31</f>
        <v>25200870</v>
      </c>
      <c r="AN4" s="427">
        <f ca="1">IFERROR(AL4/AM4,"")</f>
        <v>0.9277296775865278</v>
      </c>
      <c r="AO4" s="159">
        <f t="shared" ref="AO4" ca="1" si="5">Z4+AE4+AJ4</f>
        <v>24392761</v>
      </c>
      <c r="AP4" s="75">
        <f ca="1">IFERROR(AO4/AM4,"")</f>
        <v>0.96793328960468428</v>
      </c>
      <c r="AQ4" s="175">
        <f>AQ31</f>
        <v>5142159</v>
      </c>
      <c r="AR4" s="19">
        <f ca="1">AR31</f>
        <v>5752956</v>
      </c>
      <c r="AS4" s="62">
        <f ca="1">IFERROR(AQ4/AR4,"")</f>
        <v>0.89382901590069519</v>
      </c>
      <c r="AT4" s="24">
        <f ca="1">AT31</f>
        <v>5470993</v>
      </c>
      <c r="AU4" s="62">
        <f ca="1">IFERROR(AT4/AR4,"")</f>
        <v>0.95098815287306215</v>
      </c>
      <c r="AV4" s="174">
        <f>AV31</f>
        <v>7788875</v>
      </c>
      <c r="AW4" s="28">
        <f ca="1">AW31</f>
        <v>8522097</v>
      </c>
      <c r="AX4" s="188">
        <f ca="1">IFERROR(AV4/AW4,"")</f>
        <v>0.91396225600342262</v>
      </c>
      <c r="AY4" s="24">
        <f ca="1">AY31</f>
        <v>8076730</v>
      </c>
      <c r="AZ4" s="144">
        <f ca="1">IFERROR(AY4/AW4,"")</f>
        <v>0.94773974058262889</v>
      </c>
      <c r="BA4" s="175">
        <f>BA31</f>
        <v>7036659</v>
      </c>
      <c r="BB4" s="19">
        <f ca="1">BB31</f>
        <v>7793394</v>
      </c>
      <c r="BC4" s="189">
        <f ca="1">IFERROR(BA4/BB4,"")</f>
        <v>0.90290045646351258</v>
      </c>
      <c r="BD4" s="24">
        <f ca="1">BD31</f>
        <v>7369096</v>
      </c>
      <c r="BE4" s="62">
        <f ca="1">IFERROR(BD4/BB4,"")</f>
        <v>0.94555671123518203</v>
      </c>
      <c r="BF4" s="182">
        <f t="shared" si="1"/>
        <v>19967693</v>
      </c>
      <c r="BG4" s="40">
        <f ca="1">BG31</f>
        <v>22068447</v>
      </c>
      <c r="BH4" s="190">
        <f ca="1">IFERROR(BF4/BG4,"")</f>
        <v>0.90480734779388872</v>
      </c>
      <c r="BI4" s="159">
        <f t="shared" ref="BI4" ca="1" si="6">AT4+AY4+BD4</f>
        <v>20916819</v>
      </c>
      <c r="BJ4" s="144">
        <f ca="1">IFERROR(BI4/BG4,"")</f>
        <v>0.94781563016192305</v>
      </c>
      <c r="BK4" s="175">
        <f>BK31</f>
        <v>6294678</v>
      </c>
      <c r="BL4" s="19">
        <f ca="1">BL31</f>
        <v>6949181</v>
      </c>
      <c r="BM4" s="189">
        <f ca="1">IFERROR(BK4/BL4,"")</f>
        <v>0.90581580764697311</v>
      </c>
      <c r="BN4" s="24">
        <f ca="1">BN31</f>
        <v>6600151</v>
      </c>
      <c r="BO4" s="62">
        <f ca="1">IFERROR(BN4/BL4,"")</f>
        <v>0.9497739373891686</v>
      </c>
      <c r="BP4" s="194">
        <f>BP31</f>
        <v>4515610</v>
      </c>
      <c r="BQ4" s="196">
        <f ca="1">BQ31</f>
        <v>4983306</v>
      </c>
      <c r="BR4" s="200">
        <f ca="1">IFERROR(BP4/BQ4,"")</f>
        <v>0.90614744508966538</v>
      </c>
      <c r="BS4" s="24">
        <f ca="1">BS31</f>
        <v>4873370</v>
      </c>
      <c r="BT4" s="204">
        <f ca="1">IFERROR(BS4/BQ4,"")</f>
        <v>0.97793914321135411</v>
      </c>
      <c r="BU4" s="175">
        <f>BU31</f>
        <v>6716371</v>
      </c>
      <c r="BV4" s="19">
        <f ca="1">BV31</f>
        <v>7299008</v>
      </c>
      <c r="BW4" s="205">
        <f ca="1">IFERROR(BU4/BV4,"")</f>
        <v>0.92017586499425674</v>
      </c>
      <c r="BX4" s="24">
        <f ca="1">BX31</f>
        <v>7048962</v>
      </c>
      <c r="BY4" s="62">
        <f ca="1">IFERROR(BX4/BV4,"")</f>
        <v>0.96574246801757169</v>
      </c>
      <c r="BZ4" s="197">
        <f t="shared" si="2"/>
        <v>17526659</v>
      </c>
      <c r="CA4" s="38">
        <f ca="1">CA31</f>
        <v>19231495</v>
      </c>
      <c r="CB4" s="190">
        <f ca="1">IFERROR(BZ4/CA4,"")</f>
        <v>0.91135187358029113</v>
      </c>
      <c r="CC4" s="159">
        <f t="shared" ref="CC4" ca="1" si="7">BN4+BS4+BX4</f>
        <v>18522483</v>
      </c>
      <c r="CD4" s="75">
        <f ca="1">IFERROR(CC4/CA4,"")</f>
        <v>0.96313276736935949</v>
      </c>
      <c r="CE4" s="51">
        <f t="shared" si="3"/>
        <v>86223806</v>
      </c>
      <c r="CF4" s="49">
        <f ca="1">CF31</f>
        <v>93586914</v>
      </c>
      <c r="CG4" s="212">
        <f ca="1">IFERROR(CE4/CF4,"")</f>
        <v>0.92132331663377642</v>
      </c>
      <c r="CH4" s="50">
        <f t="shared" ca="1" si="4"/>
        <v>90227828</v>
      </c>
      <c r="CI4" s="144">
        <f ca="1">IFERROR(CH4/CF4,"")</f>
        <v>0.96410731098580726</v>
      </c>
    </row>
    <row r="5" spans="1:88" s="272" customFormat="1" ht="13.5" thickBot="1">
      <c r="A5" s="266"/>
      <c r="B5" s="280"/>
      <c r="C5" s="265">
        <f>SUM(C3:C4)</f>
        <v>8477758</v>
      </c>
      <c r="D5" s="265">
        <f ca="1">SUM(D3:D4)</f>
        <v>9184376</v>
      </c>
      <c r="E5" s="267">
        <f ca="1">IFERROR(C5/D5,"")</f>
        <v>0.92306303661783884</v>
      </c>
      <c r="F5" s="268">
        <f ca="1">SUM(F3:F4)</f>
        <v>8894624</v>
      </c>
      <c r="G5" s="269">
        <f ca="1">IFERROR(F5/D5,"")</f>
        <v>0.96845164004609563</v>
      </c>
      <c r="H5" s="264">
        <f>SUM(H3:H4)</f>
        <v>7515482</v>
      </c>
      <c r="I5" s="265">
        <f ca="1">SUM(I3:I4)</f>
        <v>8186116</v>
      </c>
      <c r="J5" s="267">
        <f ca="1">IFERROR(H5/I5,"")</f>
        <v>0.9180766556447526</v>
      </c>
      <c r="K5" s="268">
        <f ca="1">SUM(K3:K4)</f>
        <v>7876642</v>
      </c>
      <c r="L5" s="269">
        <f ca="1">IFERROR(K5/I5,"")</f>
        <v>0.96219525841070419</v>
      </c>
      <c r="M5" s="264">
        <f>SUM(M3:M4)</f>
        <v>10215647</v>
      </c>
      <c r="N5" s="265">
        <f ca="1">SUM(N3:N4)</f>
        <v>10792820</v>
      </c>
      <c r="O5" s="267">
        <f ca="1">IFERROR(M5/N5,"")</f>
        <v>0.94652250292323969</v>
      </c>
      <c r="P5" s="268">
        <f ca="1">SUM(P3:P4)</f>
        <v>10628507</v>
      </c>
      <c r="Q5" s="269">
        <f ca="1">IFERROR(P5/N5,"")</f>
        <v>0.98477571200112668</v>
      </c>
      <c r="R5" s="264">
        <f>SUM(R3:R4)</f>
        <v>26208887</v>
      </c>
      <c r="S5" s="265">
        <f ca="1">SUM(S3:S4)</f>
        <v>28163312</v>
      </c>
      <c r="T5" s="477">
        <f ca="1">R5/S5</f>
        <v>0.93060386505678028</v>
      </c>
      <c r="U5" s="268">
        <f ca="1">SUM(U3:U4)</f>
        <v>27399773</v>
      </c>
      <c r="V5" s="475">
        <f ca="1">U5/S5</f>
        <v>0.97288887755815079</v>
      </c>
      <c r="W5" s="264">
        <f>SUM(W3:W4)</f>
        <v>8524905</v>
      </c>
      <c r="X5" s="265">
        <f ca="1">SUM(X3:X4)</f>
        <v>9389516</v>
      </c>
      <c r="Y5" s="426">
        <f ca="1">IFERROR(W5/X5,"")</f>
        <v>0.90791740490138151</v>
      </c>
      <c r="Z5" s="268">
        <f ca="1">SUM(Z3:Z4)</f>
        <v>8942516</v>
      </c>
      <c r="AA5" s="270">
        <f ca="1">(Z5/X5)</f>
        <v>0.95239371230636383</v>
      </c>
      <c r="AB5" s="264">
        <f>SUM(AB3:AB4)</f>
        <v>8024573</v>
      </c>
      <c r="AC5" s="265">
        <f ca="1">SUM(AC3:AC4)</f>
        <v>8697374</v>
      </c>
      <c r="AD5" s="426">
        <f ca="1">IFERROR(AB5/AC5,"")</f>
        <v>0.92264320241948894</v>
      </c>
      <c r="AE5" s="268">
        <f ca="1">SUM(AE3:AE4)</f>
        <v>8428161</v>
      </c>
      <c r="AF5" s="270">
        <f ca="1">IFERROR(AE5/AC5,"")</f>
        <v>0.96904663407598657</v>
      </c>
      <c r="AG5" s="264">
        <f>SUM(AG3:AG4)</f>
        <v>8451170</v>
      </c>
      <c r="AH5" s="265">
        <f ca="1">SUM(AH3:AH4)</f>
        <v>9141494</v>
      </c>
      <c r="AI5" s="426">
        <f ca="1">IFERROR(AG5/AH5,"")</f>
        <v>0.92448455361891613</v>
      </c>
      <c r="AJ5" s="268">
        <f ca="1">SUM(AJ3:AJ4)</f>
        <v>8819047</v>
      </c>
      <c r="AK5" s="270">
        <f ca="1">IFERROR(AJ5/AH5,"")</f>
        <v>0.96472710040612619</v>
      </c>
      <c r="AL5" s="264">
        <f>SUM(AL3:AL4)</f>
        <v>25000648</v>
      </c>
      <c r="AM5" s="265">
        <f ca="1">SUM(AM3:AM4)</f>
        <v>27228384</v>
      </c>
      <c r="AN5" s="426">
        <f ca="1">IFERROR(AL5/AM5,"")</f>
        <v>0.9181833192891653</v>
      </c>
      <c r="AO5" s="268">
        <f ca="1">SUM(AO3:AO4)</f>
        <v>26189724</v>
      </c>
      <c r="AP5" s="270">
        <f ca="1">IFERROR(AO5/AM5,"")</f>
        <v>0.96185377729357713</v>
      </c>
      <c r="AQ5" s="264">
        <f>SUM(AQ3:AQ4)</f>
        <v>5648650</v>
      </c>
      <c r="AR5" s="265">
        <f ca="1">SUM(AR3:AR4)</f>
        <v>6328796</v>
      </c>
      <c r="AS5" s="267">
        <f ca="1">IFERROR(AQ5/AR5,"")</f>
        <v>0.89253153364399795</v>
      </c>
      <c r="AT5" s="268">
        <f ca="1">SUM(AT3:AT4)</f>
        <v>6072534</v>
      </c>
      <c r="AU5" s="269">
        <f ca="1">IFERROR(AT5/AR5,"")</f>
        <v>0.95950857003448997</v>
      </c>
      <c r="AV5" s="264">
        <f>SUM(AV3:AV4)</f>
        <v>8396691</v>
      </c>
      <c r="AW5" s="265">
        <f ca="1">SUM(AW3:AW4)</f>
        <v>9206334</v>
      </c>
      <c r="AX5" s="267">
        <f ca="1">IFERROR(AV5/AW5,"")</f>
        <v>0.9120558737060811</v>
      </c>
      <c r="AY5" s="268">
        <f ca="1">SUM(AY3:AY4)</f>
        <v>8741670</v>
      </c>
      <c r="AZ5" s="269">
        <f ca="1">IFERROR(AY5/AW5,"")</f>
        <v>0.94952779249590558</v>
      </c>
      <c r="BA5" s="264">
        <f>SUM(BA3:BA4)</f>
        <v>7418265</v>
      </c>
      <c r="BB5" s="265">
        <f ca="1">SUM(BB3:BB4)</f>
        <v>8212021</v>
      </c>
      <c r="BC5" s="267">
        <f ca="1">IFERROR(BA5/BB5,"")</f>
        <v>0.9033421858029832</v>
      </c>
      <c r="BD5" s="268">
        <f ca="1">SUM(BD3:BD4)</f>
        <v>7827400</v>
      </c>
      <c r="BE5" s="269">
        <f ca="1">IFERROR(BD5/BB5,"")</f>
        <v>0.9531636609307258</v>
      </c>
      <c r="BF5" s="264">
        <f>SUM(BF3:BF4)</f>
        <v>21463606</v>
      </c>
      <c r="BG5" s="265">
        <f ca="1">SUM(BG3:BG4)</f>
        <v>23747151</v>
      </c>
      <c r="BH5" s="267">
        <f ca="1">IFERROR(BF5/BG5,"")</f>
        <v>0.90383920159517239</v>
      </c>
      <c r="BI5" s="268">
        <f ca="1">SUM(BI3:BI4)</f>
        <v>22641604</v>
      </c>
      <c r="BJ5" s="269">
        <f ca="1">IFERROR(BI5/BG5,"")</f>
        <v>0.95344506799994655</v>
      </c>
      <c r="BK5" s="264">
        <f>SUM(BK3:BK4)</f>
        <v>6886715</v>
      </c>
      <c r="BL5" s="265">
        <f ca="1">SUM(BL3:BL4)</f>
        <v>7601104</v>
      </c>
      <c r="BM5" s="267">
        <f ca="1">IFERROR(BK5/BL5,"")</f>
        <v>0.90601509991180229</v>
      </c>
      <c r="BN5" s="268">
        <f ca="1">SUM(BN3:BN4)</f>
        <v>7268016</v>
      </c>
      <c r="BO5" s="269">
        <f ca="1">IFERROR(BN5/BL5,"")</f>
        <v>0.95617899715620258</v>
      </c>
      <c r="BP5" s="264">
        <f>SUM(BP3:BP4)</f>
        <v>5201207</v>
      </c>
      <c r="BQ5" s="265">
        <f ca="1">SUM(BQ3:BQ4)</f>
        <v>5764512</v>
      </c>
      <c r="BR5" s="267">
        <f ca="1">IFERROR(BP5/BQ5,"")</f>
        <v>0.90228053996591562</v>
      </c>
      <c r="BS5" s="268">
        <f ca="1">SUM(BS3:BS4)</f>
        <v>5632432</v>
      </c>
      <c r="BT5" s="269">
        <f ca="1">IFERROR(BS5/BQ5,"")</f>
        <v>0.9770873926535325</v>
      </c>
      <c r="BU5" s="264">
        <f>SUM(BU3:BU4)</f>
        <v>7281865</v>
      </c>
      <c r="BV5" s="265">
        <f ca="1">SUM(BV3:BV4)</f>
        <v>8034210</v>
      </c>
      <c r="BW5" s="267">
        <f ca="1">IFERROR(BU5/BV5,"")</f>
        <v>0.90635731453372514</v>
      </c>
      <c r="BX5" s="268">
        <f ca="1">SUM(BX3:BX4)</f>
        <v>7687292</v>
      </c>
      <c r="BY5" s="269">
        <f ca="1">IFERROR(BX5/BV5,"")</f>
        <v>0.95681989890729768</v>
      </c>
      <c r="BZ5" s="264">
        <f>SUM(BZ3:BZ4)</f>
        <v>19369787</v>
      </c>
      <c r="CA5" s="265">
        <f ca="1">SUM(CA3:CA4)</f>
        <v>21399826</v>
      </c>
      <c r="CB5" s="267">
        <f ca="1">IFERROR(BZ5/CA5,"")</f>
        <v>0.90513759317482301</v>
      </c>
      <c r="CC5" s="268">
        <f ca="1">SUM(CC3:CC4)</f>
        <v>20587740</v>
      </c>
      <c r="CD5" s="270">
        <f ca="1">IFERROR(CC5/CA5,"")</f>
        <v>0.9620517475235546</v>
      </c>
      <c r="CE5" s="264">
        <f>SUM(CE3:CE4)</f>
        <v>92042928</v>
      </c>
      <c r="CF5" s="265">
        <f ca="1">SUM(CF3:CF4)</f>
        <v>100538673</v>
      </c>
      <c r="CG5" s="267">
        <f ca="1">IFERROR(CE5/CF5,"")</f>
        <v>0.91549774085440738</v>
      </c>
      <c r="CH5" s="268">
        <f ca="1">SUM(CH3:CH4)</f>
        <v>96818841</v>
      </c>
      <c r="CI5" s="271">
        <f ca="1">IFERROR(CH5/CF5,"")</f>
        <v>0.96300098371101439</v>
      </c>
      <c r="CJ5" s="263"/>
    </row>
    <row r="6" spans="1:88" ht="14.65" thickTop="1"/>
    <row r="7" spans="1:88" ht="14.65" thickBot="1"/>
    <row r="8" spans="1:88" s="7" customFormat="1" ht="39" customHeight="1">
      <c r="A8" s="6" t="s">
        <v>20</v>
      </c>
      <c r="B8" s="276"/>
      <c r="C8" s="517"/>
      <c r="D8" s="518"/>
      <c r="E8" s="518"/>
      <c r="F8" s="518"/>
      <c r="G8" s="518"/>
      <c r="H8" s="518"/>
      <c r="I8" s="518"/>
      <c r="J8" s="518"/>
      <c r="K8" s="518"/>
      <c r="L8" s="518"/>
      <c r="M8" s="29"/>
      <c r="N8" s="29"/>
      <c r="O8" s="152"/>
      <c r="P8" s="29"/>
      <c r="Q8" s="152"/>
      <c r="R8" s="29"/>
      <c r="S8" s="29"/>
      <c r="T8" s="152"/>
      <c r="U8" s="29"/>
      <c r="V8" s="172"/>
      <c r="W8" s="29"/>
      <c r="X8" s="29"/>
      <c r="Y8" s="152"/>
      <c r="Z8" s="29"/>
      <c r="AA8" s="152"/>
      <c r="AB8" s="29"/>
      <c r="AC8" s="29"/>
      <c r="AD8" s="152"/>
      <c r="AE8" s="29"/>
      <c r="AF8" s="152"/>
      <c r="AG8" s="29"/>
      <c r="AH8" s="29"/>
      <c r="AI8" s="152"/>
      <c r="AJ8" s="29"/>
      <c r="AK8" s="152"/>
      <c r="AL8" s="29"/>
      <c r="AM8" s="29"/>
      <c r="AN8" s="152"/>
      <c r="AO8" s="29"/>
      <c r="AP8" s="172"/>
      <c r="AQ8" s="29"/>
      <c r="AR8" s="29"/>
      <c r="AS8" s="152"/>
      <c r="AT8" s="29"/>
      <c r="AU8" s="152"/>
      <c r="AV8" s="29"/>
      <c r="AW8" s="29"/>
      <c r="AX8" s="152"/>
      <c r="AY8" s="29"/>
      <c r="AZ8" s="152"/>
      <c r="BA8" s="29"/>
      <c r="BB8" s="29"/>
      <c r="BC8" s="152"/>
      <c r="BD8" s="29"/>
      <c r="BE8" s="152"/>
      <c r="BF8" s="29"/>
      <c r="BG8" s="29"/>
      <c r="BH8" s="152"/>
      <c r="BI8" s="29"/>
      <c r="BJ8" s="172"/>
      <c r="BK8" s="29"/>
      <c r="BL8" s="29"/>
      <c r="BM8" s="152"/>
      <c r="BN8" s="29"/>
      <c r="BO8" s="152"/>
      <c r="BP8" s="29"/>
      <c r="BQ8" s="29"/>
      <c r="BR8" s="152"/>
      <c r="BS8" s="29"/>
      <c r="BT8" s="152"/>
      <c r="BU8" s="29"/>
      <c r="BV8" s="29"/>
      <c r="BW8" s="152"/>
      <c r="BX8" s="29"/>
      <c r="BY8" s="152"/>
      <c r="BZ8" s="29"/>
      <c r="CA8" s="29"/>
      <c r="CB8" s="152"/>
      <c r="CC8" s="29"/>
      <c r="CD8" s="172"/>
      <c r="CE8" s="47"/>
      <c r="CF8" s="47"/>
      <c r="CG8" s="172"/>
      <c r="CH8" s="47"/>
      <c r="CI8" s="172"/>
    </row>
    <row r="9" spans="1:88" s="7" customFormat="1" ht="29.25" customHeight="1" thickBot="1">
      <c r="A9" s="8" t="s">
        <v>21</v>
      </c>
      <c r="B9" s="281"/>
      <c r="C9" s="510" t="s">
        <v>16</v>
      </c>
      <c r="D9" s="496"/>
      <c r="E9" s="496"/>
      <c r="F9" s="496"/>
      <c r="G9" s="497"/>
      <c r="H9" s="498" t="s">
        <v>22</v>
      </c>
      <c r="I9" s="499"/>
      <c r="J9" s="499"/>
      <c r="K9" s="499"/>
      <c r="L9" s="511"/>
      <c r="M9" s="510" t="s">
        <v>23</v>
      </c>
      <c r="N9" s="496"/>
      <c r="O9" s="496"/>
      <c r="P9" s="496"/>
      <c r="Q9" s="497"/>
      <c r="R9" s="501" t="s">
        <v>24</v>
      </c>
      <c r="S9" s="502"/>
      <c r="T9" s="502"/>
      <c r="U9" s="502"/>
      <c r="V9" s="503"/>
      <c r="W9" s="495" t="s">
        <v>10</v>
      </c>
      <c r="X9" s="496"/>
      <c r="Y9" s="496"/>
      <c r="Z9" s="496"/>
      <c r="AA9" s="497"/>
      <c r="AB9" s="498" t="s">
        <v>9</v>
      </c>
      <c r="AC9" s="499"/>
      <c r="AD9" s="499"/>
      <c r="AE9" s="499"/>
      <c r="AF9" s="500"/>
      <c r="AG9" s="495" t="s">
        <v>15</v>
      </c>
      <c r="AH9" s="496"/>
      <c r="AI9" s="496"/>
      <c r="AJ9" s="496"/>
      <c r="AK9" s="497"/>
      <c r="AL9" s="501" t="s">
        <v>25</v>
      </c>
      <c r="AM9" s="502"/>
      <c r="AN9" s="502"/>
      <c r="AO9" s="502"/>
      <c r="AP9" s="503"/>
      <c r="AQ9" s="495" t="s">
        <v>8</v>
      </c>
      <c r="AR9" s="496"/>
      <c r="AS9" s="496"/>
      <c r="AT9" s="496"/>
      <c r="AU9" s="497"/>
      <c r="AV9" s="498" t="s">
        <v>12</v>
      </c>
      <c r="AW9" s="499"/>
      <c r="AX9" s="499"/>
      <c r="AY9" s="499"/>
      <c r="AZ9" s="500"/>
      <c r="BA9" s="495" t="s">
        <v>14</v>
      </c>
      <c r="BB9" s="496"/>
      <c r="BC9" s="496"/>
      <c r="BD9" s="496"/>
      <c r="BE9" s="497"/>
      <c r="BF9" s="501" t="s">
        <v>26</v>
      </c>
      <c r="BG9" s="502"/>
      <c r="BH9" s="502"/>
      <c r="BI9" s="502"/>
      <c r="BJ9" s="503"/>
      <c r="BK9" s="495" t="s">
        <v>27</v>
      </c>
      <c r="BL9" s="496"/>
      <c r="BM9" s="496"/>
      <c r="BN9" s="496"/>
      <c r="BO9" s="497"/>
      <c r="BP9" s="498" t="s">
        <v>17</v>
      </c>
      <c r="BQ9" s="499"/>
      <c r="BR9" s="499"/>
      <c r="BS9" s="499"/>
      <c r="BT9" s="500"/>
      <c r="BU9" s="495" t="s">
        <v>28</v>
      </c>
      <c r="BV9" s="496"/>
      <c r="BW9" s="496"/>
      <c r="BX9" s="496"/>
      <c r="BY9" s="497"/>
      <c r="BZ9" s="501" t="s">
        <v>29</v>
      </c>
      <c r="CA9" s="502"/>
      <c r="CB9" s="502"/>
      <c r="CC9" s="502"/>
      <c r="CD9" s="503"/>
      <c r="CE9" s="515">
        <v>2021</v>
      </c>
      <c r="CF9" s="516"/>
      <c r="CG9" s="516"/>
      <c r="CH9" s="516"/>
      <c r="CI9" s="516"/>
    </row>
    <row r="10" spans="1:88" s="17" customFormat="1" ht="13.15">
      <c r="A10" s="6" t="s">
        <v>30</v>
      </c>
      <c r="B10" s="277"/>
      <c r="C10" s="18" t="s">
        <v>31</v>
      </c>
      <c r="D10" s="21" t="s">
        <v>32</v>
      </c>
      <c r="E10" s="129" t="s">
        <v>33</v>
      </c>
      <c r="F10" s="125" t="s">
        <v>34</v>
      </c>
      <c r="G10" s="133" t="s">
        <v>35</v>
      </c>
      <c r="H10" s="25" t="s">
        <v>31</v>
      </c>
      <c r="I10" s="21" t="s">
        <v>32</v>
      </c>
      <c r="J10" s="129" t="s">
        <v>33</v>
      </c>
      <c r="K10" s="23" t="s">
        <v>34</v>
      </c>
      <c r="L10" s="133" t="s">
        <v>35</v>
      </c>
      <c r="M10" s="23" t="s">
        <v>31</v>
      </c>
      <c r="N10" s="21" t="s">
        <v>32</v>
      </c>
      <c r="O10" s="129" t="s">
        <v>33</v>
      </c>
      <c r="P10" s="23" t="s">
        <v>34</v>
      </c>
      <c r="Q10" s="133" t="s">
        <v>35</v>
      </c>
      <c r="R10" s="23" t="s">
        <v>31</v>
      </c>
      <c r="S10" s="21" t="s">
        <v>32</v>
      </c>
      <c r="T10" s="166" t="s">
        <v>33</v>
      </c>
      <c r="U10" s="45" t="s">
        <v>34</v>
      </c>
      <c r="V10" s="173" t="s">
        <v>35</v>
      </c>
      <c r="W10" s="23" t="s">
        <v>31</v>
      </c>
      <c r="X10" s="21" t="s">
        <v>32</v>
      </c>
      <c r="Y10" s="129" t="s">
        <v>33</v>
      </c>
      <c r="Z10" s="23" t="s">
        <v>34</v>
      </c>
      <c r="AA10" s="133" t="s">
        <v>35</v>
      </c>
      <c r="AB10" s="23" t="s">
        <v>31</v>
      </c>
      <c r="AC10" s="21" t="s">
        <v>32</v>
      </c>
      <c r="AD10" s="166" t="s">
        <v>33</v>
      </c>
      <c r="AE10" s="21" t="s">
        <v>34</v>
      </c>
      <c r="AF10" s="133" t="s">
        <v>35</v>
      </c>
      <c r="AG10" s="23" t="s">
        <v>31</v>
      </c>
      <c r="AH10" s="21" t="s">
        <v>32</v>
      </c>
      <c r="AI10" s="129" t="s">
        <v>33</v>
      </c>
      <c r="AJ10" s="23" t="s">
        <v>34</v>
      </c>
      <c r="AK10" s="133" t="s">
        <v>35</v>
      </c>
      <c r="AL10" s="23" t="s">
        <v>31</v>
      </c>
      <c r="AM10" s="21" t="s">
        <v>32</v>
      </c>
      <c r="AN10" s="166" t="s">
        <v>33</v>
      </c>
      <c r="AO10" s="45" t="s">
        <v>34</v>
      </c>
      <c r="AP10" s="173" t="s">
        <v>35</v>
      </c>
      <c r="AQ10" s="23" t="s">
        <v>31</v>
      </c>
      <c r="AR10" s="21" t="s">
        <v>32</v>
      </c>
      <c r="AS10" s="129" t="s">
        <v>33</v>
      </c>
      <c r="AT10" s="23" t="s">
        <v>34</v>
      </c>
      <c r="AU10" s="133" t="s">
        <v>35</v>
      </c>
      <c r="AV10" s="23" t="s">
        <v>31</v>
      </c>
      <c r="AW10" s="21" t="s">
        <v>32</v>
      </c>
      <c r="AX10" s="166" t="s">
        <v>33</v>
      </c>
      <c r="AY10" s="21" t="s">
        <v>34</v>
      </c>
      <c r="AZ10" s="133" t="s">
        <v>35</v>
      </c>
      <c r="BA10" s="23" t="s">
        <v>31</v>
      </c>
      <c r="BB10" s="21" t="s">
        <v>32</v>
      </c>
      <c r="BC10" s="129" t="s">
        <v>33</v>
      </c>
      <c r="BD10" s="23" t="s">
        <v>34</v>
      </c>
      <c r="BE10" s="133" t="s">
        <v>35</v>
      </c>
      <c r="BF10" s="23" t="s">
        <v>31</v>
      </c>
      <c r="BG10" s="21" t="s">
        <v>32</v>
      </c>
      <c r="BH10" s="166" t="s">
        <v>33</v>
      </c>
      <c r="BI10" s="45" t="s">
        <v>34</v>
      </c>
      <c r="BJ10" s="173" t="s">
        <v>35</v>
      </c>
      <c r="BK10" s="23" t="s">
        <v>31</v>
      </c>
      <c r="BL10" s="21" t="s">
        <v>32</v>
      </c>
      <c r="BM10" s="129" t="s">
        <v>33</v>
      </c>
      <c r="BN10" s="23" t="s">
        <v>34</v>
      </c>
      <c r="BO10" s="133" t="s">
        <v>35</v>
      </c>
      <c r="BP10" s="23" t="s">
        <v>31</v>
      </c>
      <c r="BQ10" s="21" t="s">
        <v>32</v>
      </c>
      <c r="BR10" s="166" t="s">
        <v>33</v>
      </c>
      <c r="BS10" s="21" t="s">
        <v>34</v>
      </c>
      <c r="BT10" s="133" t="s">
        <v>35</v>
      </c>
      <c r="BU10" s="23" t="s">
        <v>31</v>
      </c>
      <c r="BV10" s="21" t="s">
        <v>32</v>
      </c>
      <c r="BW10" s="129" t="s">
        <v>33</v>
      </c>
      <c r="BX10" s="23" t="s">
        <v>34</v>
      </c>
      <c r="BY10" s="133" t="s">
        <v>35</v>
      </c>
      <c r="BZ10" s="23" t="s">
        <v>31</v>
      </c>
      <c r="CA10" s="21" t="s">
        <v>32</v>
      </c>
      <c r="CB10" s="166" t="s">
        <v>33</v>
      </c>
      <c r="CC10" s="45" t="s">
        <v>34</v>
      </c>
      <c r="CD10" s="173" t="s">
        <v>35</v>
      </c>
      <c r="CE10" s="23" t="s">
        <v>31</v>
      </c>
      <c r="CF10" s="21" t="s">
        <v>32</v>
      </c>
      <c r="CG10" s="166" t="s">
        <v>33</v>
      </c>
      <c r="CH10" s="21" t="s">
        <v>34</v>
      </c>
      <c r="CI10" s="133" t="s">
        <v>35</v>
      </c>
    </row>
    <row r="11" spans="1:88" s="10" customFormat="1" ht="13.15">
      <c r="A11" s="9" t="s">
        <v>36</v>
      </c>
      <c r="B11" s="285">
        <v>0.22</v>
      </c>
      <c r="C11" s="79">
        <v>647182</v>
      </c>
      <c r="D11" s="80">
        <f ca="1">C11+RANDBETWEEN(10000,100000)</f>
        <v>694684</v>
      </c>
      <c r="E11" s="130">
        <f ca="1">IFERROR(C11/D11,"")</f>
        <v>0.93162070812052677</v>
      </c>
      <c r="F11" s="81">
        <f ca="1">C11+RANDBETWEEN(5000,50000)</f>
        <v>667484</v>
      </c>
      <c r="G11" s="130">
        <f ca="1">IFERROR(F11/D11,"")</f>
        <v>0.96084550673399705</v>
      </c>
      <c r="H11" s="82">
        <v>293666</v>
      </c>
      <c r="I11" s="90">
        <f ca="1">H11+RANDBETWEEN(10000,100000)</f>
        <v>341838</v>
      </c>
      <c r="J11" s="145">
        <f ca="1">IFERROR(H11/I11,"")</f>
        <v>0.85907944698950967</v>
      </c>
      <c r="K11" s="81">
        <f ca="1">H11+RANDBETWEEN(5000,50000)</f>
        <v>324412</v>
      </c>
      <c r="L11" s="145">
        <f ca="1">IFERROR(K11/I11,"")</f>
        <v>0.9490226364535248</v>
      </c>
      <c r="M11" s="83">
        <v>958027</v>
      </c>
      <c r="N11" s="80">
        <f ca="1">M11+RANDBETWEEN(10000,100000)</f>
        <v>1043921</v>
      </c>
      <c r="O11" s="130">
        <f ca="1">IFERROR(M11/N11,"")</f>
        <v>0.91771982745820802</v>
      </c>
      <c r="P11" s="81">
        <f ca="1">M11+RANDBETWEEN(5000,50000)</f>
        <v>995700</v>
      </c>
      <c r="Q11" s="130">
        <f ca="1">IFERROR(P11/N11,"")</f>
        <v>0.95380780729576276</v>
      </c>
      <c r="R11" s="84">
        <v>556966</v>
      </c>
      <c r="S11" s="85">
        <f ca="1">D11+I11+N11</f>
        <v>2080443</v>
      </c>
      <c r="T11" s="167">
        <f ca="1">IFERROR(R11/S11,"")</f>
        <v>0.26771509721727538</v>
      </c>
      <c r="U11" s="283">
        <f ca="1">F11+K11+P11</f>
        <v>1987596</v>
      </c>
      <c r="V11" s="167">
        <f ca="1">IFERROR(U11/S11,"")</f>
        <v>0.95537152423786664</v>
      </c>
      <c r="W11" s="79">
        <v>841619</v>
      </c>
      <c r="X11" s="80">
        <f ca="1">W11+RANDBETWEEN(10000,100000)</f>
        <v>916553</v>
      </c>
      <c r="Y11" s="130">
        <f ca="1">IFERROR(W11/X11,"")</f>
        <v>0.9182436803981876</v>
      </c>
      <c r="Z11" s="81">
        <f ca="1">W11+RANDBETWEEN(5000,50000)</f>
        <v>869107</v>
      </c>
      <c r="AA11" s="130">
        <f ca="1">IFERROR(Z11/X11,"")</f>
        <v>0.94823430832695976</v>
      </c>
      <c r="AB11" s="82">
        <v>322058</v>
      </c>
      <c r="AC11" s="90">
        <f ca="1">AB11+RANDBETWEEN(10000,100000)</f>
        <v>352409</v>
      </c>
      <c r="AD11" s="145">
        <f ca="1">IFERROR(AB11/AC11,"")</f>
        <v>0.91387563881739686</v>
      </c>
      <c r="AE11" s="81">
        <f ca="1">AB11+RANDBETWEEN(5000,50000)</f>
        <v>338446</v>
      </c>
      <c r="AF11" s="145">
        <f ca="1">IFERROR(AE11/AC11,"")</f>
        <v>0.96037842393355444</v>
      </c>
      <c r="AG11" s="83">
        <v>561945</v>
      </c>
      <c r="AH11" s="80">
        <f ca="1">AG11+RANDBETWEEN(10000,100000)</f>
        <v>630398</v>
      </c>
      <c r="AI11" s="130">
        <f ca="1">IFERROR(AG11/AH11,"")</f>
        <v>0.8914130438231086</v>
      </c>
      <c r="AJ11" s="81">
        <f ca="1">AG11+RANDBETWEEN(5000,50000)</f>
        <v>591224</v>
      </c>
      <c r="AK11" s="130">
        <f ca="1">IFERROR(AJ11/AH11,"")</f>
        <v>0.93785830538802473</v>
      </c>
      <c r="AL11" s="84">
        <v>578348</v>
      </c>
      <c r="AM11" s="85">
        <f ca="1">X11+AC11+AH11</f>
        <v>1899360</v>
      </c>
      <c r="AN11" s="167">
        <f ca="1">IFERROR(AL11/AM11,"")</f>
        <v>0.30449625136888214</v>
      </c>
      <c r="AO11" s="86">
        <f ca="1">Z11+AE11+AJ11</f>
        <v>1798777</v>
      </c>
      <c r="AP11" s="167">
        <f ca="1">IFERROR(AO11/AM11,"")</f>
        <v>0.94704374104961675</v>
      </c>
      <c r="AQ11" s="79">
        <v>749633</v>
      </c>
      <c r="AR11" s="80">
        <f ca="1">AQ11+RANDBETWEEN(10000,100000)</f>
        <v>765158</v>
      </c>
      <c r="AS11" s="130">
        <f ca="1">IFERROR(AQ11/AR11,"")</f>
        <v>0.97971007295225299</v>
      </c>
      <c r="AT11" s="81">
        <f ca="1">AQ11+RANDBETWEEN(5000,50000)</f>
        <v>778680</v>
      </c>
      <c r="AU11" s="130">
        <f ca="1">IFERROR(AT11/AR11,"")</f>
        <v>1.017672167055693</v>
      </c>
      <c r="AV11" s="82">
        <v>923430</v>
      </c>
      <c r="AW11" s="90">
        <f ca="1">AV11+RANDBETWEEN(10000,100000)</f>
        <v>952673</v>
      </c>
      <c r="AX11" s="145">
        <f ca="1">IFERROR(AV11/AW11,"")</f>
        <v>0.96930426284779769</v>
      </c>
      <c r="AY11" s="81">
        <f ca="1">AV11+RANDBETWEEN(5000,50000)</f>
        <v>960695</v>
      </c>
      <c r="AZ11" s="145">
        <f ca="1">IFERROR(AY11/AW11,"")</f>
        <v>1.0084205178482017</v>
      </c>
      <c r="BA11" s="83">
        <v>914912</v>
      </c>
      <c r="BB11" s="80">
        <f ca="1">BA11+RANDBETWEEN(10000,100000)</f>
        <v>996276</v>
      </c>
      <c r="BC11" s="130">
        <f ca="1">IFERROR(BA11/BB11,"")</f>
        <v>0.9183318678759701</v>
      </c>
      <c r="BD11" s="81">
        <f ca="1">BA11+RANDBETWEEN(5000,50000)</f>
        <v>951340</v>
      </c>
      <c r="BE11" s="130">
        <f ca="1">IFERROR(BD11/BB11,"")</f>
        <v>0.95489603282624491</v>
      </c>
      <c r="BF11" s="84">
        <v>388645</v>
      </c>
      <c r="BG11" s="85">
        <f ca="1">AR11+AW11+BB11</f>
        <v>2714107</v>
      </c>
      <c r="BH11" s="167">
        <f ca="1">IFERROR(BF11/BG11,"")</f>
        <v>0.14319442822261613</v>
      </c>
      <c r="BI11" s="86">
        <f ca="1">AT11+AY11+BD11</f>
        <v>2690715</v>
      </c>
      <c r="BJ11" s="167">
        <f ca="1">IFERROR(BI11/BG11,"")</f>
        <v>0.99138132726528472</v>
      </c>
      <c r="BK11" s="79">
        <v>383804</v>
      </c>
      <c r="BL11" s="80">
        <f ca="1">BK11+RANDBETWEEN(10000,100000)</f>
        <v>443897</v>
      </c>
      <c r="BM11" s="130">
        <f ca="1">IFERROR(BK11/BL11,"")</f>
        <v>0.8646240006127548</v>
      </c>
      <c r="BN11" s="81">
        <f ca="1">BK11+RANDBETWEEN(5000,50000)</f>
        <v>427063</v>
      </c>
      <c r="BO11" s="130">
        <f ca="1">IFERROR(BN11/BL11,"")</f>
        <v>0.9620767880837221</v>
      </c>
      <c r="BP11" s="82">
        <v>441285</v>
      </c>
      <c r="BQ11" s="90">
        <f ca="1">BP11+RANDBETWEEN(10000,100000)</f>
        <v>454292</v>
      </c>
      <c r="BR11" s="145">
        <f ca="1">IFERROR(BP11/BQ11,"")</f>
        <v>0.97136863515096017</v>
      </c>
      <c r="BS11" s="81">
        <f ca="1">BP11+RANDBETWEEN(5000,50000)</f>
        <v>452702</v>
      </c>
      <c r="BT11" s="145">
        <f ca="1">IFERROR(BS11/BQ11,"")</f>
        <v>0.9965000484270029</v>
      </c>
      <c r="BU11" s="83">
        <v>332316</v>
      </c>
      <c r="BV11" s="80">
        <f ca="1">BU11+RANDBETWEEN(10000,100000)</f>
        <v>415963</v>
      </c>
      <c r="BW11" s="130">
        <f ca="1">IFERROR(BU11/BV11,"")</f>
        <v>0.79890759514668375</v>
      </c>
      <c r="BX11" s="81">
        <f ca="1">BU11+RANDBETWEEN(5000,50000)</f>
        <v>381133</v>
      </c>
      <c r="BY11" s="130">
        <f ca="1">IFERROR(BX11/BV11,"")</f>
        <v>0.91626659101891272</v>
      </c>
      <c r="BZ11" s="84">
        <v>625981</v>
      </c>
      <c r="CA11" s="85">
        <f ca="1">BL11+BQ11+BV11</f>
        <v>1314152</v>
      </c>
      <c r="CB11" s="167">
        <f ca="1">IFERROR(BZ11/CA11,"")</f>
        <v>0.47633835355423115</v>
      </c>
      <c r="CC11" s="86">
        <f ca="1">BN11+BS11+BX11</f>
        <v>1260898</v>
      </c>
      <c r="CD11" s="167">
        <f ca="1">IFERROR(CC11/CA11,"")</f>
        <v>0.95947652935124705</v>
      </c>
      <c r="CE11" s="87">
        <v>134938</v>
      </c>
      <c r="CF11" s="88">
        <f ca="1">S11+AM11+BG11+CA11</f>
        <v>8008062</v>
      </c>
      <c r="CG11" s="213">
        <f ca="1">IFERROR(CE11/CF11,"")</f>
        <v>1.6850269141272883E-2</v>
      </c>
      <c r="CH11" s="89">
        <f t="shared" ref="CH11:CH30" ca="1" si="8">AO11+BI11+CC11+U11</f>
        <v>7737986</v>
      </c>
      <c r="CI11" s="145">
        <f ca="1">IFERROR(CH11/CF11,"")</f>
        <v>0.96627448688584083</v>
      </c>
    </row>
    <row r="12" spans="1:88" s="7" customFormat="1" ht="13.15">
      <c r="A12" s="11" t="s">
        <v>37</v>
      </c>
      <c r="B12" s="285">
        <v>9.8359901628621849E-2</v>
      </c>
      <c r="C12" s="79">
        <v>854254</v>
      </c>
      <c r="D12" s="80">
        <f t="shared" ref="D12:D30" ca="1" si="9">C12+RANDBETWEEN(10000,100000)</f>
        <v>898236</v>
      </c>
      <c r="E12" s="130">
        <f t="shared" ref="E12:E30" ca="1" si="10">IFERROR(C12/D12,"")</f>
        <v>0.95103513998548261</v>
      </c>
      <c r="F12" s="81">
        <f t="shared" ref="F12:F30" ca="1" si="11">C12+RANDBETWEEN(5000,50000)</f>
        <v>893890</v>
      </c>
      <c r="G12" s="130">
        <f t="shared" ref="G12:G30" ca="1" si="12">IFERROR(F12/D12,"")</f>
        <v>0.99516162790179863</v>
      </c>
      <c r="H12" s="82">
        <v>522508</v>
      </c>
      <c r="I12" s="90">
        <f t="shared" ref="I12:I30" ca="1" si="13">H12+RANDBETWEEN(10000,100000)</f>
        <v>533157</v>
      </c>
      <c r="J12" s="145">
        <f t="shared" ref="J12:J30" ca="1" si="14">IFERROR(H12/I12,"")</f>
        <v>0.98002652126859446</v>
      </c>
      <c r="K12" s="81">
        <f t="shared" ref="K12:K30" ca="1" si="15">H12+RANDBETWEEN(5000,50000)</f>
        <v>540325</v>
      </c>
      <c r="L12" s="145">
        <f t="shared" ref="L12:L30" ca="1" si="16">IFERROR(K12/I12,"")</f>
        <v>1.0134444450696511</v>
      </c>
      <c r="M12" s="83">
        <v>902921</v>
      </c>
      <c r="N12" s="80">
        <f t="shared" ref="N12:N30" ca="1" si="17">M12+RANDBETWEEN(10000,100000)</f>
        <v>958719</v>
      </c>
      <c r="O12" s="130">
        <f t="shared" ref="O12:O30" ca="1" si="18">IFERROR(M12/N12,"")</f>
        <v>0.94179942193698052</v>
      </c>
      <c r="P12" s="81">
        <f t="shared" ref="P12:P30" ca="1" si="19">M12+RANDBETWEEN(5000,50000)</f>
        <v>950692</v>
      </c>
      <c r="Q12" s="130">
        <f t="shared" ref="Q12:Q30" ca="1" si="20">IFERROR(P12/N12,"")</f>
        <v>0.9916273694377602</v>
      </c>
      <c r="R12" s="91">
        <v>795309</v>
      </c>
      <c r="S12" s="92">
        <f t="shared" ref="S12:S15" ca="1" si="21">D12+I12+N12</f>
        <v>2390112</v>
      </c>
      <c r="T12" s="167">
        <f t="shared" ref="T12:T30" ca="1" si="22">IFERROR(R12/S12,"")</f>
        <v>0.33274967867614574</v>
      </c>
      <c r="U12" s="283">
        <f t="shared" ref="U12:U15" ca="1" si="23">F12+K12+P12</f>
        <v>2384907</v>
      </c>
      <c r="V12" s="167">
        <f t="shared" ref="V12:V30" ca="1" si="24">IFERROR(U12/S12,"")</f>
        <v>0.99782227778447208</v>
      </c>
      <c r="W12" s="79">
        <v>337419</v>
      </c>
      <c r="X12" s="80">
        <f t="shared" ref="X12:X30" ca="1" si="25">W12+RANDBETWEEN(10000,100000)</f>
        <v>356837</v>
      </c>
      <c r="Y12" s="130">
        <f t="shared" ref="Y12:Y30" ca="1" si="26">IFERROR(W12/X12,"")</f>
        <v>0.94558299727886963</v>
      </c>
      <c r="Z12" s="81">
        <f t="shared" ref="Z12:Z30" ca="1" si="27">W12+RANDBETWEEN(5000,50000)</f>
        <v>368941</v>
      </c>
      <c r="AA12" s="130">
        <f t="shared" ref="AA12:AA30" ca="1" si="28">IFERROR(Z12/X12,"")</f>
        <v>1.0339202493015018</v>
      </c>
      <c r="AB12" s="82">
        <v>574069</v>
      </c>
      <c r="AC12" s="90">
        <f t="shared" ref="AC12:AC30" ca="1" si="29">AB12+RANDBETWEEN(10000,100000)</f>
        <v>619505</v>
      </c>
      <c r="AD12" s="145">
        <f t="shared" ref="AD12:AD30" ca="1" si="30">IFERROR(AB12/AC12,"")</f>
        <v>0.92665757338520272</v>
      </c>
      <c r="AE12" s="81">
        <f t="shared" ref="AE12:AE30" ca="1" si="31">AB12+RANDBETWEEN(5000,50000)</f>
        <v>582267</v>
      </c>
      <c r="AF12" s="145">
        <f t="shared" ref="AF12:AF30" ca="1" si="32">IFERROR(AE12/AC12,"")</f>
        <v>0.93989071920323486</v>
      </c>
      <c r="AG12" s="83">
        <v>739966</v>
      </c>
      <c r="AH12" s="80">
        <f t="shared" ref="AH12:AH30" ca="1" si="33">AG12+RANDBETWEEN(10000,100000)</f>
        <v>838479</v>
      </c>
      <c r="AI12" s="130">
        <f t="shared" ref="AI12:AI30" ca="1" si="34">IFERROR(AG12/AH12,"")</f>
        <v>0.8825098780052929</v>
      </c>
      <c r="AJ12" s="81">
        <f t="shared" ref="AJ12:AJ30" ca="1" si="35">AG12+RANDBETWEEN(5000,50000)</f>
        <v>784876</v>
      </c>
      <c r="AK12" s="130">
        <f t="shared" ref="AK12:AK30" ca="1" si="36">IFERROR(AJ12/AH12,"")</f>
        <v>0.93607114787609469</v>
      </c>
      <c r="AL12" s="91">
        <v>531266</v>
      </c>
      <c r="AM12" s="92">
        <f t="shared" ref="AM12:AM15" ca="1" si="37">X12+AC12+AH12</f>
        <v>1814821</v>
      </c>
      <c r="AN12" s="167">
        <f t="shared" ref="AN12:AN30" ca="1" si="38">IFERROR(AL12/AM12,"")</f>
        <v>0.29273741046637658</v>
      </c>
      <c r="AO12" s="86">
        <f t="shared" ref="AO12:AO30" ca="1" si="39">Z12+AE12+AJ12</f>
        <v>1736084</v>
      </c>
      <c r="AP12" s="167">
        <f t="shared" ref="AP12:AP30" ca="1" si="40">IFERROR(AO12/AM12,"")</f>
        <v>0.95661445398747313</v>
      </c>
      <c r="AQ12" s="79">
        <v>163930</v>
      </c>
      <c r="AR12" s="80">
        <f t="shared" ref="AR12:AR30" ca="1" si="41">AQ12+RANDBETWEEN(10000,100000)</f>
        <v>201614</v>
      </c>
      <c r="AS12" s="130">
        <f t="shared" ref="AS12:AS30" ca="1" si="42">IFERROR(AQ12/AR12,"")</f>
        <v>0.81308837679923018</v>
      </c>
      <c r="AT12" s="81">
        <f t="shared" ref="AT12:AT30" ca="1" si="43">AQ12+RANDBETWEEN(5000,50000)</f>
        <v>170782</v>
      </c>
      <c r="AU12" s="130">
        <f t="shared" ref="AU12:AU30" ca="1" si="44">IFERROR(AT12/AR12,"")</f>
        <v>0.84707411191683113</v>
      </c>
      <c r="AV12" s="82">
        <v>797323</v>
      </c>
      <c r="AW12" s="90">
        <f t="shared" ref="AW12:AW30" ca="1" si="45">AV12+RANDBETWEEN(10000,100000)</f>
        <v>851313</v>
      </c>
      <c r="AX12" s="145">
        <f t="shared" ref="AX12:AX30" ca="1" si="46">IFERROR(AV12/AW12,"")</f>
        <v>0.93658031769748606</v>
      </c>
      <c r="AY12" s="81">
        <f t="shared" ref="AY12:AY30" ca="1" si="47">AV12+RANDBETWEEN(5000,50000)</f>
        <v>809597</v>
      </c>
      <c r="AZ12" s="145">
        <f t="shared" ref="AZ12:AZ30" ca="1" si="48">IFERROR(AY12/AW12,"")</f>
        <v>0.95099804654692222</v>
      </c>
      <c r="BA12" s="83">
        <v>282951</v>
      </c>
      <c r="BB12" s="80">
        <f t="shared" ref="BB12:BB30" ca="1" si="49">BA12+RANDBETWEEN(10000,100000)</f>
        <v>324479</v>
      </c>
      <c r="BC12" s="130">
        <f t="shared" ref="BC12:BC30" ca="1" si="50">IFERROR(BA12/BB12,"")</f>
        <v>0.87201637085913108</v>
      </c>
      <c r="BD12" s="81">
        <f t="shared" ref="BD12:BD30" ca="1" si="51">BA12+RANDBETWEEN(5000,50000)</f>
        <v>292281</v>
      </c>
      <c r="BE12" s="130">
        <f t="shared" ref="BE12:BE30" ca="1" si="52">IFERROR(BD12/BB12,"")</f>
        <v>0.90077015769895741</v>
      </c>
      <c r="BF12" s="91">
        <v>892331</v>
      </c>
      <c r="BG12" s="92">
        <f t="shared" ref="BG12:BG30" ca="1" si="53">AR12+AW12+BB12</f>
        <v>1377406</v>
      </c>
      <c r="BH12" s="167">
        <f t="shared" ref="BH12:BH15" ca="1" si="54">IFERROR(BF12/BG12,"")</f>
        <v>0.64783440757481814</v>
      </c>
      <c r="BI12" s="86">
        <f t="shared" ref="BI12:BI30" ca="1" si="55">AT12+AY12+BD12</f>
        <v>1272660</v>
      </c>
      <c r="BJ12" s="167">
        <f t="shared" ref="BJ12:BJ30" ca="1" si="56">IFERROR(BI12/BG12,"")</f>
        <v>0.92395415730728625</v>
      </c>
      <c r="BK12" s="79">
        <v>533666</v>
      </c>
      <c r="BL12" s="80">
        <f t="shared" ref="BL12:BL30" ca="1" si="57">BK12+RANDBETWEEN(10000,100000)</f>
        <v>629580</v>
      </c>
      <c r="BM12" s="130">
        <f t="shared" ref="BM12:BM30" ca="1" si="58">IFERROR(BK12/BL12,"")</f>
        <v>0.84765399154992216</v>
      </c>
      <c r="BN12" s="81">
        <f t="shared" ref="BN12:BN30" ca="1" si="59">BK12+RANDBETWEEN(5000,50000)</f>
        <v>555168</v>
      </c>
      <c r="BO12" s="130">
        <f t="shared" ref="BO12:BO30" ca="1" si="60">IFERROR(BN12/BL12,"")</f>
        <v>0.8818069188983132</v>
      </c>
      <c r="BP12" s="82"/>
      <c r="BQ12" s="90">
        <f t="shared" ref="BQ12:BQ30" ca="1" si="61">BP12+RANDBETWEEN(10000,100000)</f>
        <v>58951</v>
      </c>
      <c r="BR12" s="145">
        <f t="shared" ref="BR12:BR30" ca="1" si="62">IFERROR(BP12/BQ12,"")</f>
        <v>0</v>
      </c>
      <c r="BS12" s="81">
        <f t="shared" ref="BS12:BS30" ca="1" si="63">BP12+RANDBETWEEN(5000,50000)</f>
        <v>40687</v>
      </c>
      <c r="BT12" s="145">
        <f t="shared" ref="BT12:BT30" ca="1" si="64">IFERROR(BS12/BQ12,"")</f>
        <v>0.69018337263150753</v>
      </c>
      <c r="BU12" s="83"/>
      <c r="BV12" s="80">
        <f t="shared" ref="BV12:BV30" ca="1" si="65">BU12+RANDBETWEEN(10000,100000)</f>
        <v>79351</v>
      </c>
      <c r="BW12" s="130">
        <f t="shared" ref="BW12:BW30" ca="1" si="66">IFERROR(BU12/BV12,"")</f>
        <v>0</v>
      </c>
      <c r="BX12" s="81">
        <f t="shared" ref="BX12:BX30" ca="1" si="67">BU12+RANDBETWEEN(5000,50000)</f>
        <v>7960</v>
      </c>
      <c r="BY12" s="130">
        <f t="shared" ref="BY12:BY30" ca="1" si="68">IFERROR(BX12/BV12,"")</f>
        <v>0.10031379566735139</v>
      </c>
      <c r="BZ12" s="91">
        <v>841209</v>
      </c>
      <c r="CA12" s="92">
        <f t="shared" ref="CA12:CA30" ca="1" si="69">BL12+BQ12+BV12</f>
        <v>767882</v>
      </c>
      <c r="CB12" s="167">
        <f t="shared" ref="CB12:CB15" ca="1" si="70">IFERROR(BZ12/CA12,"")</f>
        <v>1.0954925366136985</v>
      </c>
      <c r="CC12" s="86">
        <f t="shared" ref="CC12:CC30" ca="1" si="71">BN12+BS12+BX12</f>
        <v>603815</v>
      </c>
      <c r="CD12" s="167">
        <f t="shared" ref="CD12:CD30" ca="1" si="72">IFERROR(CC12/CA12,"")</f>
        <v>0.78633826551475361</v>
      </c>
      <c r="CE12" s="93">
        <v>286329</v>
      </c>
      <c r="CF12" s="88">
        <f t="shared" ref="CF12:CF15" ca="1" si="73">S12+AM12+BG12+CA12</f>
        <v>6350221</v>
      </c>
      <c r="CG12" s="214">
        <f t="shared" ref="CG12:CG30" ca="1" si="74">IFERROR(CE12/CF12,"")</f>
        <v>4.508961184185558E-2</v>
      </c>
      <c r="CH12" s="89">
        <f t="shared" ca="1" si="8"/>
        <v>5997466</v>
      </c>
      <c r="CI12" s="145">
        <f t="shared" ref="CI12:CI30" ca="1" si="75">IFERROR(CH12/CF12,"")</f>
        <v>0.9444499648122483</v>
      </c>
    </row>
    <row r="13" spans="1:88" s="7" customFormat="1" ht="13.15">
      <c r="A13" s="11" t="s">
        <v>59</v>
      </c>
      <c r="B13" s="285">
        <v>9.8359901628621849E-2</v>
      </c>
      <c r="C13" s="79"/>
      <c r="D13" s="80">
        <f t="shared" ca="1" si="9"/>
        <v>63515</v>
      </c>
      <c r="E13" s="130">
        <f t="shared" ca="1" si="10"/>
        <v>0</v>
      </c>
      <c r="F13" s="81">
        <f t="shared" ca="1" si="11"/>
        <v>27441</v>
      </c>
      <c r="G13" s="130">
        <f t="shared" ca="1" si="12"/>
        <v>0.43203967566716522</v>
      </c>
      <c r="H13" s="82"/>
      <c r="I13" s="90">
        <f t="shared" ca="1" si="13"/>
        <v>97260</v>
      </c>
      <c r="J13" s="145">
        <f t="shared" ca="1" si="14"/>
        <v>0</v>
      </c>
      <c r="K13" s="81">
        <f t="shared" ca="1" si="15"/>
        <v>15251</v>
      </c>
      <c r="L13" s="145">
        <f t="shared" ca="1" si="16"/>
        <v>0.15680649804647337</v>
      </c>
      <c r="M13" s="83"/>
      <c r="N13" s="80">
        <f t="shared" ca="1" si="17"/>
        <v>13468</v>
      </c>
      <c r="O13" s="130">
        <f t="shared" ca="1" si="18"/>
        <v>0</v>
      </c>
      <c r="P13" s="81">
        <f t="shared" ca="1" si="19"/>
        <v>24238</v>
      </c>
      <c r="Q13" s="130">
        <f t="shared" ca="1" si="20"/>
        <v>1.7996732996732996</v>
      </c>
      <c r="R13" s="94"/>
      <c r="S13" s="92">
        <f t="shared" ca="1" si="21"/>
        <v>174243</v>
      </c>
      <c r="T13" s="167">
        <f t="shared" ca="1" si="22"/>
        <v>0</v>
      </c>
      <c r="U13" s="283">
        <f t="shared" ca="1" si="23"/>
        <v>66930</v>
      </c>
      <c r="V13" s="167">
        <f t="shared" ca="1" si="24"/>
        <v>0.38411873073810715</v>
      </c>
      <c r="W13" s="79"/>
      <c r="X13" s="80">
        <f t="shared" ca="1" si="25"/>
        <v>60353</v>
      </c>
      <c r="Y13" s="130">
        <f t="shared" ca="1" si="26"/>
        <v>0</v>
      </c>
      <c r="Z13" s="81">
        <f t="shared" ca="1" si="27"/>
        <v>5290</v>
      </c>
      <c r="AA13" s="130">
        <f t="shared" ca="1" si="28"/>
        <v>8.7650986694944741E-2</v>
      </c>
      <c r="AB13" s="82"/>
      <c r="AC13" s="90">
        <f t="shared" ca="1" si="29"/>
        <v>12458</v>
      </c>
      <c r="AD13" s="145">
        <f t="shared" ca="1" si="30"/>
        <v>0</v>
      </c>
      <c r="AE13" s="81">
        <f t="shared" ca="1" si="31"/>
        <v>16877</v>
      </c>
      <c r="AF13" s="145">
        <f t="shared" ca="1" si="32"/>
        <v>1.3547118317546958</v>
      </c>
      <c r="AG13" s="83"/>
      <c r="AH13" s="80">
        <f t="shared" ca="1" si="33"/>
        <v>88312</v>
      </c>
      <c r="AI13" s="130">
        <f t="shared" ca="1" si="34"/>
        <v>0</v>
      </c>
      <c r="AJ13" s="81">
        <f t="shared" ca="1" si="35"/>
        <v>43076</v>
      </c>
      <c r="AK13" s="130">
        <f t="shared" ca="1" si="36"/>
        <v>0.48777063139777155</v>
      </c>
      <c r="AL13" s="94"/>
      <c r="AM13" s="92">
        <f t="shared" ca="1" si="37"/>
        <v>161123</v>
      </c>
      <c r="AN13" s="167">
        <f t="shared" ca="1" si="38"/>
        <v>0</v>
      </c>
      <c r="AO13" s="86">
        <f t="shared" ca="1" si="39"/>
        <v>65243</v>
      </c>
      <c r="AP13" s="167">
        <f t="shared" ca="1" si="40"/>
        <v>0.40492667092842116</v>
      </c>
      <c r="AQ13" s="79"/>
      <c r="AR13" s="80">
        <f t="shared" ca="1" si="41"/>
        <v>89421</v>
      </c>
      <c r="AS13" s="130">
        <f t="shared" ca="1" si="42"/>
        <v>0</v>
      </c>
      <c r="AT13" s="81">
        <f t="shared" ca="1" si="43"/>
        <v>23721</v>
      </c>
      <c r="AU13" s="130">
        <f t="shared" ca="1" si="44"/>
        <v>0.26527325795953971</v>
      </c>
      <c r="AV13" s="82"/>
      <c r="AW13" s="90">
        <f t="shared" ca="1" si="45"/>
        <v>21412</v>
      </c>
      <c r="AX13" s="145">
        <f t="shared" ca="1" si="46"/>
        <v>0</v>
      </c>
      <c r="AY13" s="81">
        <f t="shared" ca="1" si="47"/>
        <v>13377</v>
      </c>
      <c r="AZ13" s="145">
        <f t="shared" ca="1" si="48"/>
        <v>0.62474313469082754</v>
      </c>
      <c r="BA13" s="83"/>
      <c r="BB13" s="80">
        <f t="shared" ca="1" si="49"/>
        <v>78696</v>
      </c>
      <c r="BC13" s="130">
        <f t="shared" ca="1" si="50"/>
        <v>0</v>
      </c>
      <c r="BD13" s="81">
        <f t="shared" ca="1" si="51"/>
        <v>27813</v>
      </c>
      <c r="BE13" s="130">
        <f t="shared" ca="1" si="52"/>
        <v>0.35342329978652026</v>
      </c>
      <c r="BF13" s="94"/>
      <c r="BG13" s="92">
        <f t="shared" ca="1" si="53"/>
        <v>189529</v>
      </c>
      <c r="BH13" s="167">
        <f t="shared" ca="1" si="54"/>
        <v>0</v>
      </c>
      <c r="BI13" s="86">
        <f t="shared" ca="1" si="55"/>
        <v>64911</v>
      </c>
      <c r="BJ13" s="167">
        <f t="shared" ca="1" si="56"/>
        <v>0.34248584649314878</v>
      </c>
      <c r="BK13" s="79"/>
      <c r="BL13" s="80">
        <f t="shared" ca="1" si="57"/>
        <v>41951</v>
      </c>
      <c r="BM13" s="130">
        <f t="shared" ca="1" si="58"/>
        <v>0</v>
      </c>
      <c r="BN13" s="81">
        <f t="shared" ca="1" si="59"/>
        <v>49790</v>
      </c>
      <c r="BO13" s="130">
        <f t="shared" ca="1" si="60"/>
        <v>1.1868608614812519</v>
      </c>
      <c r="BP13" s="82"/>
      <c r="BQ13" s="90">
        <f t="shared" ca="1" si="61"/>
        <v>14162</v>
      </c>
      <c r="BR13" s="145">
        <f t="shared" ca="1" si="62"/>
        <v>0</v>
      </c>
      <c r="BS13" s="81">
        <f t="shared" ca="1" si="63"/>
        <v>18662</v>
      </c>
      <c r="BT13" s="145">
        <f t="shared" ca="1" si="64"/>
        <v>1.317751729981641</v>
      </c>
      <c r="BU13" s="83"/>
      <c r="BV13" s="80">
        <f t="shared" ca="1" si="65"/>
        <v>88908</v>
      </c>
      <c r="BW13" s="130">
        <f t="shared" ca="1" si="66"/>
        <v>0</v>
      </c>
      <c r="BX13" s="81">
        <f t="shared" ca="1" si="67"/>
        <v>9222</v>
      </c>
      <c r="BY13" s="130">
        <f t="shared" ca="1" si="68"/>
        <v>0.10372519908219732</v>
      </c>
      <c r="BZ13" s="94"/>
      <c r="CA13" s="92">
        <f t="shared" ca="1" si="69"/>
        <v>145021</v>
      </c>
      <c r="CB13" s="167">
        <f t="shared" ca="1" si="70"/>
        <v>0</v>
      </c>
      <c r="CC13" s="86">
        <f t="shared" ca="1" si="71"/>
        <v>77674</v>
      </c>
      <c r="CD13" s="167">
        <f t="shared" ca="1" si="72"/>
        <v>0.53560518821412073</v>
      </c>
      <c r="CE13" s="93"/>
      <c r="CF13" s="88">
        <f t="shared" ca="1" si="73"/>
        <v>669916</v>
      </c>
      <c r="CG13" s="214">
        <f t="shared" ca="1" si="74"/>
        <v>0</v>
      </c>
      <c r="CH13" s="89">
        <f t="shared" ca="1" si="8"/>
        <v>274758</v>
      </c>
      <c r="CI13" s="145">
        <f t="shared" ca="1" si="75"/>
        <v>0.41013798744917274</v>
      </c>
    </row>
    <row r="14" spans="1:88" s="7" customFormat="1" ht="13.15">
      <c r="A14" s="11" t="s">
        <v>38</v>
      </c>
      <c r="B14" s="285">
        <v>9.8359901628621849E-2</v>
      </c>
      <c r="C14" s="79">
        <v>426906</v>
      </c>
      <c r="D14" s="80">
        <f t="shared" ca="1" si="9"/>
        <v>484720</v>
      </c>
      <c r="E14" s="130">
        <f t="shared" ca="1" si="10"/>
        <v>0.88072701765967987</v>
      </c>
      <c r="F14" s="81">
        <f t="shared" ca="1" si="11"/>
        <v>432079</v>
      </c>
      <c r="G14" s="130">
        <f t="shared" ca="1" si="12"/>
        <v>0.89139915827694338</v>
      </c>
      <c r="H14" s="82">
        <v>340321</v>
      </c>
      <c r="I14" s="90">
        <f t="shared" ca="1" si="13"/>
        <v>439179</v>
      </c>
      <c r="J14" s="145">
        <f t="shared" ca="1" si="14"/>
        <v>0.77490271620455442</v>
      </c>
      <c r="K14" s="81">
        <f t="shared" ca="1" si="15"/>
        <v>364895</v>
      </c>
      <c r="L14" s="145">
        <f t="shared" ca="1" si="16"/>
        <v>0.83085712203907747</v>
      </c>
      <c r="M14" s="83">
        <v>145871</v>
      </c>
      <c r="N14" s="80">
        <f t="shared" ca="1" si="17"/>
        <v>156349</v>
      </c>
      <c r="O14" s="130">
        <f t="shared" ca="1" si="18"/>
        <v>0.9329832618053201</v>
      </c>
      <c r="P14" s="81">
        <f t="shared" ca="1" si="19"/>
        <v>166873</v>
      </c>
      <c r="Q14" s="130">
        <f t="shared" ca="1" si="20"/>
        <v>1.0673109517809516</v>
      </c>
      <c r="R14" s="94">
        <v>349442</v>
      </c>
      <c r="S14" s="92">
        <f t="shared" ca="1" si="21"/>
        <v>1080248</v>
      </c>
      <c r="T14" s="167">
        <f t="shared" ca="1" si="22"/>
        <v>0.32348312609697033</v>
      </c>
      <c r="U14" s="283">
        <f t="shared" ca="1" si="23"/>
        <v>963847</v>
      </c>
      <c r="V14" s="167">
        <f t="shared" ca="1" si="24"/>
        <v>0.89224603979826855</v>
      </c>
      <c r="W14" s="79">
        <v>213665</v>
      </c>
      <c r="X14" s="80">
        <f t="shared" ca="1" si="25"/>
        <v>262803</v>
      </c>
      <c r="Y14" s="130">
        <f t="shared" ca="1" si="26"/>
        <v>0.81302344341579058</v>
      </c>
      <c r="Z14" s="81">
        <f t="shared" ca="1" si="27"/>
        <v>228254</v>
      </c>
      <c r="AA14" s="130">
        <f t="shared" ca="1" si="28"/>
        <v>0.86853650833514073</v>
      </c>
      <c r="AB14" s="82">
        <v>843806</v>
      </c>
      <c r="AC14" s="90">
        <f t="shared" ca="1" si="29"/>
        <v>855702</v>
      </c>
      <c r="AD14" s="145">
        <f t="shared" ca="1" si="30"/>
        <v>0.98609796401083549</v>
      </c>
      <c r="AE14" s="81">
        <f t="shared" ca="1" si="31"/>
        <v>888689</v>
      </c>
      <c r="AF14" s="145">
        <f t="shared" ca="1" si="32"/>
        <v>1.0385496352702226</v>
      </c>
      <c r="AG14" s="83">
        <v>772965</v>
      </c>
      <c r="AH14" s="80">
        <f t="shared" ca="1" si="33"/>
        <v>792113</v>
      </c>
      <c r="AI14" s="130">
        <f t="shared" ca="1" si="34"/>
        <v>0.97582668129420924</v>
      </c>
      <c r="AJ14" s="81">
        <f t="shared" ca="1" si="35"/>
        <v>802376</v>
      </c>
      <c r="AK14" s="130">
        <f t="shared" ca="1" si="36"/>
        <v>1.0129564847439696</v>
      </c>
      <c r="AL14" s="94">
        <v>796705</v>
      </c>
      <c r="AM14" s="92">
        <f t="shared" ca="1" si="37"/>
        <v>1910618</v>
      </c>
      <c r="AN14" s="167">
        <f t="shared" ca="1" si="38"/>
        <v>0.41698811588711088</v>
      </c>
      <c r="AO14" s="86">
        <f t="shared" ca="1" si="39"/>
        <v>1919319</v>
      </c>
      <c r="AP14" s="167">
        <f t="shared" ca="1" si="40"/>
        <v>1.0045540238812782</v>
      </c>
      <c r="AQ14" s="79">
        <v>267812</v>
      </c>
      <c r="AR14" s="80">
        <f t="shared" ca="1" si="41"/>
        <v>361704</v>
      </c>
      <c r="AS14" s="130">
        <f t="shared" ca="1" si="42"/>
        <v>0.74041757901488514</v>
      </c>
      <c r="AT14" s="81">
        <f t="shared" ca="1" si="43"/>
        <v>276002</v>
      </c>
      <c r="AU14" s="130">
        <f t="shared" ca="1" si="44"/>
        <v>0.7630604029814434</v>
      </c>
      <c r="AV14" s="82">
        <v>896094</v>
      </c>
      <c r="AW14" s="90">
        <f t="shared" ca="1" si="45"/>
        <v>952020</v>
      </c>
      <c r="AX14" s="145">
        <f t="shared" ca="1" si="46"/>
        <v>0.94125543581017201</v>
      </c>
      <c r="AY14" s="81">
        <f t="shared" ca="1" si="47"/>
        <v>912581</v>
      </c>
      <c r="AZ14" s="145">
        <f t="shared" ca="1" si="48"/>
        <v>0.95857334929938443</v>
      </c>
      <c r="BA14" s="83">
        <v>365353</v>
      </c>
      <c r="BB14" s="80">
        <f t="shared" ca="1" si="49"/>
        <v>389377</v>
      </c>
      <c r="BC14" s="130">
        <f t="shared" ca="1" si="50"/>
        <v>0.93830144050624464</v>
      </c>
      <c r="BD14" s="81">
        <f t="shared" ca="1" si="51"/>
        <v>412384</v>
      </c>
      <c r="BE14" s="130">
        <f t="shared" ca="1" si="52"/>
        <v>1.0590866948998015</v>
      </c>
      <c r="BF14" s="94">
        <v>881183</v>
      </c>
      <c r="BG14" s="92">
        <f t="shared" ca="1" si="53"/>
        <v>1703101</v>
      </c>
      <c r="BH14" s="167">
        <f t="shared" ca="1" si="54"/>
        <v>0.51739914426684031</v>
      </c>
      <c r="BI14" s="86">
        <f t="shared" ca="1" si="55"/>
        <v>1600967</v>
      </c>
      <c r="BJ14" s="167">
        <f t="shared" ca="1" si="56"/>
        <v>0.94003056777020266</v>
      </c>
      <c r="BK14" s="79">
        <v>429398</v>
      </c>
      <c r="BL14" s="80">
        <f t="shared" ca="1" si="57"/>
        <v>462299</v>
      </c>
      <c r="BM14" s="130">
        <f t="shared" ca="1" si="58"/>
        <v>0.92883177337610512</v>
      </c>
      <c r="BN14" s="81">
        <f t="shared" ca="1" si="59"/>
        <v>477640</v>
      </c>
      <c r="BO14" s="130">
        <f t="shared" ca="1" si="60"/>
        <v>1.0331841513825468</v>
      </c>
      <c r="BP14" s="82">
        <v>276407</v>
      </c>
      <c r="BQ14" s="90">
        <f t="shared" ca="1" si="61"/>
        <v>312182</v>
      </c>
      <c r="BR14" s="145">
        <f t="shared" ca="1" si="62"/>
        <v>0.8854033864860883</v>
      </c>
      <c r="BS14" s="81">
        <f t="shared" ca="1" si="63"/>
        <v>323599</v>
      </c>
      <c r="BT14" s="145">
        <f t="shared" ca="1" si="64"/>
        <v>1.0365716152757045</v>
      </c>
      <c r="BU14" s="83">
        <v>963284</v>
      </c>
      <c r="BV14" s="80">
        <f t="shared" ca="1" si="65"/>
        <v>1003789</v>
      </c>
      <c r="BW14" s="130">
        <f t="shared" ca="1" si="66"/>
        <v>0.95964789412914464</v>
      </c>
      <c r="BX14" s="81">
        <f t="shared" ca="1" si="67"/>
        <v>971519</v>
      </c>
      <c r="BY14" s="130">
        <f t="shared" ca="1" si="68"/>
        <v>0.96785180949382787</v>
      </c>
      <c r="BZ14" s="94">
        <v>581725</v>
      </c>
      <c r="CA14" s="92">
        <f t="shared" ca="1" si="69"/>
        <v>1778270</v>
      </c>
      <c r="CB14" s="167">
        <f t="shared" ca="1" si="70"/>
        <v>0.32712973845366566</v>
      </c>
      <c r="CC14" s="86">
        <f t="shared" ca="1" si="71"/>
        <v>1772758</v>
      </c>
      <c r="CD14" s="167">
        <f t="shared" ca="1" si="72"/>
        <v>0.99690035821331968</v>
      </c>
      <c r="CE14" s="93">
        <v>565386</v>
      </c>
      <c r="CF14" s="88">
        <f t="shared" ca="1" si="73"/>
        <v>6472237</v>
      </c>
      <c r="CG14" s="214">
        <f t="shared" ca="1" si="74"/>
        <v>8.7355577368381288E-2</v>
      </c>
      <c r="CH14" s="89">
        <f t="shared" ca="1" si="8"/>
        <v>6256891</v>
      </c>
      <c r="CI14" s="145">
        <f t="shared" ca="1" si="75"/>
        <v>0.96672773262165768</v>
      </c>
    </row>
    <row r="15" spans="1:88" s="7" customFormat="1" ht="13.15">
      <c r="A15" s="11" t="s">
        <v>39</v>
      </c>
      <c r="B15" s="285">
        <v>9.8359901628621849E-2</v>
      </c>
      <c r="C15" s="79"/>
      <c r="D15" s="80">
        <f t="shared" ca="1" si="9"/>
        <v>20502</v>
      </c>
      <c r="E15" s="130">
        <f t="shared" ca="1" si="10"/>
        <v>0</v>
      </c>
      <c r="F15" s="81">
        <f t="shared" ca="1" si="11"/>
        <v>34351</v>
      </c>
      <c r="G15" s="130">
        <f t="shared" ca="1" si="12"/>
        <v>1.6754950736513512</v>
      </c>
      <c r="H15" s="82">
        <v>360979</v>
      </c>
      <c r="I15" s="90">
        <f t="shared" ca="1" si="13"/>
        <v>399313</v>
      </c>
      <c r="J15" s="145">
        <f t="shared" ca="1" si="14"/>
        <v>0.90400012020645459</v>
      </c>
      <c r="K15" s="81">
        <f t="shared" ca="1" si="15"/>
        <v>400725</v>
      </c>
      <c r="L15" s="145">
        <f t="shared" ca="1" si="16"/>
        <v>1.0035360732057308</v>
      </c>
      <c r="M15" s="83">
        <v>841657</v>
      </c>
      <c r="N15" s="80">
        <f t="shared" ca="1" si="17"/>
        <v>879990</v>
      </c>
      <c r="O15" s="130">
        <f t="shared" ca="1" si="18"/>
        <v>0.95643927771906501</v>
      </c>
      <c r="P15" s="81">
        <f t="shared" ca="1" si="19"/>
        <v>864283</v>
      </c>
      <c r="Q15" s="130">
        <f t="shared" ca="1" si="20"/>
        <v>0.9821509335333356</v>
      </c>
      <c r="R15" s="94">
        <v>537459</v>
      </c>
      <c r="S15" s="92">
        <f t="shared" ca="1" si="21"/>
        <v>1299805</v>
      </c>
      <c r="T15" s="167">
        <f t="shared" ca="1" si="22"/>
        <v>0.41349202380357053</v>
      </c>
      <c r="U15" s="283">
        <f t="shared" ca="1" si="23"/>
        <v>1299359</v>
      </c>
      <c r="V15" s="167">
        <f t="shared" ca="1" si="24"/>
        <v>0.99965687160766425</v>
      </c>
      <c r="W15" s="79">
        <v>469894</v>
      </c>
      <c r="X15" s="80">
        <f t="shared" ca="1" si="25"/>
        <v>490831</v>
      </c>
      <c r="Y15" s="130">
        <f t="shared" ca="1" si="26"/>
        <v>0.9573437700552736</v>
      </c>
      <c r="Z15" s="81">
        <f t="shared" ca="1" si="27"/>
        <v>477218</v>
      </c>
      <c r="AA15" s="130">
        <f t="shared" ca="1" si="28"/>
        <v>0.97226540295947073</v>
      </c>
      <c r="AB15" s="82"/>
      <c r="AC15" s="90">
        <f t="shared" ca="1" si="29"/>
        <v>87334</v>
      </c>
      <c r="AD15" s="145">
        <f t="shared" ca="1" si="30"/>
        <v>0</v>
      </c>
      <c r="AE15" s="81">
        <f t="shared" ca="1" si="31"/>
        <v>17801</v>
      </c>
      <c r="AF15" s="145">
        <f t="shared" ca="1" si="32"/>
        <v>0.20382668834589049</v>
      </c>
      <c r="AG15" s="83"/>
      <c r="AH15" s="80">
        <f t="shared" ca="1" si="33"/>
        <v>91686</v>
      </c>
      <c r="AI15" s="130">
        <f t="shared" ca="1" si="34"/>
        <v>0</v>
      </c>
      <c r="AJ15" s="81">
        <f t="shared" ca="1" si="35"/>
        <v>16067</v>
      </c>
      <c r="AK15" s="130">
        <f t="shared" ca="1" si="36"/>
        <v>0.17523940405296337</v>
      </c>
      <c r="AL15" s="94">
        <v>567067</v>
      </c>
      <c r="AM15" s="92">
        <f t="shared" ca="1" si="37"/>
        <v>669851</v>
      </c>
      <c r="AN15" s="167">
        <f t="shared" ca="1" si="38"/>
        <v>0.84655692086747647</v>
      </c>
      <c r="AO15" s="86">
        <f t="shared" ca="1" si="39"/>
        <v>511086</v>
      </c>
      <c r="AP15" s="167">
        <f t="shared" ca="1" si="40"/>
        <v>0.76298460403880863</v>
      </c>
      <c r="AQ15" s="79"/>
      <c r="AR15" s="80">
        <f t="shared" ca="1" si="41"/>
        <v>32752</v>
      </c>
      <c r="AS15" s="130">
        <f t="shared" ca="1" si="42"/>
        <v>0</v>
      </c>
      <c r="AT15" s="81">
        <f t="shared" ca="1" si="43"/>
        <v>31013</v>
      </c>
      <c r="AU15" s="130">
        <f t="shared" ca="1" si="44"/>
        <v>0.94690400586223744</v>
      </c>
      <c r="AV15" s="82"/>
      <c r="AW15" s="90">
        <f t="shared" ca="1" si="45"/>
        <v>93039</v>
      </c>
      <c r="AX15" s="145">
        <f t="shared" ca="1" si="46"/>
        <v>0</v>
      </c>
      <c r="AY15" s="81">
        <f t="shared" ca="1" si="47"/>
        <v>39759</v>
      </c>
      <c r="AZ15" s="145">
        <f t="shared" ca="1" si="48"/>
        <v>0.42733692322574407</v>
      </c>
      <c r="BA15" s="83"/>
      <c r="BB15" s="80">
        <f t="shared" ca="1" si="49"/>
        <v>68598</v>
      </c>
      <c r="BC15" s="130">
        <f t="shared" ca="1" si="50"/>
        <v>0</v>
      </c>
      <c r="BD15" s="81">
        <f t="shared" ca="1" si="51"/>
        <v>45178</v>
      </c>
      <c r="BE15" s="130">
        <f t="shared" ca="1" si="52"/>
        <v>0.65859062946441582</v>
      </c>
      <c r="BF15" s="94"/>
      <c r="BG15" s="92">
        <f t="shared" ca="1" si="53"/>
        <v>194389</v>
      </c>
      <c r="BH15" s="167">
        <f t="shared" ca="1" si="54"/>
        <v>0</v>
      </c>
      <c r="BI15" s="86">
        <f t="shared" ca="1" si="55"/>
        <v>115950</v>
      </c>
      <c r="BJ15" s="167">
        <f t="shared" ca="1" si="56"/>
        <v>0.59648436897149526</v>
      </c>
      <c r="BK15" s="79"/>
      <c r="BL15" s="80">
        <f t="shared" ca="1" si="57"/>
        <v>85438</v>
      </c>
      <c r="BM15" s="130">
        <f t="shared" ca="1" si="58"/>
        <v>0</v>
      </c>
      <c r="BN15" s="81">
        <f t="shared" ca="1" si="59"/>
        <v>44484</v>
      </c>
      <c r="BO15" s="130">
        <f t="shared" ca="1" si="60"/>
        <v>0.5206582551089679</v>
      </c>
      <c r="BP15" s="82"/>
      <c r="BQ15" s="90">
        <f t="shared" ca="1" si="61"/>
        <v>96151</v>
      </c>
      <c r="BR15" s="145">
        <f t="shared" ca="1" si="62"/>
        <v>0</v>
      </c>
      <c r="BS15" s="81">
        <f t="shared" ca="1" si="63"/>
        <v>14707</v>
      </c>
      <c r="BT15" s="145">
        <f t="shared" ca="1" si="64"/>
        <v>0.15295732753689509</v>
      </c>
      <c r="BU15" s="83"/>
      <c r="BV15" s="80">
        <f t="shared" ca="1" si="65"/>
        <v>55687</v>
      </c>
      <c r="BW15" s="130">
        <f t="shared" ca="1" si="66"/>
        <v>0</v>
      </c>
      <c r="BX15" s="81">
        <f t="shared" ca="1" si="67"/>
        <v>21064</v>
      </c>
      <c r="BY15" s="130">
        <f t="shared" ca="1" si="68"/>
        <v>0.3782570438342881</v>
      </c>
      <c r="BZ15" s="94"/>
      <c r="CA15" s="92">
        <f t="shared" ca="1" si="69"/>
        <v>237276</v>
      </c>
      <c r="CB15" s="167">
        <f t="shared" ca="1" si="70"/>
        <v>0</v>
      </c>
      <c r="CC15" s="86">
        <f t="shared" ca="1" si="71"/>
        <v>80255</v>
      </c>
      <c r="CD15" s="167">
        <f t="shared" ca="1" si="72"/>
        <v>0.33823479829396991</v>
      </c>
      <c r="CE15" s="93">
        <v>487503</v>
      </c>
      <c r="CF15" s="88">
        <f t="shared" ca="1" si="73"/>
        <v>2401321</v>
      </c>
      <c r="CG15" s="214">
        <f t="shared" ca="1" si="74"/>
        <v>0.20301450743153457</v>
      </c>
      <c r="CH15" s="89">
        <f t="shared" ca="1" si="8"/>
        <v>2006650</v>
      </c>
      <c r="CI15" s="145">
        <f t="shared" ca="1" si="75"/>
        <v>0.83564421416378731</v>
      </c>
    </row>
    <row r="16" spans="1:88" s="33" customFormat="1" ht="13.15">
      <c r="A16" s="30" t="s">
        <v>50</v>
      </c>
      <c r="B16" s="285">
        <v>9.8359901628621849E-2</v>
      </c>
      <c r="C16" s="31">
        <f>SUM(C11:C15)</f>
        <v>1928342</v>
      </c>
      <c r="D16" s="80">
        <f t="shared" ca="1" si="9"/>
        <v>1970928</v>
      </c>
      <c r="E16" s="131">
        <f ca="1">IFERROR(C16/D16,"")</f>
        <v>0.97839291947752527</v>
      </c>
      <c r="F16" s="81">
        <f t="shared" ca="1" si="11"/>
        <v>1946549</v>
      </c>
      <c r="G16" s="131">
        <f ca="1">IFERROR(F16/D16,"")</f>
        <v>0.98763069985306418</v>
      </c>
      <c r="H16" s="32">
        <f>SUM(H11:H15)</f>
        <v>1517474</v>
      </c>
      <c r="I16" s="90">
        <f t="shared" ca="1" si="13"/>
        <v>1599130</v>
      </c>
      <c r="J16" s="146">
        <f ca="1">IFERROR(H16/I16,"")</f>
        <v>0.9489372346213254</v>
      </c>
      <c r="K16" s="81">
        <f t="shared" ca="1" si="15"/>
        <v>1532397</v>
      </c>
      <c r="L16" s="146">
        <f t="shared" ca="1" si="16"/>
        <v>0.95826918386872861</v>
      </c>
      <c r="M16" s="31">
        <f>SUM(M11:M15)</f>
        <v>2848476</v>
      </c>
      <c r="N16" s="80">
        <f t="shared" ca="1" si="17"/>
        <v>2875178</v>
      </c>
      <c r="O16" s="131">
        <f ca="1">IFERROR(M16/N16,"")</f>
        <v>0.99071292281730039</v>
      </c>
      <c r="P16" s="81">
        <f t="shared" ca="1" si="19"/>
        <v>2853679</v>
      </c>
      <c r="Q16" s="131">
        <f t="shared" ca="1" si="20"/>
        <v>0.99252254990821442</v>
      </c>
      <c r="R16" s="41">
        <f>SUM(R11:R15)</f>
        <v>2239176</v>
      </c>
      <c r="S16" s="42">
        <f ca="1">D16+I16+N16</f>
        <v>6445236</v>
      </c>
      <c r="T16" s="168">
        <f ca="1">IFERROR(R16/S16,"")</f>
        <v>0.34741567259911044</v>
      </c>
      <c r="U16" s="284">
        <f ca="1">F16+K16+P16</f>
        <v>6332625</v>
      </c>
      <c r="V16" s="168">
        <f t="shared" ca="1" si="24"/>
        <v>0.98252802535081729</v>
      </c>
      <c r="W16" s="31">
        <f>SUM(W11:W15)</f>
        <v>1862597</v>
      </c>
      <c r="X16" s="80">
        <f t="shared" ca="1" si="25"/>
        <v>1874465</v>
      </c>
      <c r="Y16" s="131">
        <f ca="1">IFERROR(W16/X16,"")</f>
        <v>0.99366859343866121</v>
      </c>
      <c r="Z16" s="81">
        <f t="shared" ca="1" si="27"/>
        <v>1885475</v>
      </c>
      <c r="AA16" s="131">
        <f ca="1">IFERROR(Z16/X16,"")</f>
        <v>1.0058736759555393</v>
      </c>
      <c r="AB16" s="32">
        <f>SUM(AB11:AB15)</f>
        <v>1739933</v>
      </c>
      <c r="AC16" s="90">
        <f t="shared" ca="1" si="29"/>
        <v>1759244</v>
      </c>
      <c r="AD16" s="146">
        <f ca="1">IFERROR(AB16/AC16,"")</f>
        <v>0.98902312584269148</v>
      </c>
      <c r="AE16" s="81">
        <f t="shared" ca="1" si="31"/>
        <v>1779231</v>
      </c>
      <c r="AF16" s="146">
        <f t="shared" ca="1" si="32"/>
        <v>1.0113611301218024</v>
      </c>
      <c r="AG16" s="31">
        <f>SUM(AG11:AG15)</f>
        <v>2074876</v>
      </c>
      <c r="AH16" s="80">
        <f t="shared" ca="1" si="33"/>
        <v>2172336</v>
      </c>
      <c r="AI16" s="131">
        <f ca="1">IFERROR(AG16/AH16,"")</f>
        <v>0.9551358537537471</v>
      </c>
      <c r="AJ16" s="81">
        <f t="shared" ca="1" si="35"/>
        <v>2101769</v>
      </c>
      <c r="AK16" s="131">
        <f t="shared" ca="1" si="36"/>
        <v>0.96751561452740276</v>
      </c>
      <c r="AL16" s="41">
        <f>SUM(AL11:AL15)</f>
        <v>2473386</v>
      </c>
      <c r="AM16" s="42">
        <f t="shared" ref="AM16:AM30" ca="1" si="76">X16+AC16+AH16</f>
        <v>5806045</v>
      </c>
      <c r="AN16" s="168">
        <f ca="1">IFERROR(AL16/AM16,"")</f>
        <v>0.42600186529728928</v>
      </c>
      <c r="AO16" s="77">
        <f t="shared" ca="1" si="39"/>
        <v>5766475</v>
      </c>
      <c r="AP16" s="168">
        <f t="shared" ca="1" si="40"/>
        <v>0.99318468940561089</v>
      </c>
      <c r="AQ16" s="31">
        <f>SUM(AQ11:AQ15)</f>
        <v>1181375</v>
      </c>
      <c r="AR16" s="80">
        <f t="shared" ca="1" si="41"/>
        <v>1224245</v>
      </c>
      <c r="AS16" s="131">
        <f ca="1">IFERROR(AQ16/AR16,"")</f>
        <v>0.96498249941800862</v>
      </c>
      <c r="AT16" s="81">
        <f t="shared" ca="1" si="43"/>
        <v>1189853</v>
      </c>
      <c r="AU16" s="131">
        <f ca="1">IFERROR(AT16/AR16,"")</f>
        <v>0.97190758385780629</v>
      </c>
      <c r="AV16" s="32">
        <f>SUM(AV11:AV15)</f>
        <v>2616847</v>
      </c>
      <c r="AW16" s="90">
        <f t="shared" ca="1" si="45"/>
        <v>2680954</v>
      </c>
      <c r="AX16" s="146">
        <f ca="1">IFERROR(AV16/AW16,"")</f>
        <v>0.97608798957386067</v>
      </c>
      <c r="AY16" s="81">
        <f t="shared" ca="1" si="47"/>
        <v>2621980</v>
      </c>
      <c r="AZ16" s="146">
        <f t="shared" ca="1" si="48"/>
        <v>0.97800260653483795</v>
      </c>
      <c r="BA16" s="31">
        <f>SUM(BA11:BA15)</f>
        <v>1563216</v>
      </c>
      <c r="BB16" s="80">
        <f t="shared" ca="1" si="49"/>
        <v>1619911</v>
      </c>
      <c r="BC16" s="131">
        <f ca="1">IFERROR(BA16/BB16,"")</f>
        <v>0.96500116364417554</v>
      </c>
      <c r="BD16" s="81">
        <f t="shared" ca="1" si="51"/>
        <v>1606792</v>
      </c>
      <c r="BE16" s="131">
        <f t="shared" ca="1" si="52"/>
        <v>0.99190140692914608</v>
      </c>
      <c r="BF16" s="41">
        <f>SUM(BF11:BF15)</f>
        <v>2162159</v>
      </c>
      <c r="BG16" s="42">
        <f t="shared" ca="1" si="53"/>
        <v>5525110</v>
      </c>
      <c r="BH16" s="168">
        <f ca="1">IFERROR(BF16/BG16,"")</f>
        <v>0.3913332042257982</v>
      </c>
      <c r="BI16" s="77">
        <f t="shared" ca="1" si="55"/>
        <v>5418625</v>
      </c>
      <c r="BJ16" s="168">
        <f t="shared" ca="1" si="56"/>
        <v>0.98072708054681268</v>
      </c>
      <c r="BK16" s="31">
        <f>SUM(BK11:BK15)</f>
        <v>1346868</v>
      </c>
      <c r="BL16" s="80">
        <f t="shared" ca="1" si="57"/>
        <v>1401645</v>
      </c>
      <c r="BM16" s="131">
        <f ca="1">IFERROR(BK16/BL16,"")</f>
        <v>0.96091949102661511</v>
      </c>
      <c r="BN16" s="81">
        <f t="shared" ca="1" si="59"/>
        <v>1359504</v>
      </c>
      <c r="BO16" s="131">
        <f ca="1">IFERROR(BN16/BL16,"")</f>
        <v>0.96993461254454583</v>
      </c>
      <c r="BP16" s="32">
        <f>SUM(BP11:BP15)</f>
        <v>717692</v>
      </c>
      <c r="BQ16" s="90">
        <f t="shared" ca="1" si="61"/>
        <v>728030</v>
      </c>
      <c r="BR16" s="146">
        <f ca="1">IFERROR(BP16/BQ16,"")</f>
        <v>0.98580003571281405</v>
      </c>
      <c r="BS16" s="81">
        <f t="shared" ca="1" si="63"/>
        <v>738846</v>
      </c>
      <c r="BT16" s="146">
        <f t="shared" ca="1" si="64"/>
        <v>1.0148565306374737</v>
      </c>
      <c r="BU16" s="31">
        <f>SUM(BU11:BU15)</f>
        <v>1295600</v>
      </c>
      <c r="BV16" s="80">
        <f t="shared" ca="1" si="65"/>
        <v>1339265</v>
      </c>
      <c r="BW16" s="131">
        <f ca="1">IFERROR(BU16/BV16,"")</f>
        <v>0.96739629572937391</v>
      </c>
      <c r="BX16" s="81">
        <f t="shared" ca="1" si="67"/>
        <v>1314496</v>
      </c>
      <c r="BY16" s="131">
        <f t="shared" ca="1" si="68"/>
        <v>0.98150552728548868</v>
      </c>
      <c r="BZ16" s="41">
        <f>SUM(BZ11:BZ15)</f>
        <v>2048915</v>
      </c>
      <c r="CA16" s="42">
        <f t="shared" ca="1" si="69"/>
        <v>3468940</v>
      </c>
      <c r="CB16" s="168">
        <f ca="1">IFERROR(BZ16/CA16,"")</f>
        <v>0.59064584570502809</v>
      </c>
      <c r="CC16" s="77">
        <f t="shared" ca="1" si="71"/>
        <v>3412846</v>
      </c>
      <c r="CD16" s="168">
        <f t="shared" ca="1" si="72"/>
        <v>0.98382964248444771</v>
      </c>
      <c r="CE16" s="52">
        <f>SUM(CE11:CE15)</f>
        <v>1474156</v>
      </c>
      <c r="CF16" s="53">
        <f t="shared" ref="CF16:CF30" ca="1" si="77">S16+AM16+BG16+CA16</f>
        <v>21245331</v>
      </c>
      <c r="CG16" s="215">
        <f ca="1">IFERROR(CE16/CF16,"")</f>
        <v>6.9387292671505091E-2</v>
      </c>
      <c r="CH16" s="78">
        <f t="shared" ca="1" si="8"/>
        <v>20930571</v>
      </c>
      <c r="CI16" s="145">
        <f t="shared" ca="1" si="75"/>
        <v>0.98518450948116554</v>
      </c>
    </row>
    <row r="17" spans="1:88" s="7" customFormat="1" ht="13.15">
      <c r="A17" s="11" t="s">
        <v>40</v>
      </c>
      <c r="B17" s="285">
        <v>0.123677769792429</v>
      </c>
      <c r="C17" s="83">
        <v>882770</v>
      </c>
      <c r="D17" s="80">
        <f t="shared" ca="1" si="9"/>
        <v>952963</v>
      </c>
      <c r="E17" s="130">
        <f t="shared" ca="1" si="10"/>
        <v>0.92634236586310281</v>
      </c>
      <c r="F17" s="81">
        <f t="shared" ca="1" si="11"/>
        <v>918654</v>
      </c>
      <c r="G17" s="130">
        <f t="shared" ca="1" si="12"/>
        <v>0.96399755289554789</v>
      </c>
      <c r="H17" s="82">
        <v>785922</v>
      </c>
      <c r="I17" s="90">
        <f t="shared" ca="1" si="13"/>
        <v>850357</v>
      </c>
      <c r="J17" s="145">
        <f t="shared" ca="1" si="14"/>
        <v>0.92422594275110337</v>
      </c>
      <c r="K17" s="81">
        <f t="shared" ca="1" si="15"/>
        <v>833498</v>
      </c>
      <c r="L17" s="145">
        <f t="shared" ca="1" si="16"/>
        <v>0.98017420918508347</v>
      </c>
      <c r="M17" s="83">
        <v>363963</v>
      </c>
      <c r="N17" s="80">
        <f t="shared" ca="1" si="17"/>
        <v>459541</v>
      </c>
      <c r="O17" s="130">
        <f t="shared" ca="1" si="18"/>
        <v>0.7920142054789453</v>
      </c>
      <c r="P17" s="81">
        <f t="shared" ca="1" si="19"/>
        <v>371745</v>
      </c>
      <c r="Q17" s="130">
        <f t="shared" ca="1" si="20"/>
        <v>0.80894849425840132</v>
      </c>
      <c r="R17" s="91">
        <v>771252</v>
      </c>
      <c r="S17" s="92">
        <f t="shared" ref="S17:S29" ca="1" si="78">D17+I17+N17</f>
        <v>2262861</v>
      </c>
      <c r="T17" s="167">
        <f t="shared" ca="1" si="22"/>
        <v>0.34083047964501578</v>
      </c>
      <c r="U17" s="283">
        <f t="shared" ref="U17:U30" ca="1" si="79">F17+K17+P17</f>
        <v>2123897</v>
      </c>
      <c r="V17" s="167">
        <f t="shared" ca="1" si="24"/>
        <v>0.9385892460915628</v>
      </c>
      <c r="W17" s="83">
        <v>351826</v>
      </c>
      <c r="X17" s="80">
        <f t="shared" ca="1" si="25"/>
        <v>427315</v>
      </c>
      <c r="Y17" s="130">
        <f t="shared" ref="Y17:Y30" ca="1" si="80">IFERROR(W17/X17,"")</f>
        <v>0.82334109497677355</v>
      </c>
      <c r="Z17" s="81">
        <f t="shared" ca="1" si="27"/>
        <v>377214</v>
      </c>
      <c r="AA17" s="130">
        <f t="shared" ref="AA17:AA30" ca="1" si="81">IFERROR(Z17/X17,"")</f>
        <v>0.882753940301651</v>
      </c>
      <c r="AB17" s="82">
        <v>866944</v>
      </c>
      <c r="AC17" s="90">
        <f t="shared" ca="1" si="29"/>
        <v>945448</v>
      </c>
      <c r="AD17" s="145">
        <f t="shared" ref="AD17:AD30" ca="1" si="82">IFERROR(AB17/AC17,"")</f>
        <v>0.91696634822856471</v>
      </c>
      <c r="AE17" s="81">
        <f t="shared" ca="1" si="31"/>
        <v>881708</v>
      </c>
      <c r="AF17" s="145">
        <f t="shared" ca="1" si="32"/>
        <v>0.93258222556925396</v>
      </c>
      <c r="AG17" s="83">
        <v>671766</v>
      </c>
      <c r="AH17" s="80">
        <f t="shared" ca="1" si="33"/>
        <v>767508</v>
      </c>
      <c r="AI17" s="130">
        <f t="shared" ref="AI17:AI30" ca="1" si="83">IFERROR(AG17/AH17,"")</f>
        <v>0.87525602338998421</v>
      </c>
      <c r="AJ17" s="81">
        <f t="shared" ca="1" si="35"/>
        <v>693984</v>
      </c>
      <c r="AK17" s="130">
        <f t="shared" ca="1" si="36"/>
        <v>0.90420425585140485</v>
      </c>
      <c r="AL17" s="91">
        <v>175680</v>
      </c>
      <c r="AM17" s="92">
        <f t="shared" ca="1" si="76"/>
        <v>2140271</v>
      </c>
      <c r="AN17" s="167">
        <f t="shared" ca="1" si="38"/>
        <v>8.2083063313010365E-2</v>
      </c>
      <c r="AO17" s="86">
        <f t="shared" ca="1" si="39"/>
        <v>1952906</v>
      </c>
      <c r="AP17" s="167">
        <f t="shared" ca="1" si="40"/>
        <v>0.91245734769101672</v>
      </c>
      <c r="AQ17" s="83"/>
      <c r="AR17" s="80">
        <f t="shared" ca="1" si="41"/>
        <v>76770</v>
      </c>
      <c r="AS17" s="130">
        <f t="shared" ref="AS17:AS30" ca="1" si="84">IFERROR(AQ17/AR17,"")</f>
        <v>0</v>
      </c>
      <c r="AT17" s="81">
        <f t="shared" ca="1" si="43"/>
        <v>48792</v>
      </c>
      <c r="AU17" s="130">
        <f t="shared" ref="AU17:AU30" ca="1" si="85">IFERROR(AT17/AR17,"")</f>
        <v>0.63556076592418909</v>
      </c>
      <c r="AV17" s="82"/>
      <c r="AW17" s="90">
        <f t="shared" ca="1" si="45"/>
        <v>48905</v>
      </c>
      <c r="AX17" s="145">
        <f t="shared" ref="AX17:AX30" ca="1" si="86">IFERROR(AV17/AW17,"")</f>
        <v>0</v>
      </c>
      <c r="AY17" s="81">
        <f t="shared" ca="1" si="47"/>
        <v>10207</v>
      </c>
      <c r="AZ17" s="145">
        <f t="shared" ca="1" si="48"/>
        <v>0.20871076577037112</v>
      </c>
      <c r="BA17" s="83"/>
      <c r="BB17" s="80">
        <f t="shared" ca="1" si="49"/>
        <v>65538</v>
      </c>
      <c r="BC17" s="130">
        <f t="shared" ref="BC17:BC30" ca="1" si="87">IFERROR(BA17/BB17,"")</f>
        <v>0</v>
      </c>
      <c r="BD17" s="81">
        <f t="shared" ca="1" si="51"/>
        <v>42305</v>
      </c>
      <c r="BE17" s="130">
        <f t="shared" ca="1" si="52"/>
        <v>0.64550337208947484</v>
      </c>
      <c r="BF17" s="91"/>
      <c r="BG17" s="92">
        <f t="shared" ca="1" si="53"/>
        <v>191213</v>
      </c>
      <c r="BH17" s="167">
        <f t="shared" ref="BH17:BH19" ca="1" si="88">IFERROR(BF17/BG17,"")</f>
        <v>0</v>
      </c>
      <c r="BI17" s="86">
        <f t="shared" ca="1" si="55"/>
        <v>101304</v>
      </c>
      <c r="BJ17" s="167">
        <f t="shared" ca="1" si="56"/>
        <v>0.52979661424693925</v>
      </c>
      <c r="BK17" s="83"/>
      <c r="BL17" s="80">
        <f t="shared" ca="1" si="57"/>
        <v>13140</v>
      </c>
      <c r="BM17" s="130">
        <f t="shared" ref="BM17:BM30" ca="1" si="89">IFERROR(BK17/BL17,"")</f>
        <v>0</v>
      </c>
      <c r="BN17" s="81">
        <f t="shared" ca="1" si="59"/>
        <v>45691</v>
      </c>
      <c r="BO17" s="130">
        <f t="shared" ref="BO17:BO30" ca="1" si="90">IFERROR(BN17/BL17,"")</f>
        <v>3.4772450532724504</v>
      </c>
      <c r="BP17" s="82"/>
      <c r="BQ17" s="90">
        <f t="shared" ca="1" si="61"/>
        <v>10971</v>
      </c>
      <c r="BR17" s="145">
        <f t="shared" ref="BR17:BR30" ca="1" si="91">IFERROR(BP17/BQ17,"")</f>
        <v>0</v>
      </c>
      <c r="BS17" s="81">
        <f t="shared" ca="1" si="63"/>
        <v>43131</v>
      </c>
      <c r="BT17" s="145">
        <f t="shared" ca="1" si="64"/>
        <v>3.9313645064260321</v>
      </c>
      <c r="BU17" s="83"/>
      <c r="BV17" s="80">
        <f t="shared" ca="1" si="65"/>
        <v>40865</v>
      </c>
      <c r="BW17" s="130">
        <f t="shared" ref="BW17:BW30" ca="1" si="92">IFERROR(BU17/BV17,"")</f>
        <v>0</v>
      </c>
      <c r="BX17" s="81">
        <f t="shared" ca="1" si="67"/>
        <v>39543</v>
      </c>
      <c r="BY17" s="130">
        <f t="shared" ca="1" si="68"/>
        <v>0.96764957787838002</v>
      </c>
      <c r="BZ17" s="91"/>
      <c r="CA17" s="92">
        <f t="shared" ca="1" si="69"/>
        <v>64976</v>
      </c>
      <c r="CB17" s="167">
        <f t="shared" ref="CB17:CB19" ca="1" si="93">IFERROR(BZ17/CA17,"")</f>
        <v>0</v>
      </c>
      <c r="CC17" s="86">
        <f t="shared" ca="1" si="71"/>
        <v>128365</v>
      </c>
      <c r="CD17" s="167">
        <f t="shared" ca="1" si="72"/>
        <v>1.9755755971435607</v>
      </c>
      <c r="CE17" s="93">
        <v>236695</v>
      </c>
      <c r="CF17" s="88">
        <f t="shared" ca="1" si="77"/>
        <v>4659321</v>
      </c>
      <c r="CG17" s="214">
        <f t="shared" ca="1" si="74"/>
        <v>5.0800320475880498E-2</v>
      </c>
      <c r="CH17" s="89">
        <f t="shared" ca="1" si="8"/>
        <v>4306472</v>
      </c>
      <c r="CI17" s="145">
        <f t="shared" ca="1" si="75"/>
        <v>0.92427029603669719</v>
      </c>
    </row>
    <row r="18" spans="1:88" s="7" customFormat="1" ht="13.15">
      <c r="A18" s="11" t="s">
        <v>41</v>
      </c>
      <c r="B18" s="285">
        <v>0.123677769792429</v>
      </c>
      <c r="C18" s="83"/>
      <c r="D18" s="80">
        <f t="shared" ca="1" si="9"/>
        <v>86239</v>
      </c>
      <c r="E18" s="130">
        <f t="shared" ca="1" si="10"/>
        <v>0</v>
      </c>
      <c r="F18" s="81">
        <f t="shared" ca="1" si="11"/>
        <v>17148</v>
      </c>
      <c r="G18" s="130">
        <f t="shared" ca="1" si="12"/>
        <v>0.19884275095954268</v>
      </c>
      <c r="H18" s="82"/>
      <c r="I18" s="90">
        <f t="shared" ca="1" si="13"/>
        <v>98899</v>
      </c>
      <c r="J18" s="145">
        <f t="shared" ca="1" si="14"/>
        <v>0</v>
      </c>
      <c r="K18" s="81">
        <f t="shared" ca="1" si="15"/>
        <v>15675</v>
      </c>
      <c r="L18" s="145">
        <f t="shared" ca="1" si="16"/>
        <v>0.15849503028342046</v>
      </c>
      <c r="M18" s="83"/>
      <c r="N18" s="80">
        <f t="shared" ca="1" si="17"/>
        <v>95800</v>
      </c>
      <c r="O18" s="130">
        <f t="shared" ca="1" si="18"/>
        <v>0</v>
      </c>
      <c r="P18" s="81">
        <f t="shared" ca="1" si="19"/>
        <v>45324</v>
      </c>
      <c r="Q18" s="130">
        <f t="shared" ca="1" si="20"/>
        <v>0.47311064718162837</v>
      </c>
      <c r="R18" s="91"/>
      <c r="S18" s="92">
        <f t="shared" ca="1" si="78"/>
        <v>280938</v>
      </c>
      <c r="T18" s="167">
        <f t="shared" ca="1" si="22"/>
        <v>0</v>
      </c>
      <c r="U18" s="283">
        <f t="shared" ca="1" si="79"/>
        <v>78147</v>
      </c>
      <c r="V18" s="167">
        <f t="shared" ca="1" si="24"/>
        <v>0.27816457723768234</v>
      </c>
      <c r="W18" s="83"/>
      <c r="X18" s="80">
        <f t="shared" ca="1" si="25"/>
        <v>31576</v>
      </c>
      <c r="Y18" s="130">
        <f t="shared" ca="1" si="80"/>
        <v>0</v>
      </c>
      <c r="Z18" s="81">
        <f t="shared" ca="1" si="27"/>
        <v>40442</v>
      </c>
      <c r="AA18" s="130">
        <f t="shared" ca="1" si="81"/>
        <v>1.280782873068153</v>
      </c>
      <c r="AB18" s="82"/>
      <c r="AC18" s="90">
        <f t="shared" ca="1" si="29"/>
        <v>65892</v>
      </c>
      <c r="AD18" s="145">
        <f t="shared" ca="1" si="82"/>
        <v>0</v>
      </c>
      <c r="AE18" s="81">
        <f t="shared" ca="1" si="31"/>
        <v>39718</v>
      </c>
      <c r="AF18" s="145">
        <f t="shared" ca="1" si="32"/>
        <v>0.60277423662963636</v>
      </c>
      <c r="AG18" s="83"/>
      <c r="AH18" s="80">
        <f t="shared" ca="1" si="33"/>
        <v>15174</v>
      </c>
      <c r="AI18" s="130">
        <f t="shared" ca="1" si="83"/>
        <v>0</v>
      </c>
      <c r="AJ18" s="81">
        <f t="shared" ca="1" si="35"/>
        <v>23402</v>
      </c>
      <c r="AK18" s="130">
        <f t="shared" ca="1" si="36"/>
        <v>1.542243310926585</v>
      </c>
      <c r="AL18" s="91"/>
      <c r="AM18" s="92">
        <f t="shared" ca="1" si="76"/>
        <v>112642</v>
      </c>
      <c r="AN18" s="167">
        <f t="shared" ca="1" si="38"/>
        <v>0</v>
      </c>
      <c r="AO18" s="86">
        <f t="shared" ca="1" si="39"/>
        <v>103562</v>
      </c>
      <c r="AP18" s="167">
        <f t="shared" ca="1" si="40"/>
        <v>0.9193906358196765</v>
      </c>
      <c r="AQ18" s="83"/>
      <c r="AR18" s="80">
        <f t="shared" ca="1" si="41"/>
        <v>69120</v>
      </c>
      <c r="AS18" s="130">
        <f t="shared" ca="1" si="84"/>
        <v>0</v>
      </c>
      <c r="AT18" s="81">
        <f t="shared" ca="1" si="43"/>
        <v>28008</v>
      </c>
      <c r="AU18" s="130">
        <f t="shared" ca="1" si="85"/>
        <v>0.40520833333333334</v>
      </c>
      <c r="AV18" s="82"/>
      <c r="AW18" s="90">
        <f t="shared" ca="1" si="45"/>
        <v>34553</v>
      </c>
      <c r="AX18" s="145">
        <f t="shared" ca="1" si="86"/>
        <v>0</v>
      </c>
      <c r="AY18" s="81">
        <f t="shared" ca="1" si="47"/>
        <v>11719</v>
      </c>
      <c r="AZ18" s="145">
        <f t="shared" ca="1" si="48"/>
        <v>0.33916013081353286</v>
      </c>
      <c r="BA18" s="83"/>
      <c r="BB18" s="80">
        <f t="shared" ca="1" si="49"/>
        <v>18339</v>
      </c>
      <c r="BC18" s="130">
        <f t="shared" ca="1" si="87"/>
        <v>0</v>
      </c>
      <c r="BD18" s="81">
        <f t="shared" ca="1" si="51"/>
        <v>34471</v>
      </c>
      <c r="BE18" s="130">
        <f t="shared" ca="1" si="52"/>
        <v>1.8796553792464148</v>
      </c>
      <c r="BF18" s="91"/>
      <c r="BG18" s="92">
        <f t="shared" ca="1" si="53"/>
        <v>122012</v>
      </c>
      <c r="BH18" s="167">
        <f t="shared" ca="1" si="88"/>
        <v>0</v>
      </c>
      <c r="BI18" s="86">
        <f t="shared" ca="1" si="55"/>
        <v>74198</v>
      </c>
      <c r="BJ18" s="167">
        <f t="shared" ca="1" si="56"/>
        <v>0.60812051273645218</v>
      </c>
      <c r="BK18" s="83"/>
      <c r="BL18" s="80">
        <f t="shared" ca="1" si="57"/>
        <v>62097</v>
      </c>
      <c r="BM18" s="130">
        <f t="shared" ca="1" si="89"/>
        <v>0</v>
      </c>
      <c r="BN18" s="81">
        <f t="shared" ca="1" si="59"/>
        <v>27509</v>
      </c>
      <c r="BO18" s="130">
        <f t="shared" ca="1" si="90"/>
        <v>0.44300046701128881</v>
      </c>
      <c r="BP18" s="82"/>
      <c r="BQ18" s="90">
        <f t="shared" ca="1" si="61"/>
        <v>87054</v>
      </c>
      <c r="BR18" s="145">
        <f t="shared" ca="1" si="91"/>
        <v>0</v>
      </c>
      <c r="BS18" s="81">
        <f t="shared" ca="1" si="63"/>
        <v>9277</v>
      </c>
      <c r="BT18" s="145">
        <f t="shared" ca="1" si="64"/>
        <v>0.1065660394697544</v>
      </c>
      <c r="BU18" s="83"/>
      <c r="BV18" s="80">
        <f t="shared" ca="1" si="65"/>
        <v>90582</v>
      </c>
      <c r="BW18" s="130">
        <f t="shared" ca="1" si="92"/>
        <v>0</v>
      </c>
      <c r="BX18" s="81">
        <f t="shared" ca="1" si="67"/>
        <v>36837</v>
      </c>
      <c r="BY18" s="130">
        <f t="shared" ca="1" si="68"/>
        <v>0.40667019937735976</v>
      </c>
      <c r="BZ18" s="91"/>
      <c r="CA18" s="92">
        <f t="shared" ca="1" si="69"/>
        <v>239733</v>
      </c>
      <c r="CB18" s="167">
        <f t="shared" ca="1" si="93"/>
        <v>0</v>
      </c>
      <c r="CC18" s="86">
        <f t="shared" ca="1" si="71"/>
        <v>73623</v>
      </c>
      <c r="CD18" s="167">
        <f t="shared" ca="1" si="72"/>
        <v>0.3071041533706248</v>
      </c>
      <c r="CE18" s="93"/>
      <c r="CF18" s="88">
        <f t="shared" ca="1" si="77"/>
        <v>755325</v>
      </c>
      <c r="CG18" s="214">
        <f t="shared" ca="1" si="74"/>
        <v>0</v>
      </c>
      <c r="CH18" s="89">
        <f t="shared" ca="1" si="8"/>
        <v>329530</v>
      </c>
      <c r="CI18" s="145">
        <f t="shared" ca="1" si="75"/>
        <v>0.43627577532850098</v>
      </c>
    </row>
    <row r="19" spans="1:88" s="7" customFormat="1" ht="13.15">
      <c r="A19" s="11" t="s">
        <v>42</v>
      </c>
      <c r="B19" s="285">
        <v>0.123677769792429</v>
      </c>
      <c r="C19" s="83">
        <v>137303</v>
      </c>
      <c r="D19" s="80">
        <f t="shared" ca="1" si="9"/>
        <v>218825</v>
      </c>
      <c r="E19" s="130">
        <f t="shared" ca="1" si="10"/>
        <v>0.62745572946418371</v>
      </c>
      <c r="F19" s="81">
        <f t="shared" ca="1" si="11"/>
        <v>170442</v>
      </c>
      <c r="G19" s="130">
        <f t="shared" ca="1" si="12"/>
        <v>0.77889637838455383</v>
      </c>
      <c r="H19" s="82">
        <v>146424</v>
      </c>
      <c r="I19" s="90">
        <f t="shared" ca="1" si="13"/>
        <v>178808</v>
      </c>
      <c r="J19" s="145">
        <f t="shared" ca="1" si="14"/>
        <v>0.81888953514384144</v>
      </c>
      <c r="K19" s="81">
        <f t="shared" ca="1" si="15"/>
        <v>172009</v>
      </c>
      <c r="L19" s="145">
        <f t="shared" ca="1" si="16"/>
        <v>0.961975974229341</v>
      </c>
      <c r="M19" s="83">
        <v>998860</v>
      </c>
      <c r="N19" s="80">
        <f t="shared" ca="1" si="17"/>
        <v>1043387</v>
      </c>
      <c r="O19" s="130">
        <f t="shared" ca="1" si="18"/>
        <v>0.9573245593437526</v>
      </c>
      <c r="P19" s="81">
        <f t="shared" ca="1" si="19"/>
        <v>1045335</v>
      </c>
      <c r="Q19" s="130">
        <f t="shared" ca="1" si="20"/>
        <v>1.0018669966177458</v>
      </c>
      <c r="R19" s="91">
        <v>389624</v>
      </c>
      <c r="S19" s="92">
        <f t="shared" ca="1" si="78"/>
        <v>1441020</v>
      </c>
      <c r="T19" s="167">
        <f t="shared" ca="1" si="22"/>
        <v>0.27038070255791036</v>
      </c>
      <c r="U19" s="283">
        <f t="shared" ca="1" si="79"/>
        <v>1387786</v>
      </c>
      <c r="V19" s="167">
        <f t="shared" ca="1" si="24"/>
        <v>0.96305811161538357</v>
      </c>
      <c r="W19" s="83">
        <v>142469</v>
      </c>
      <c r="X19" s="80">
        <f t="shared" ca="1" si="25"/>
        <v>163570</v>
      </c>
      <c r="Y19" s="130">
        <f t="shared" ca="1" si="80"/>
        <v>0.87099712661245954</v>
      </c>
      <c r="Z19" s="81">
        <f t="shared" ca="1" si="27"/>
        <v>180545</v>
      </c>
      <c r="AA19" s="130">
        <f t="shared" ca="1" si="81"/>
        <v>1.1037781989362352</v>
      </c>
      <c r="AB19" s="82">
        <v>727586</v>
      </c>
      <c r="AC19" s="90">
        <f t="shared" ca="1" si="29"/>
        <v>821527</v>
      </c>
      <c r="AD19" s="145">
        <f t="shared" ca="1" si="82"/>
        <v>0.88565074550197376</v>
      </c>
      <c r="AE19" s="81">
        <f t="shared" ca="1" si="31"/>
        <v>757625</v>
      </c>
      <c r="AF19" s="145">
        <f t="shared" ca="1" si="32"/>
        <v>0.92221558147206362</v>
      </c>
      <c r="AG19" s="83">
        <v>602986</v>
      </c>
      <c r="AH19" s="80">
        <f t="shared" ca="1" si="33"/>
        <v>621694</v>
      </c>
      <c r="AI19" s="130">
        <f t="shared" ca="1" si="83"/>
        <v>0.96990802549164057</v>
      </c>
      <c r="AJ19" s="81">
        <f t="shared" ca="1" si="35"/>
        <v>619393</v>
      </c>
      <c r="AK19" s="130">
        <f t="shared" ca="1" si="36"/>
        <v>0.99629882225017452</v>
      </c>
      <c r="AL19" s="91">
        <v>446143</v>
      </c>
      <c r="AM19" s="92">
        <f t="shared" ca="1" si="76"/>
        <v>1606791</v>
      </c>
      <c r="AN19" s="167">
        <f t="shared" ca="1" si="38"/>
        <v>0.27766087811046986</v>
      </c>
      <c r="AO19" s="86">
        <f t="shared" ca="1" si="39"/>
        <v>1557563</v>
      </c>
      <c r="AP19" s="167">
        <f t="shared" ca="1" si="40"/>
        <v>0.96936253688251928</v>
      </c>
      <c r="AQ19" s="83">
        <v>169570</v>
      </c>
      <c r="AR19" s="80">
        <f t="shared" ca="1" si="41"/>
        <v>239099</v>
      </c>
      <c r="AS19" s="130">
        <f t="shared" ca="1" si="84"/>
        <v>0.70920413719839903</v>
      </c>
      <c r="AT19" s="81">
        <f t="shared" ca="1" si="43"/>
        <v>217791</v>
      </c>
      <c r="AU19" s="130">
        <f t="shared" ca="1" si="85"/>
        <v>0.91088210322920626</v>
      </c>
      <c r="AV19" s="82">
        <v>579752</v>
      </c>
      <c r="AW19" s="90">
        <f t="shared" ca="1" si="45"/>
        <v>677031</v>
      </c>
      <c r="AX19" s="145">
        <f t="shared" ca="1" si="86"/>
        <v>0.85631529427751463</v>
      </c>
      <c r="AY19" s="81">
        <f t="shared" ca="1" si="47"/>
        <v>618322</v>
      </c>
      <c r="AZ19" s="145">
        <f t="shared" ca="1" si="48"/>
        <v>0.91328462064514038</v>
      </c>
      <c r="BA19" s="83">
        <v>245034</v>
      </c>
      <c r="BB19" s="80">
        <f t="shared" ca="1" si="49"/>
        <v>344572</v>
      </c>
      <c r="BC19" s="130">
        <f t="shared" ca="1" si="87"/>
        <v>0.71112568635872908</v>
      </c>
      <c r="BD19" s="81">
        <f t="shared" ca="1" si="51"/>
        <v>266688</v>
      </c>
      <c r="BE19" s="130">
        <f t="shared" ca="1" si="52"/>
        <v>0.77396886572327406</v>
      </c>
      <c r="BF19" s="91">
        <v>783756</v>
      </c>
      <c r="BG19" s="92">
        <f t="shared" ca="1" si="53"/>
        <v>1260702</v>
      </c>
      <c r="BH19" s="167">
        <f t="shared" ca="1" si="88"/>
        <v>0.62168220562829279</v>
      </c>
      <c r="BI19" s="86">
        <f t="shared" ca="1" si="55"/>
        <v>1102801</v>
      </c>
      <c r="BJ19" s="167">
        <f t="shared" ca="1" si="56"/>
        <v>0.87475152732366568</v>
      </c>
      <c r="BK19" s="83">
        <v>890566</v>
      </c>
      <c r="BL19" s="80">
        <f t="shared" ca="1" si="57"/>
        <v>955889</v>
      </c>
      <c r="BM19" s="130">
        <f t="shared" ca="1" si="89"/>
        <v>0.93166256751568433</v>
      </c>
      <c r="BN19" s="81">
        <f t="shared" ca="1" si="59"/>
        <v>924051</v>
      </c>
      <c r="BO19" s="130">
        <f t="shared" ca="1" si="90"/>
        <v>0.96669278545939963</v>
      </c>
      <c r="BP19" s="82">
        <v>336985</v>
      </c>
      <c r="BQ19" s="90">
        <f t="shared" ca="1" si="61"/>
        <v>421964</v>
      </c>
      <c r="BR19" s="145">
        <f t="shared" ca="1" si="91"/>
        <v>0.79861078196244228</v>
      </c>
      <c r="BS19" s="81">
        <f t="shared" ca="1" si="63"/>
        <v>373360</v>
      </c>
      <c r="BT19" s="145">
        <f t="shared" ca="1" si="64"/>
        <v>0.88481481832573394</v>
      </c>
      <c r="BU19" s="83">
        <v>845015</v>
      </c>
      <c r="BV19" s="80">
        <f t="shared" ca="1" si="65"/>
        <v>923628</v>
      </c>
      <c r="BW19" s="130">
        <f t="shared" ca="1" si="92"/>
        <v>0.91488672928928094</v>
      </c>
      <c r="BX19" s="81">
        <f t="shared" ca="1" si="67"/>
        <v>889979</v>
      </c>
      <c r="BY19" s="130">
        <f t="shared" ca="1" si="68"/>
        <v>0.96356866617296144</v>
      </c>
      <c r="BZ19" s="91">
        <v>795422</v>
      </c>
      <c r="CA19" s="92">
        <f t="shared" ca="1" si="69"/>
        <v>2301481</v>
      </c>
      <c r="CB19" s="167">
        <f t="shared" ca="1" si="93"/>
        <v>0.3456131073860701</v>
      </c>
      <c r="CC19" s="86">
        <f t="shared" ca="1" si="71"/>
        <v>2187390</v>
      </c>
      <c r="CD19" s="167">
        <f t="shared" ca="1" si="72"/>
        <v>0.95042713800374623</v>
      </c>
      <c r="CE19" s="93">
        <v>229555</v>
      </c>
      <c r="CF19" s="88">
        <f t="shared" ca="1" si="77"/>
        <v>6609994</v>
      </c>
      <c r="CG19" s="214">
        <f t="shared" ca="1" si="74"/>
        <v>3.4728473278493141E-2</v>
      </c>
      <c r="CH19" s="89">
        <f t="shared" ca="1" si="8"/>
        <v>6235540</v>
      </c>
      <c r="CI19" s="145">
        <f t="shared" ca="1" si="75"/>
        <v>0.94335032679303488</v>
      </c>
    </row>
    <row r="20" spans="1:88" s="33" customFormat="1" ht="13.15">
      <c r="A20" s="34" t="s">
        <v>51</v>
      </c>
      <c r="B20" s="285">
        <v>0.123677769792429</v>
      </c>
      <c r="C20" s="35">
        <f>SUM(C17:C19)</f>
        <v>1020073</v>
      </c>
      <c r="D20" s="80">
        <f t="shared" ca="1" si="9"/>
        <v>1053282</v>
      </c>
      <c r="E20" s="131">
        <f ca="1">IFERROR(C20/D20,"")</f>
        <v>0.96847093181123389</v>
      </c>
      <c r="F20" s="81">
        <f t="shared" ca="1" si="11"/>
        <v>1063716</v>
      </c>
      <c r="G20" s="131">
        <f t="shared" ca="1" si="12"/>
        <v>1.0099061789720132</v>
      </c>
      <c r="H20" s="36">
        <f>SUM(H17:H19)</f>
        <v>932346</v>
      </c>
      <c r="I20" s="90">
        <f t="shared" ca="1" si="13"/>
        <v>1008633</v>
      </c>
      <c r="J20" s="146">
        <f ca="1">IFERROR(H20/I20,"")</f>
        <v>0.92436594876431766</v>
      </c>
      <c r="K20" s="81">
        <f t="shared" ca="1" si="15"/>
        <v>938696</v>
      </c>
      <c r="L20" s="146">
        <f t="shared" ca="1" si="16"/>
        <v>0.93066159842083296</v>
      </c>
      <c r="M20" s="35">
        <f>SUM(M17:M19)</f>
        <v>1362823</v>
      </c>
      <c r="N20" s="80">
        <f t="shared" ca="1" si="17"/>
        <v>1406714</v>
      </c>
      <c r="O20" s="131">
        <f ca="1">IFERROR(M20/N20,"")</f>
        <v>0.96879891719283384</v>
      </c>
      <c r="P20" s="81">
        <f t="shared" ca="1" si="19"/>
        <v>1409444</v>
      </c>
      <c r="Q20" s="131">
        <f t="shared" ca="1" si="20"/>
        <v>1.0019406929908994</v>
      </c>
      <c r="R20" s="43">
        <f>SUM(R17:R19)</f>
        <v>1160876</v>
      </c>
      <c r="S20" s="44">
        <f t="shared" ca="1" si="78"/>
        <v>3468629</v>
      </c>
      <c r="T20" s="168">
        <f ca="1">IFERROR(R20/S20,"")</f>
        <v>0.33467862951039157</v>
      </c>
      <c r="U20" s="473">
        <f t="shared" ca="1" si="79"/>
        <v>3411856</v>
      </c>
      <c r="V20" s="168">
        <f t="shared" ca="1" si="24"/>
        <v>0.98363243806126277</v>
      </c>
      <c r="W20" s="35">
        <f>SUM(W17:W19)</f>
        <v>494295</v>
      </c>
      <c r="X20" s="80">
        <f t="shared" ca="1" si="25"/>
        <v>520624</v>
      </c>
      <c r="Y20" s="131">
        <f ca="1">IFERROR(W20/X20,"")</f>
        <v>0.94942799409938838</v>
      </c>
      <c r="Z20" s="81">
        <f t="shared" ca="1" si="27"/>
        <v>527235</v>
      </c>
      <c r="AA20" s="131">
        <f t="shared" ca="1" si="81"/>
        <v>1.0126982236700575</v>
      </c>
      <c r="AB20" s="36">
        <f>SUM(AB17:AB19)</f>
        <v>1594530</v>
      </c>
      <c r="AC20" s="90">
        <f t="shared" ca="1" si="29"/>
        <v>1649648</v>
      </c>
      <c r="AD20" s="146">
        <f ca="1">IFERROR(AB20/AC20,"")</f>
        <v>0.96658802362685858</v>
      </c>
      <c r="AE20" s="81">
        <f t="shared" ca="1" si="31"/>
        <v>1626197</v>
      </c>
      <c r="AF20" s="146">
        <f t="shared" ca="1" si="32"/>
        <v>0.98578424003181286</v>
      </c>
      <c r="AG20" s="35">
        <f>SUM(AG17:AG19)</f>
        <v>1274752</v>
      </c>
      <c r="AH20" s="80">
        <f t="shared" ca="1" si="33"/>
        <v>1291742</v>
      </c>
      <c r="AI20" s="131">
        <f ca="1">IFERROR(AG20/AH20,"")</f>
        <v>0.98684721871705028</v>
      </c>
      <c r="AJ20" s="81">
        <f t="shared" ca="1" si="35"/>
        <v>1305931</v>
      </c>
      <c r="AK20" s="131">
        <f t="shared" ca="1" si="36"/>
        <v>1.0109843916199983</v>
      </c>
      <c r="AL20" s="43">
        <f>SUM(AL17:AL19)</f>
        <v>621823</v>
      </c>
      <c r="AM20" s="44">
        <f t="shared" ca="1" si="76"/>
        <v>3462014</v>
      </c>
      <c r="AN20" s="168">
        <f ca="1">IFERROR(AL20/AM20,"")</f>
        <v>0.17961308070966783</v>
      </c>
      <c r="AO20" s="77">
        <f t="shared" ca="1" si="39"/>
        <v>3459363</v>
      </c>
      <c r="AP20" s="168">
        <f t="shared" ca="1" si="40"/>
        <v>0.99923426075111188</v>
      </c>
      <c r="AQ20" s="35">
        <f>SUM(AQ17:AQ19)</f>
        <v>169570</v>
      </c>
      <c r="AR20" s="80">
        <f t="shared" ca="1" si="41"/>
        <v>253767</v>
      </c>
      <c r="AS20" s="131">
        <f ca="1">IFERROR(AQ20/AR20,"")</f>
        <v>0.66821139076396852</v>
      </c>
      <c r="AT20" s="81">
        <f t="shared" ca="1" si="43"/>
        <v>217440</v>
      </c>
      <c r="AU20" s="131">
        <f t="shared" ca="1" si="85"/>
        <v>0.85684899927886604</v>
      </c>
      <c r="AV20" s="36">
        <f>SUM(AV17:AV19)</f>
        <v>579752</v>
      </c>
      <c r="AW20" s="90">
        <f t="shared" ca="1" si="45"/>
        <v>590178</v>
      </c>
      <c r="AX20" s="146">
        <f ca="1">IFERROR(AV20/AW20,"")</f>
        <v>0.98233414325847457</v>
      </c>
      <c r="AY20" s="81">
        <f t="shared" ca="1" si="47"/>
        <v>589841</v>
      </c>
      <c r="AZ20" s="146">
        <f t="shared" ca="1" si="48"/>
        <v>0.99942898583139328</v>
      </c>
      <c r="BA20" s="35">
        <f>SUM(BA17:BA19)</f>
        <v>245034</v>
      </c>
      <c r="BB20" s="80">
        <f t="shared" ca="1" si="49"/>
        <v>279674</v>
      </c>
      <c r="BC20" s="131">
        <f ca="1">IFERROR(BA20/BB20,"")</f>
        <v>0.87614150761243448</v>
      </c>
      <c r="BD20" s="81">
        <f t="shared" ca="1" si="51"/>
        <v>268160</v>
      </c>
      <c r="BE20" s="131">
        <f t="shared" ca="1" si="52"/>
        <v>0.95883063852914463</v>
      </c>
      <c r="BF20" s="43">
        <f>SUM(BF17:BF19)</f>
        <v>783756</v>
      </c>
      <c r="BG20" s="44">
        <f t="shared" ca="1" si="53"/>
        <v>1123619</v>
      </c>
      <c r="BH20" s="168">
        <f ca="1">IFERROR(BF20/BG20,"")</f>
        <v>0.69752825468419455</v>
      </c>
      <c r="BI20" s="77">
        <f t="shared" ca="1" si="55"/>
        <v>1075441</v>
      </c>
      <c r="BJ20" s="168">
        <f t="shared" ca="1" si="56"/>
        <v>0.95712247656901495</v>
      </c>
      <c r="BK20" s="35">
        <f>SUM(BK17:BK19)</f>
        <v>890566</v>
      </c>
      <c r="BL20" s="80">
        <f t="shared" ca="1" si="57"/>
        <v>946255</v>
      </c>
      <c r="BM20" s="131">
        <f ca="1">IFERROR(BK20/BL20,"")</f>
        <v>0.94114799921796977</v>
      </c>
      <c r="BN20" s="81">
        <f t="shared" ca="1" si="59"/>
        <v>937110</v>
      </c>
      <c r="BO20" s="131">
        <f t="shared" ca="1" si="90"/>
        <v>0.99033558607352146</v>
      </c>
      <c r="BP20" s="36">
        <f>SUM(BP17:BP19)</f>
        <v>336985</v>
      </c>
      <c r="BQ20" s="90">
        <f t="shared" ca="1" si="61"/>
        <v>354248</v>
      </c>
      <c r="BR20" s="146">
        <f ca="1">IFERROR(BP20/BQ20,"")</f>
        <v>0.9512686027867483</v>
      </c>
      <c r="BS20" s="81">
        <f t="shared" ca="1" si="63"/>
        <v>345187</v>
      </c>
      <c r="BT20" s="146">
        <f t="shared" ca="1" si="64"/>
        <v>0.97442187394141955</v>
      </c>
      <c r="BU20" s="35">
        <f>SUM(BU17:BU19)</f>
        <v>845015</v>
      </c>
      <c r="BV20" s="80">
        <f t="shared" ca="1" si="65"/>
        <v>863260</v>
      </c>
      <c r="BW20" s="131">
        <f ca="1">IFERROR(BU20/BV20,"")</f>
        <v>0.97886500011583999</v>
      </c>
      <c r="BX20" s="81">
        <f t="shared" ca="1" si="67"/>
        <v>889381</v>
      </c>
      <c r="BY20" s="131">
        <f t="shared" ca="1" si="68"/>
        <v>1.030258554780715</v>
      </c>
      <c r="BZ20" s="43">
        <f>SUM(BZ17:BZ19)</f>
        <v>795422</v>
      </c>
      <c r="CA20" s="44">
        <f t="shared" ca="1" si="69"/>
        <v>2163763</v>
      </c>
      <c r="CB20" s="168">
        <f ca="1">IFERROR(BZ20/CA20,"")</f>
        <v>0.36761050078035351</v>
      </c>
      <c r="CC20" s="77">
        <f t="shared" ca="1" si="71"/>
        <v>2171678</v>
      </c>
      <c r="CD20" s="168">
        <f t="shared" ca="1" si="72"/>
        <v>1.0036579791779414</v>
      </c>
      <c r="CE20" s="52">
        <f>SUM(CE17:CE19)</f>
        <v>466250</v>
      </c>
      <c r="CF20" s="53">
        <f t="shared" ca="1" si="77"/>
        <v>10218025</v>
      </c>
      <c r="CG20" s="215">
        <f ca="1">IFERROR(CE20/CF20,"")</f>
        <v>4.5630148683331664E-2</v>
      </c>
      <c r="CH20" s="78">
        <f t="shared" ca="1" si="8"/>
        <v>10118338</v>
      </c>
      <c r="CI20" s="145">
        <f t="shared" ca="1" si="75"/>
        <v>0.99024400507925947</v>
      </c>
    </row>
    <row r="21" spans="1:88" s="7" customFormat="1" ht="13.15">
      <c r="A21" s="14" t="s">
        <v>47</v>
      </c>
      <c r="B21" s="285">
        <v>0.16</v>
      </c>
      <c r="C21" s="83">
        <v>295555</v>
      </c>
      <c r="D21" s="80">
        <f t="shared" ca="1" si="9"/>
        <v>350333</v>
      </c>
      <c r="E21" s="130">
        <f t="shared" ca="1" si="10"/>
        <v>0.84364019375850974</v>
      </c>
      <c r="F21" s="81">
        <f t="shared" ca="1" si="11"/>
        <v>311109</v>
      </c>
      <c r="G21" s="130">
        <f t="shared" ca="1" si="12"/>
        <v>0.88803795246237149</v>
      </c>
      <c r="H21" s="82">
        <v>692319</v>
      </c>
      <c r="I21" s="90">
        <f t="shared" ca="1" si="13"/>
        <v>724568</v>
      </c>
      <c r="J21" s="145">
        <f t="shared" ca="1" si="14"/>
        <v>0.95549210012034758</v>
      </c>
      <c r="K21" s="81">
        <f t="shared" ca="1" si="15"/>
        <v>740215</v>
      </c>
      <c r="L21" s="145">
        <f t="shared" ca="1" si="16"/>
        <v>1.0215949365691004</v>
      </c>
      <c r="M21" s="83">
        <v>993036</v>
      </c>
      <c r="N21" s="80">
        <f t="shared" ca="1" si="17"/>
        <v>1031932</v>
      </c>
      <c r="O21" s="130">
        <f t="shared" ca="1" si="18"/>
        <v>0.96230759391122667</v>
      </c>
      <c r="P21" s="81">
        <f t="shared" ca="1" si="19"/>
        <v>1024453</v>
      </c>
      <c r="Q21" s="130">
        <f t="shared" ca="1" si="20"/>
        <v>0.99275242942364417</v>
      </c>
      <c r="R21" s="96">
        <v>678229</v>
      </c>
      <c r="S21" s="85">
        <f t="shared" ca="1" si="78"/>
        <v>2106833</v>
      </c>
      <c r="T21" s="167">
        <f t="shared" ca="1" si="22"/>
        <v>0.32191872825231044</v>
      </c>
      <c r="U21" s="283">
        <f t="shared" ca="1" si="79"/>
        <v>2075777</v>
      </c>
      <c r="V21" s="167">
        <f t="shared" ca="1" si="24"/>
        <v>0.98525939170309185</v>
      </c>
      <c r="W21" s="83">
        <v>841657</v>
      </c>
      <c r="X21" s="80">
        <f t="shared" ca="1" si="25"/>
        <v>938214</v>
      </c>
      <c r="Y21" s="130">
        <f t="shared" ref="Y21:Y30" ca="1" si="94">IFERROR(W21/X21,"")</f>
        <v>0.89708424730392</v>
      </c>
      <c r="Z21" s="81">
        <f t="shared" ca="1" si="27"/>
        <v>882432</v>
      </c>
      <c r="AA21" s="130">
        <f t="shared" ca="1" si="81"/>
        <v>0.94054448132302437</v>
      </c>
      <c r="AB21" s="82">
        <v>569529</v>
      </c>
      <c r="AC21" s="90">
        <f t="shared" ca="1" si="29"/>
        <v>594256</v>
      </c>
      <c r="AD21" s="145">
        <f t="shared" ref="AD21:AD30" ca="1" si="95">IFERROR(AB21/AC21,"")</f>
        <v>0.95838998680703269</v>
      </c>
      <c r="AE21" s="81">
        <f t="shared" ca="1" si="31"/>
        <v>598796</v>
      </c>
      <c r="AF21" s="145">
        <f t="shared" ca="1" si="32"/>
        <v>1.0076398050671764</v>
      </c>
      <c r="AG21" s="83">
        <v>290624</v>
      </c>
      <c r="AH21" s="80">
        <f t="shared" ca="1" si="33"/>
        <v>342437</v>
      </c>
      <c r="AI21" s="130">
        <f t="shared" ref="AI21:AI30" ca="1" si="96">IFERROR(AG21/AH21,"")</f>
        <v>0.84869333629251509</v>
      </c>
      <c r="AJ21" s="81">
        <f t="shared" ca="1" si="35"/>
        <v>301951</v>
      </c>
      <c r="AK21" s="130">
        <f t="shared" ca="1" si="36"/>
        <v>0.88177095348925494</v>
      </c>
      <c r="AL21" s="96">
        <v>554546</v>
      </c>
      <c r="AM21" s="85">
        <f t="shared" ca="1" si="76"/>
        <v>1874907</v>
      </c>
      <c r="AN21" s="167">
        <f t="shared" ca="1" si="38"/>
        <v>0.29577253698450112</v>
      </c>
      <c r="AO21" s="86">
        <f t="shared" ca="1" si="39"/>
        <v>1783179</v>
      </c>
      <c r="AP21" s="167">
        <f t="shared" ca="1" si="40"/>
        <v>0.95107597336827909</v>
      </c>
      <c r="AQ21" s="83">
        <v>381590</v>
      </c>
      <c r="AR21" s="80">
        <f t="shared" ca="1" si="41"/>
        <v>444961</v>
      </c>
      <c r="AS21" s="130">
        <f t="shared" ref="AS21:AS30" ca="1" si="97">IFERROR(AQ21/AR21,"")</f>
        <v>0.85758077674223132</v>
      </c>
      <c r="AT21" s="81">
        <f t="shared" ca="1" si="43"/>
        <v>400755</v>
      </c>
      <c r="AU21" s="130">
        <f t="shared" ca="1" si="85"/>
        <v>0.90065196725106245</v>
      </c>
      <c r="AV21" s="82">
        <v>715123</v>
      </c>
      <c r="AW21" s="90">
        <f t="shared" ca="1" si="45"/>
        <v>812176</v>
      </c>
      <c r="AX21" s="145">
        <f t="shared" ref="AX21:AX30" ca="1" si="98">IFERROR(AV21/AW21,"")</f>
        <v>0.88050250192076596</v>
      </c>
      <c r="AY21" s="81">
        <f t="shared" ca="1" si="47"/>
        <v>761164</v>
      </c>
      <c r="AZ21" s="145">
        <f t="shared" ca="1" si="48"/>
        <v>0.93719095368491556</v>
      </c>
      <c r="BA21" s="83">
        <v>843638</v>
      </c>
      <c r="BB21" s="80">
        <f t="shared" ca="1" si="49"/>
        <v>873240</v>
      </c>
      <c r="BC21" s="130">
        <f t="shared" ref="BC21:BC30" ca="1" si="99">IFERROR(BA21/BB21,"")</f>
        <v>0.96610095735422108</v>
      </c>
      <c r="BD21" s="81">
        <f t="shared" ca="1" si="51"/>
        <v>865506</v>
      </c>
      <c r="BE21" s="130">
        <f t="shared" ca="1" si="52"/>
        <v>0.99114332829462692</v>
      </c>
      <c r="BF21" s="96">
        <v>153222</v>
      </c>
      <c r="BG21" s="85">
        <f t="shared" ca="1" si="53"/>
        <v>2130377</v>
      </c>
      <c r="BH21" s="167">
        <f t="shared" ref="BH21:BH27" ca="1" si="100">IFERROR(BF21/BG21,"")</f>
        <v>7.1922481326075149E-2</v>
      </c>
      <c r="BI21" s="86">
        <f t="shared" ca="1" si="55"/>
        <v>2027425</v>
      </c>
      <c r="BJ21" s="167">
        <f t="shared" ca="1" si="56"/>
        <v>0.95167428112489005</v>
      </c>
      <c r="BK21" s="83">
        <v>448744</v>
      </c>
      <c r="BL21" s="80">
        <f t="shared" ca="1" si="57"/>
        <v>513846</v>
      </c>
      <c r="BM21" s="130">
        <f t="shared" ref="BM21:BM30" ca="1" si="101">IFERROR(BK21/BL21,"")</f>
        <v>0.87330445308516558</v>
      </c>
      <c r="BN21" s="81">
        <f t="shared" ca="1" si="59"/>
        <v>475291</v>
      </c>
      <c r="BO21" s="130">
        <f t="shared" ca="1" si="90"/>
        <v>0.92496779190652456</v>
      </c>
      <c r="BP21" s="82">
        <v>462099</v>
      </c>
      <c r="BQ21" s="90">
        <f t="shared" ca="1" si="61"/>
        <v>474034</v>
      </c>
      <c r="BR21" s="145">
        <f t="shared" ref="BR21:BR30" ca="1" si="102">IFERROR(BP21/BQ21,"")</f>
        <v>0.97482248108785441</v>
      </c>
      <c r="BS21" s="81">
        <f t="shared" ca="1" si="63"/>
        <v>508044</v>
      </c>
      <c r="BT21" s="145">
        <f t="shared" ca="1" si="64"/>
        <v>1.0717459085213297</v>
      </c>
      <c r="BU21" s="83">
        <v>823175</v>
      </c>
      <c r="BV21" s="80">
        <f t="shared" ca="1" si="65"/>
        <v>840176</v>
      </c>
      <c r="BW21" s="130">
        <f t="shared" ref="BW21:BW30" ca="1" si="103">IFERROR(BU21/BV21,"")</f>
        <v>0.97976495400963604</v>
      </c>
      <c r="BX21" s="81">
        <f t="shared" ca="1" si="67"/>
        <v>853341</v>
      </c>
      <c r="BY21" s="130">
        <f t="shared" ca="1" si="68"/>
        <v>1.0156693359486584</v>
      </c>
      <c r="BZ21" s="96">
        <v>379485</v>
      </c>
      <c r="CA21" s="85">
        <f t="shared" ca="1" si="69"/>
        <v>1828056</v>
      </c>
      <c r="CB21" s="167">
        <f t="shared" ref="CB21:CB27" ca="1" si="104">IFERROR(BZ21/CA21,"")</f>
        <v>0.20758937362969188</v>
      </c>
      <c r="CC21" s="86">
        <f t="shared" ca="1" si="71"/>
        <v>1836676</v>
      </c>
      <c r="CD21" s="167">
        <f t="shared" ca="1" si="72"/>
        <v>1.0047153916510216</v>
      </c>
      <c r="CE21" s="97">
        <v>537996</v>
      </c>
      <c r="CF21" s="88">
        <f t="shared" ca="1" si="77"/>
        <v>7940173</v>
      </c>
      <c r="CG21" s="201">
        <f t="shared" ca="1" si="74"/>
        <v>6.7756206319434104E-2</v>
      </c>
      <c r="CH21" s="89">
        <f t="shared" ca="1" si="8"/>
        <v>7723057</v>
      </c>
      <c r="CI21" s="145">
        <f t="shared" ca="1" si="75"/>
        <v>0.97265601139924784</v>
      </c>
    </row>
    <row r="22" spans="1:88" s="7" customFormat="1" ht="13.15">
      <c r="A22" s="14" t="s">
        <v>43</v>
      </c>
      <c r="B22" s="285">
        <v>0.18</v>
      </c>
      <c r="C22" s="80">
        <v>443590</v>
      </c>
      <c r="D22" s="80">
        <f t="shared" ca="1" si="9"/>
        <v>541745</v>
      </c>
      <c r="E22" s="130">
        <f t="shared" ca="1" si="10"/>
        <v>0.81881697108418172</v>
      </c>
      <c r="F22" s="81">
        <f t="shared" ca="1" si="11"/>
        <v>486050</v>
      </c>
      <c r="G22" s="130">
        <f t="shared" ca="1" si="12"/>
        <v>0.89719332896473436</v>
      </c>
      <c r="H22" s="82">
        <v>696735</v>
      </c>
      <c r="I22" s="90">
        <f t="shared" ca="1" si="13"/>
        <v>721308</v>
      </c>
      <c r="J22" s="145">
        <f t="shared" ca="1" si="14"/>
        <v>0.965932722221298</v>
      </c>
      <c r="K22" s="81">
        <f t="shared" ca="1" si="15"/>
        <v>721035</v>
      </c>
      <c r="L22" s="145">
        <f t="shared" ca="1" si="16"/>
        <v>0.99962152090369161</v>
      </c>
      <c r="M22" s="83">
        <v>284124</v>
      </c>
      <c r="N22" s="80">
        <f t="shared" ca="1" si="17"/>
        <v>338120</v>
      </c>
      <c r="O22" s="130">
        <f t="shared" ca="1" si="18"/>
        <v>0.84030521708269257</v>
      </c>
      <c r="P22" s="81">
        <f t="shared" ca="1" si="19"/>
        <v>303640</v>
      </c>
      <c r="Q22" s="130">
        <f t="shared" ca="1" si="20"/>
        <v>0.89802437004613744</v>
      </c>
      <c r="R22" s="96">
        <v>700028</v>
      </c>
      <c r="S22" s="85">
        <f t="shared" ca="1" si="78"/>
        <v>1601173</v>
      </c>
      <c r="T22" s="167">
        <f t="shared" ca="1" si="22"/>
        <v>0.43719697996406387</v>
      </c>
      <c r="U22" s="283">
        <f t="shared" ca="1" si="79"/>
        <v>1510725</v>
      </c>
      <c r="V22" s="167">
        <f t="shared" ca="1" si="24"/>
        <v>0.94351141319520127</v>
      </c>
      <c r="W22" s="80">
        <v>904709</v>
      </c>
      <c r="X22" s="80">
        <f t="shared" ca="1" si="25"/>
        <v>971935</v>
      </c>
      <c r="Y22" s="130">
        <f t="shared" ca="1" si="94"/>
        <v>0.93083282318262028</v>
      </c>
      <c r="Z22" s="81">
        <f t="shared" ca="1" si="27"/>
        <v>954560</v>
      </c>
      <c r="AA22" s="130">
        <f t="shared" ca="1" si="81"/>
        <v>0.98212329013771493</v>
      </c>
      <c r="AB22" s="82">
        <v>822385</v>
      </c>
      <c r="AC22" s="90">
        <f t="shared" ca="1" si="29"/>
        <v>863404</v>
      </c>
      <c r="AD22" s="145">
        <f t="shared" ca="1" si="95"/>
        <v>0.9524915335115427</v>
      </c>
      <c r="AE22" s="81">
        <f t="shared" ca="1" si="31"/>
        <v>829316</v>
      </c>
      <c r="AF22" s="145">
        <f t="shared" ca="1" si="32"/>
        <v>0.96051906176019564</v>
      </c>
      <c r="AG22" s="83">
        <v>433448</v>
      </c>
      <c r="AH22" s="80">
        <f t="shared" ca="1" si="33"/>
        <v>532433</v>
      </c>
      <c r="AI22" s="130">
        <f t="shared" ca="1" si="96"/>
        <v>0.8140892844733516</v>
      </c>
      <c r="AJ22" s="81">
        <f t="shared" ca="1" si="35"/>
        <v>460793</v>
      </c>
      <c r="AK22" s="130">
        <f t="shared" ca="1" si="36"/>
        <v>0.86544785916725675</v>
      </c>
      <c r="AL22" s="96">
        <v>297892</v>
      </c>
      <c r="AM22" s="85">
        <f t="shared" ca="1" si="76"/>
        <v>2367772</v>
      </c>
      <c r="AN22" s="167">
        <f t="shared" ca="1" si="38"/>
        <v>0.12581110005524179</v>
      </c>
      <c r="AO22" s="86">
        <f t="shared" ca="1" si="39"/>
        <v>2244669</v>
      </c>
      <c r="AP22" s="167">
        <f t="shared" ca="1" si="40"/>
        <v>0.94800892991385999</v>
      </c>
      <c r="AQ22" s="80">
        <v>316810</v>
      </c>
      <c r="AR22" s="80">
        <f t="shared" ca="1" si="41"/>
        <v>328819</v>
      </c>
      <c r="AS22" s="130">
        <f t="shared" ca="1" si="97"/>
        <v>0.96347838780605743</v>
      </c>
      <c r="AT22" s="81">
        <f t="shared" ca="1" si="43"/>
        <v>343564</v>
      </c>
      <c r="AU22" s="130">
        <f t="shared" ca="1" si="85"/>
        <v>1.0448422992588628</v>
      </c>
      <c r="AV22" s="82">
        <v>594489</v>
      </c>
      <c r="AW22" s="90">
        <f t="shared" ca="1" si="45"/>
        <v>681181</v>
      </c>
      <c r="AX22" s="145">
        <f t="shared" ca="1" si="98"/>
        <v>0.87273279789072211</v>
      </c>
      <c r="AY22" s="81">
        <f t="shared" ca="1" si="47"/>
        <v>616208</v>
      </c>
      <c r="AZ22" s="145">
        <f t="shared" ca="1" si="48"/>
        <v>0.90461712819353446</v>
      </c>
      <c r="BA22" s="83">
        <v>133019</v>
      </c>
      <c r="BB22" s="80">
        <f t="shared" ca="1" si="49"/>
        <v>191083</v>
      </c>
      <c r="BC22" s="130">
        <f t="shared" ca="1" si="99"/>
        <v>0.69613204733021772</v>
      </c>
      <c r="BD22" s="81">
        <f t="shared" ca="1" si="51"/>
        <v>159647</v>
      </c>
      <c r="BE22" s="130">
        <f t="shared" ca="1" si="52"/>
        <v>0.83548510333205994</v>
      </c>
      <c r="BF22" s="96">
        <v>493793</v>
      </c>
      <c r="BG22" s="85">
        <f t="shared" ca="1" si="53"/>
        <v>1201083</v>
      </c>
      <c r="BH22" s="167">
        <f t="shared" ca="1" si="100"/>
        <v>0.41112312804360729</v>
      </c>
      <c r="BI22" s="86">
        <f t="shared" ca="1" si="55"/>
        <v>1119419</v>
      </c>
      <c r="BJ22" s="167">
        <f t="shared" ca="1" si="56"/>
        <v>0.93200802942011496</v>
      </c>
      <c r="BK22" s="80">
        <v>243751</v>
      </c>
      <c r="BL22" s="80">
        <f t="shared" ca="1" si="57"/>
        <v>261786</v>
      </c>
      <c r="BM22" s="130">
        <f t="shared" ca="1" si="101"/>
        <v>0.93110785145118535</v>
      </c>
      <c r="BN22" s="81">
        <f t="shared" ca="1" si="59"/>
        <v>255354</v>
      </c>
      <c r="BO22" s="130">
        <f t="shared" ca="1" si="90"/>
        <v>0.97543031330934427</v>
      </c>
      <c r="BP22" s="82">
        <v>288459</v>
      </c>
      <c r="BQ22" s="90">
        <f t="shared" ca="1" si="61"/>
        <v>357613</v>
      </c>
      <c r="BR22" s="145">
        <f t="shared" ca="1" si="102"/>
        <v>0.80662336100756959</v>
      </c>
      <c r="BS22" s="81">
        <f t="shared" ca="1" si="63"/>
        <v>306515</v>
      </c>
      <c r="BT22" s="145">
        <f t="shared" ca="1" si="64"/>
        <v>0.85711369553120276</v>
      </c>
      <c r="BU22" s="83">
        <v>969390</v>
      </c>
      <c r="BV22" s="80">
        <f t="shared" ca="1" si="65"/>
        <v>1045835</v>
      </c>
      <c r="BW22" s="130">
        <f t="shared" ca="1" si="103"/>
        <v>0.92690529576845293</v>
      </c>
      <c r="BX22" s="81">
        <f t="shared" ca="1" si="67"/>
        <v>1012979</v>
      </c>
      <c r="BY22" s="130">
        <f t="shared" ca="1" si="68"/>
        <v>0.96858395444788137</v>
      </c>
      <c r="BZ22" s="96">
        <v>163732</v>
      </c>
      <c r="CA22" s="85">
        <f t="shared" ca="1" si="69"/>
        <v>1665234</v>
      </c>
      <c r="CB22" s="167">
        <f t="shared" ca="1" si="104"/>
        <v>9.832371906891163E-2</v>
      </c>
      <c r="CC22" s="86">
        <f t="shared" ca="1" si="71"/>
        <v>1574848</v>
      </c>
      <c r="CD22" s="167">
        <f t="shared" ca="1" si="72"/>
        <v>0.94572174240977547</v>
      </c>
      <c r="CE22" s="97">
        <v>540114</v>
      </c>
      <c r="CF22" s="88">
        <f t="shared" ca="1" si="77"/>
        <v>6835262</v>
      </c>
      <c r="CG22" s="201">
        <f t="shared" ca="1" si="74"/>
        <v>7.9018770604550342E-2</v>
      </c>
      <c r="CH22" s="89">
        <f t="shared" ca="1" si="8"/>
        <v>6449661</v>
      </c>
      <c r="CI22" s="145">
        <f t="shared" ca="1" si="75"/>
        <v>0.94358650773006214</v>
      </c>
    </row>
    <row r="23" spans="1:88" s="7" customFormat="1" ht="13.15">
      <c r="A23" s="13" t="s">
        <v>44</v>
      </c>
      <c r="B23" s="285">
        <v>0.2</v>
      </c>
      <c r="C23" s="83">
        <v>223224</v>
      </c>
      <c r="D23" s="80">
        <f t="shared" ca="1" si="9"/>
        <v>263358</v>
      </c>
      <c r="E23" s="130">
        <f t="shared" ca="1" si="10"/>
        <v>0.84760667988061877</v>
      </c>
      <c r="F23" s="81">
        <f t="shared" ca="1" si="11"/>
        <v>261299</v>
      </c>
      <c r="G23" s="130">
        <f t="shared" ca="1" si="12"/>
        <v>0.99218174500110112</v>
      </c>
      <c r="H23" s="82">
        <v>141154</v>
      </c>
      <c r="I23" s="90">
        <f t="shared" ca="1" si="13"/>
        <v>234083</v>
      </c>
      <c r="J23" s="145">
        <f t="shared" ca="1" si="14"/>
        <v>0.60300833465052994</v>
      </c>
      <c r="K23" s="81">
        <f t="shared" ca="1" si="15"/>
        <v>171892</v>
      </c>
      <c r="L23" s="145">
        <f t="shared" ca="1" si="16"/>
        <v>0.73432073238979334</v>
      </c>
      <c r="M23" s="83">
        <v>985764</v>
      </c>
      <c r="N23" s="80">
        <f t="shared" ca="1" si="17"/>
        <v>1001834</v>
      </c>
      <c r="O23" s="130">
        <f t="shared" ca="1" si="18"/>
        <v>0.98395941842660561</v>
      </c>
      <c r="P23" s="81">
        <f t="shared" ca="1" si="19"/>
        <v>1006382</v>
      </c>
      <c r="Q23" s="130">
        <f t="shared" ca="1" si="20"/>
        <v>1.0045396742374486</v>
      </c>
      <c r="R23" s="96">
        <v>133977</v>
      </c>
      <c r="S23" s="85">
        <f t="shared" ca="1" si="78"/>
        <v>1499275</v>
      </c>
      <c r="T23" s="167">
        <f t="shared" ca="1" si="22"/>
        <v>8.9361191242433843E-2</v>
      </c>
      <c r="U23" s="283">
        <f t="shared" ca="1" si="79"/>
        <v>1439573</v>
      </c>
      <c r="V23" s="167">
        <f t="shared" ca="1" si="24"/>
        <v>0.96017942005302559</v>
      </c>
      <c r="W23" s="83">
        <v>165292</v>
      </c>
      <c r="X23" s="80">
        <f t="shared" ca="1" si="25"/>
        <v>207638</v>
      </c>
      <c r="Y23" s="130">
        <f t="shared" ca="1" si="94"/>
        <v>0.79605852493281581</v>
      </c>
      <c r="Z23" s="81">
        <f t="shared" ca="1" si="27"/>
        <v>200950</v>
      </c>
      <c r="AA23" s="130">
        <f t="shared" ca="1" si="81"/>
        <v>0.9677900962251611</v>
      </c>
      <c r="AB23" s="82">
        <v>444500</v>
      </c>
      <c r="AC23" s="90">
        <f t="shared" ca="1" si="29"/>
        <v>539084</v>
      </c>
      <c r="AD23" s="145">
        <f t="shared" ca="1" si="95"/>
        <v>0.82454682387160438</v>
      </c>
      <c r="AE23" s="81">
        <f t="shared" ca="1" si="31"/>
        <v>482999</v>
      </c>
      <c r="AF23" s="145">
        <f t="shared" ca="1" si="32"/>
        <v>0.89596241031082358</v>
      </c>
      <c r="AG23" s="83">
        <v>730365</v>
      </c>
      <c r="AH23" s="80">
        <f t="shared" ca="1" si="33"/>
        <v>759365</v>
      </c>
      <c r="AI23" s="130">
        <f t="shared" ca="1" si="96"/>
        <v>0.96181019667748713</v>
      </c>
      <c r="AJ23" s="81">
        <f t="shared" ca="1" si="35"/>
        <v>775090</v>
      </c>
      <c r="AK23" s="130">
        <f t="shared" ca="1" si="36"/>
        <v>1.0207080916291902</v>
      </c>
      <c r="AL23" s="96">
        <v>804584</v>
      </c>
      <c r="AM23" s="85">
        <f t="shared" ca="1" si="76"/>
        <v>1506087</v>
      </c>
      <c r="AN23" s="167">
        <f t="shared" ca="1" si="38"/>
        <v>0.53422146263794856</v>
      </c>
      <c r="AO23" s="86">
        <f t="shared" ca="1" si="39"/>
        <v>1459039</v>
      </c>
      <c r="AP23" s="167">
        <f t="shared" ca="1" si="40"/>
        <v>0.96876143277247595</v>
      </c>
      <c r="AQ23" s="83">
        <v>205454</v>
      </c>
      <c r="AR23" s="80">
        <f t="shared" ca="1" si="41"/>
        <v>252571</v>
      </c>
      <c r="AS23" s="130">
        <f t="shared" ca="1" si="97"/>
        <v>0.81345047531189252</v>
      </c>
      <c r="AT23" s="81">
        <f t="shared" ca="1" si="43"/>
        <v>243833</v>
      </c>
      <c r="AU23" s="130">
        <f t="shared" ca="1" si="85"/>
        <v>0.96540378744986555</v>
      </c>
      <c r="AV23" s="82">
        <v>316486</v>
      </c>
      <c r="AW23" s="90">
        <f t="shared" ca="1" si="45"/>
        <v>352875</v>
      </c>
      <c r="AX23" s="145">
        <f t="shared" ca="1" si="98"/>
        <v>0.89687849805171804</v>
      </c>
      <c r="AY23" s="81">
        <f t="shared" ca="1" si="47"/>
        <v>349988</v>
      </c>
      <c r="AZ23" s="145">
        <f t="shared" ca="1" si="48"/>
        <v>0.99181863266029047</v>
      </c>
      <c r="BA23" s="83">
        <v>408658</v>
      </c>
      <c r="BB23" s="80">
        <f t="shared" ca="1" si="49"/>
        <v>475287</v>
      </c>
      <c r="BC23" s="130">
        <f t="shared" ca="1" si="99"/>
        <v>0.85981312343910099</v>
      </c>
      <c r="BD23" s="81">
        <f t="shared" ca="1" si="51"/>
        <v>430255</v>
      </c>
      <c r="BE23" s="130">
        <f t="shared" ca="1" si="52"/>
        <v>0.90525303658631517</v>
      </c>
      <c r="BF23" s="96">
        <v>752707</v>
      </c>
      <c r="BG23" s="85">
        <f t="shared" ca="1" si="53"/>
        <v>1080733</v>
      </c>
      <c r="BH23" s="167">
        <f t="shared" ca="1" si="100"/>
        <v>0.69647822357603595</v>
      </c>
      <c r="BI23" s="86">
        <f t="shared" ca="1" si="55"/>
        <v>1024076</v>
      </c>
      <c r="BJ23" s="167">
        <f t="shared" ca="1" si="56"/>
        <v>0.94757539558799442</v>
      </c>
      <c r="BK23" s="83">
        <v>202169</v>
      </c>
      <c r="BL23" s="80">
        <f t="shared" ca="1" si="57"/>
        <v>265904</v>
      </c>
      <c r="BM23" s="130">
        <f t="shared" ca="1" si="101"/>
        <v>0.76030823154221072</v>
      </c>
      <c r="BN23" s="81">
        <f t="shared" ca="1" si="59"/>
        <v>208432</v>
      </c>
      <c r="BO23" s="130">
        <f t="shared" ca="1" si="90"/>
        <v>0.78386184487634636</v>
      </c>
      <c r="BP23" s="82">
        <v>162984</v>
      </c>
      <c r="BQ23" s="90">
        <f t="shared" ca="1" si="61"/>
        <v>204506</v>
      </c>
      <c r="BR23" s="145">
        <f t="shared" ca="1" si="102"/>
        <v>0.79696439224277038</v>
      </c>
      <c r="BS23" s="81">
        <f t="shared" ca="1" si="63"/>
        <v>180753</v>
      </c>
      <c r="BT23" s="145">
        <f t="shared" ca="1" si="64"/>
        <v>0.88385181852855177</v>
      </c>
      <c r="BU23" s="83">
        <v>813673</v>
      </c>
      <c r="BV23" s="80">
        <f t="shared" ca="1" si="65"/>
        <v>848669</v>
      </c>
      <c r="BW23" s="130">
        <f t="shared" ca="1" si="103"/>
        <v>0.95876366404334312</v>
      </c>
      <c r="BX23" s="81">
        <f t="shared" ca="1" si="67"/>
        <v>826307</v>
      </c>
      <c r="BY23" s="130">
        <f t="shared" ca="1" si="68"/>
        <v>0.97365050449586354</v>
      </c>
      <c r="BZ23" s="96">
        <v>468189</v>
      </c>
      <c r="CA23" s="85">
        <f t="shared" ca="1" si="69"/>
        <v>1319079</v>
      </c>
      <c r="CB23" s="167">
        <f t="shared" ca="1" si="104"/>
        <v>0.35493628508982406</v>
      </c>
      <c r="CC23" s="86">
        <f t="shared" ca="1" si="71"/>
        <v>1215492</v>
      </c>
      <c r="CD23" s="167">
        <f t="shared" ca="1" si="72"/>
        <v>0.92147020762213638</v>
      </c>
      <c r="CE23" s="97">
        <v>274670</v>
      </c>
      <c r="CF23" s="88">
        <f t="shared" ca="1" si="77"/>
        <v>5405174</v>
      </c>
      <c r="CG23" s="201">
        <f t="shared" ca="1" si="74"/>
        <v>5.0816125438330015E-2</v>
      </c>
      <c r="CH23" s="89">
        <f t="shared" ca="1" si="8"/>
        <v>5138180</v>
      </c>
      <c r="CI23" s="145">
        <f t="shared" ca="1" si="75"/>
        <v>0.95060399535704121</v>
      </c>
    </row>
    <row r="24" spans="1:88" s="7" customFormat="1" ht="13.15">
      <c r="A24" s="12" t="s">
        <v>45</v>
      </c>
      <c r="B24" s="285">
        <v>0.11</v>
      </c>
      <c r="C24" s="83">
        <v>655519</v>
      </c>
      <c r="D24" s="80">
        <f t="shared" ca="1" si="9"/>
        <v>691481</v>
      </c>
      <c r="E24" s="130">
        <f t="shared" ca="1" si="10"/>
        <v>0.9479927864973875</v>
      </c>
      <c r="F24" s="81">
        <f t="shared" ca="1" si="11"/>
        <v>667238</v>
      </c>
      <c r="G24" s="130">
        <f t="shared" ca="1" si="12"/>
        <v>0.96494046835704816</v>
      </c>
      <c r="H24" s="82">
        <v>996995</v>
      </c>
      <c r="I24" s="90">
        <f t="shared" ca="1" si="13"/>
        <v>1030871</v>
      </c>
      <c r="J24" s="145">
        <f t="shared" ca="1" si="14"/>
        <v>0.96713846834375983</v>
      </c>
      <c r="K24" s="81">
        <f t="shared" ca="1" si="15"/>
        <v>1023994</v>
      </c>
      <c r="L24" s="145">
        <f t="shared" ca="1" si="16"/>
        <v>0.99332894222458479</v>
      </c>
      <c r="M24" s="83">
        <v>198059</v>
      </c>
      <c r="N24" s="80">
        <f t="shared" ca="1" si="17"/>
        <v>213725</v>
      </c>
      <c r="O24" s="130">
        <f t="shared" ca="1" si="18"/>
        <v>0.92670019885366706</v>
      </c>
      <c r="P24" s="81">
        <f t="shared" ca="1" si="19"/>
        <v>224269</v>
      </c>
      <c r="Q24" s="130">
        <f t="shared" ca="1" si="20"/>
        <v>1.0493344250789567</v>
      </c>
      <c r="R24" s="96">
        <v>258656</v>
      </c>
      <c r="S24" s="85">
        <f t="shared" ca="1" si="78"/>
        <v>1936077</v>
      </c>
      <c r="T24" s="167">
        <f t="shared" ca="1" si="22"/>
        <v>0.13359799222861488</v>
      </c>
      <c r="U24" s="283">
        <f t="shared" ca="1" si="79"/>
        <v>1915501</v>
      </c>
      <c r="V24" s="167">
        <f t="shared" ca="1" si="24"/>
        <v>0.98937232351812454</v>
      </c>
      <c r="W24" s="83">
        <v>670269</v>
      </c>
      <c r="X24" s="80">
        <f t="shared" ca="1" si="25"/>
        <v>768640</v>
      </c>
      <c r="Y24" s="130">
        <f t="shared" ca="1" si="94"/>
        <v>0.87201941090757706</v>
      </c>
      <c r="Z24" s="81">
        <f t="shared" ca="1" si="27"/>
        <v>720040</v>
      </c>
      <c r="AA24" s="130">
        <f t="shared" ca="1" si="81"/>
        <v>0.93677144046627814</v>
      </c>
      <c r="AB24" s="82">
        <v>424166</v>
      </c>
      <c r="AC24" s="90">
        <f t="shared" ca="1" si="29"/>
        <v>453964</v>
      </c>
      <c r="AD24" s="145">
        <f t="shared" ca="1" si="95"/>
        <v>0.93436043386700263</v>
      </c>
      <c r="AE24" s="81">
        <f t="shared" ca="1" si="31"/>
        <v>444189</v>
      </c>
      <c r="AF24" s="145">
        <f t="shared" ca="1" si="32"/>
        <v>0.97846745556916404</v>
      </c>
      <c r="AG24" s="83">
        <v>882050</v>
      </c>
      <c r="AH24" s="80">
        <f t="shared" ca="1" si="33"/>
        <v>898865</v>
      </c>
      <c r="AI24" s="130">
        <f t="shared" ca="1" si="96"/>
        <v>0.98129307515589104</v>
      </c>
      <c r="AJ24" s="81">
        <f t="shared" ca="1" si="35"/>
        <v>889885</v>
      </c>
      <c r="AK24" s="130">
        <f t="shared" ca="1" si="36"/>
        <v>0.99000962324709496</v>
      </c>
      <c r="AL24" s="96">
        <v>738495</v>
      </c>
      <c r="AM24" s="85">
        <f t="shared" ca="1" si="76"/>
        <v>2121469</v>
      </c>
      <c r="AN24" s="167">
        <f t="shared" ca="1" si="38"/>
        <v>0.34810548728263291</v>
      </c>
      <c r="AO24" s="86">
        <f t="shared" ca="1" si="39"/>
        <v>2054114</v>
      </c>
      <c r="AP24" s="167">
        <f t="shared" ca="1" si="40"/>
        <v>0.96825077340276955</v>
      </c>
      <c r="AQ24" s="83">
        <v>354913</v>
      </c>
      <c r="AR24" s="80">
        <f t="shared" ca="1" si="41"/>
        <v>378361</v>
      </c>
      <c r="AS24" s="130">
        <f t="shared" ca="1" si="97"/>
        <v>0.93802743940310973</v>
      </c>
      <c r="AT24" s="81">
        <f t="shared" ca="1" si="43"/>
        <v>403658</v>
      </c>
      <c r="AU24" s="130">
        <f t="shared" ca="1" si="85"/>
        <v>1.0668594279008672</v>
      </c>
      <c r="AV24" s="82">
        <v>268210</v>
      </c>
      <c r="AW24" s="90">
        <f t="shared" ca="1" si="45"/>
        <v>363691</v>
      </c>
      <c r="AX24" s="145">
        <f t="shared" ca="1" si="98"/>
        <v>0.73746669562898171</v>
      </c>
      <c r="AY24" s="81">
        <f t="shared" ca="1" si="47"/>
        <v>289591</v>
      </c>
      <c r="AZ24" s="145">
        <f t="shared" ca="1" si="48"/>
        <v>0.79625561259420774</v>
      </c>
      <c r="BA24" s="83">
        <v>801616</v>
      </c>
      <c r="BB24" s="80">
        <f t="shared" ca="1" si="49"/>
        <v>891900</v>
      </c>
      <c r="BC24" s="130">
        <f t="shared" ca="1" si="99"/>
        <v>0.89877340509025672</v>
      </c>
      <c r="BD24" s="81">
        <f t="shared" ca="1" si="51"/>
        <v>822951</v>
      </c>
      <c r="BE24" s="130">
        <f t="shared" ca="1" si="52"/>
        <v>0.92269424823410695</v>
      </c>
      <c r="BF24" s="96">
        <v>278349</v>
      </c>
      <c r="BG24" s="85">
        <f t="shared" ca="1" si="53"/>
        <v>1633952</v>
      </c>
      <c r="BH24" s="167">
        <f t="shared" ca="1" si="100"/>
        <v>0.17035322947063317</v>
      </c>
      <c r="BI24" s="86">
        <f t="shared" ca="1" si="55"/>
        <v>1516200</v>
      </c>
      <c r="BJ24" s="167">
        <f t="shared" ca="1" si="56"/>
        <v>0.92793423552221854</v>
      </c>
      <c r="BK24" s="83">
        <v>236663</v>
      </c>
      <c r="BL24" s="80">
        <f t="shared" ca="1" si="57"/>
        <v>316948</v>
      </c>
      <c r="BM24" s="130">
        <f t="shared" ca="1" si="101"/>
        <v>0.74669346391206126</v>
      </c>
      <c r="BN24" s="81">
        <f t="shared" ca="1" si="59"/>
        <v>266398</v>
      </c>
      <c r="BO24" s="130">
        <f t="shared" ca="1" si="90"/>
        <v>0.84051011522394836</v>
      </c>
      <c r="BP24" s="82">
        <v>414624</v>
      </c>
      <c r="BQ24" s="90">
        <f t="shared" ca="1" si="61"/>
        <v>502892</v>
      </c>
      <c r="BR24" s="145">
        <f t="shared" ca="1" si="102"/>
        <v>0.82447921223642451</v>
      </c>
      <c r="BS24" s="81">
        <f t="shared" ca="1" si="63"/>
        <v>459814</v>
      </c>
      <c r="BT24" s="145">
        <f t="shared" ca="1" si="64"/>
        <v>0.91433946056012028</v>
      </c>
      <c r="BU24" s="83">
        <v>299104</v>
      </c>
      <c r="BV24" s="80">
        <f t="shared" ca="1" si="65"/>
        <v>328732</v>
      </c>
      <c r="BW24" s="130">
        <f t="shared" ca="1" si="103"/>
        <v>0.90987187131158509</v>
      </c>
      <c r="BX24" s="81">
        <f t="shared" ca="1" si="67"/>
        <v>312159</v>
      </c>
      <c r="BY24" s="130">
        <f t="shared" ca="1" si="68"/>
        <v>0.94958507233856149</v>
      </c>
      <c r="BZ24" s="96">
        <v>658875</v>
      </c>
      <c r="CA24" s="85">
        <f t="shared" ca="1" si="69"/>
        <v>1148572</v>
      </c>
      <c r="CB24" s="167">
        <f t="shared" ca="1" si="104"/>
        <v>0.57364710266313301</v>
      </c>
      <c r="CC24" s="86">
        <f t="shared" ca="1" si="71"/>
        <v>1038371</v>
      </c>
      <c r="CD24" s="167">
        <f t="shared" ca="1" si="72"/>
        <v>0.90405390345576941</v>
      </c>
      <c r="CE24" s="97">
        <v>213267</v>
      </c>
      <c r="CF24" s="88">
        <f t="shared" ca="1" si="77"/>
        <v>6840070</v>
      </c>
      <c r="CG24" s="201">
        <f t="shared" ca="1" si="74"/>
        <v>3.1179066880894495E-2</v>
      </c>
      <c r="CH24" s="89">
        <f t="shared" ca="1" si="8"/>
        <v>6524186</v>
      </c>
      <c r="CI24" s="145">
        <f t="shared" ca="1" si="75"/>
        <v>0.95381860127162443</v>
      </c>
    </row>
    <row r="25" spans="1:88" s="7" customFormat="1" ht="13.15">
      <c r="A25" s="12" t="s">
        <v>46</v>
      </c>
      <c r="B25" s="285">
        <v>0.17</v>
      </c>
      <c r="C25" s="83">
        <v>991330</v>
      </c>
      <c r="D25" s="80">
        <f t="shared" ca="1" si="9"/>
        <v>1061874</v>
      </c>
      <c r="E25" s="130">
        <f t="shared" ca="1" si="10"/>
        <v>0.93356650600730406</v>
      </c>
      <c r="F25" s="81">
        <f t="shared" ca="1" si="11"/>
        <v>1025061</v>
      </c>
      <c r="G25" s="130">
        <f t="shared" ca="1" si="12"/>
        <v>0.96533204504489234</v>
      </c>
      <c r="H25" s="82">
        <v>200876</v>
      </c>
      <c r="I25" s="90">
        <f t="shared" ca="1" si="13"/>
        <v>269985</v>
      </c>
      <c r="J25" s="145">
        <f t="shared" ca="1" si="14"/>
        <v>0.74402651999185143</v>
      </c>
      <c r="K25" s="81">
        <f t="shared" ca="1" si="15"/>
        <v>228195</v>
      </c>
      <c r="L25" s="145">
        <f t="shared" ca="1" si="16"/>
        <v>0.84521362297905445</v>
      </c>
      <c r="M25" s="83">
        <v>361246</v>
      </c>
      <c r="N25" s="80">
        <f t="shared" ca="1" si="17"/>
        <v>439986</v>
      </c>
      <c r="O25" s="130">
        <f t="shared" ca="1" si="18"/>
        <v>0.82103976035601134</v>
      </c>
      <c r="P25" s="81">
        <f t="shared" ca="1" si="19"/>
        <v>410893</v>
      </c>
      <c r="Q25" s="130">
        <f t="shared" ca="1" si="20"/>
        <v>0.93387744155495855</v>
      </c>
      <c r="R25" s="96">
        <v>411606</v>
      </c>
      <c r="S25" s="85">
        <f t="shared" ca="1" si="78"/>
        <v>1771845</v>
      </c>
      <c r="T25" s="167">
        <f t="shared" ca="1" si="22"/>
        <v>0.23230361572259425</v>
      </c>
      <c r="U25" s="283">
        <f t="shared" ca="1" si="79"/>
        <v>1664149</v>
      </c>
      <c r="V25" s="167">
        <f t="shared" ca="1" si="24"/>
        <v>0.93921815960199684</v>
      </c>
      <c r="W25" s="83">
        <v>771192</v>
      </c>
      <c r="X25" s="80">
        <f t="shared" ca="1" si="25"/>
        <v>831160</v>
      </c>
      <c r="Y25" s="130">
        <f t="shared" ca="1" si="94"/>
        <v>0.92785023340872996</v>
      </c>
      <c r="Z25" s="81">
        <f t="shared" ca="1" si="27"/>
        <v>796582</v>
      </c>
      <c r="AA25" s="130">
        <f t="shared" ca="1" si="81"/>
        <v>0.95839790172770589</v>
      </c>
      <c r="AB25" s="82">
        <v>789169</v>
      </c>
      <c r="AC25" s="90">
        <f t="shared" ca="1" si="29"/>
        <v>857559</v>
      </c>
      <c r="AD25" s="145">
        <f t="shared" ca="1" si="95"/>
        <v>0.92025038510469837</v>
      </c>
      <c r="AE25" s="81">
        <f t="shared" ca="1" si="31"/>
        <v>797403</v>
      </c>
      <c r="AF25" s="145">
        <f t="shared" ca="1" si="32"/>
        <v>0.92985205682641081</v>
      </c>
      <c r="AG25" s="83">
        <v>876830</v>
      </c>
      <c r="AH25" s="80">
        <f t="shared" ca="1" si="33"/>
        <v>973205</v>
      </c>
      <c r="AI25" s="130">
        <f t="shared" ca="1" si="96"/>
        <v>0.9009715322054449</v>
      </c>
      <c r="AJ25" s="81">
        <f t="shared" ca="1" si="35"/>
        <v>923891</v>
      </c>
      <c r="AK25" s="130">
        <f t="shared" ca="1" si="36"/>
        <v>0.9493282504713807</v>
      </c>
      <c r="AL25" s="96">
        <v>686800</v>
      </c>
      <c r="AM25" s="85">
        <f t="shared" ca="1" si="76"/>
        <v>2661924</v>
      </c>
      <c r="AN25" s="167">
        <f t="shared" ca="1" si="38"/>
        <v>0.25800886877311296</v>
      </c>
      <c r="AO25" s="86">
        <f t="shared" ca="1" si="39"/>
        <v>2517876</v>
      </c>
      <c r="AP25" s="167">
        <f t="shared" ca="1" si="40"/>
        <v>0.94588575782028339</v>
      </c>
      <c r="AQ25" s="83">
        <v>539947</v>
      </c>
      <c r="AR25" s="80">
        <f t="shared" ca="1" si="41"/>
        <v>639371</v>
      </c>
      <c r="AS25" s="130">
        <f t="shared" ca="1" si="97"/>
        <v>0.84449716987476753</v>
      </c>
      <c r="AT25" s="81">
        <f t="shared" ca="1" si="43"/>
        <v>547191</v>
      </c>
      <c r="AU25" s="130">
        <f t="shared" ca="1" si="85"/>
        <v>0.85582705502751921</v>
      </c>
      <c r="AV25" s="82">
        <v>983129</v>
      </c>
      <c r="AW25" s="90">
        <f t="shared" ca="1" si="45"/>
        <v>1033027</v>
      </c>
      <c r="AX25" s="145">
        <f t="shared" ca="1" si="98"/>
        <v>0.95169729348797272</v>
      </c>
      <c r="AY25" s="81">
        <f t="shared" ca="1" si="47"/>
        <v>988401</v>
      </c>
      <c r="AZ25" s="145">
        <f t="shared" ca="1" si="48"/>
        <v>0.95680074189735598</v>
      </c>
      <c r="BA25" s="83">
        <v>975893</v>
      </c>
      <c r="BB25" s="80">
        <f t="shared" ca="1" si="49"/>
        <v>1070580</v>
      </c>
      <c r="BC25" s="130">
        <f t="shared" ca="1" si="99"/>
        <v>0.91155541855816469</v>
      </c>
      <c r="BD25" s="81">
        <f t="shared" ca="1" si="51"/>
        <v>1015428</v>
      </c>
      <c r="BE25" s="130">
        <f t="shared" ca="1" si="52"/>
        <v>0.94848399932746741</v>
      </c>
      <c r="BF25" s="96">
        <v>264092</v>
      </c>
      <c r="BG25" s="85">
        <f t="shared" ca="1" si="53"/>
        <v>2742978</v>
      </c>
      <c r="BH25" s="167">
        <f t="shared" ca="1" si="100"/>
        <v>9.6279299360038609E-2</v>
      </c>
      <c r="BI25" s="86">
        <f t="shared" ca="1" si="55"/>
        <v>2551020</v>
      </c>
      <c r="BJ25" s="167">
        <f t="shared" ca="1" si="56"/>
        <v>0.93001839606442338</v>
      </c>
      <c r="BK25" s="83">
        <v>947050</v>
      </c>
      <c r="BL25" s="80">
        <f t="shared" ca="1" si="57"/>
        <v>971071</v>
      </c>
      <c r="BM25" s="130">
        <f t="shared" ca="1" si="101"/>
        <v>0.97526339474662516</v>
      </c>
      <c r="BN25" s="81">
        <f t="shared" ca="1" si="59"/>
        <v>982861</v>
      </c>
      <c r="BO25" s="130">
        <f t="shared" ca="1" si="90"/>
        <v>1.0121412337511881</v>
      </c>
      <c r="BP25" s="82">
        <v>207272</v>
      </c>
      <c r="BQ25" s="90">
        <f t="shared" ca="1" si="61"/>
        <v>218556</v>
      </c>
      <c r="BR25" s="145">
        <f t="shared" ca="1" si="102"/>
        <v>0.94837021175350944</v>
      </c>
      <c r="BS25" s="81">
        <f t="shared" ca="1" si="63"/>
        <v>223244</v>
      </c>
      <c r="BT25" s="145">
        <f t="shared" ca="1" si="64"/>
        <v>1.0214498801222569</v>
      </c>
      <c r="BU25" s="83">
        <v>220300</v>
      </c>
      <c r="BV25" s="80">
        <f t="shared" ca="1" si="65"/>
        <v>267286</v>
      </c>
      <c r="BW25" s="130">
        <f t="shared" ca="1" si="103"/>
        <v>0.82421077048554736</v>
      </c>
      <c r="BX25" s="81">
        <f t="shared" ca="1" si="67"/>
        <v>250585</v>
      </c>
      <c r="BY25" s="130">
        <f t="shared" ca="1" si="68"/>
        <v>0.93751636823477469</v>
      </c>
      <c r="BZ25" s="96">
        <v>354629</v>
      </c>
      <c r="CA25" s="85">
        <f t="shared" ca="1" si="69"/>
        <v>1456913</v>
      </c>
      <c r="CB25" s="167">
        <f t="shared" ca="1" si="104"/>
        <v>0.24341124006718315</v>
      </c>
      <c r="CC25" s="86">
        <f t="shared" ca="1" si="71"/>
        <v>1456690</v>
      </c>
      <c r="CD25" s="167">
        <f t="shared" ca="1" si="72"/>
        <v>0.9998469366393189</v>
      </c>
      <c r="CE25" s="97">
        <v>849916</v>
      </c>
      <c r="CF25" s="88">
        <f t="shared" ca="1" si="77"/>
        <v>8633660</v>
      </c>
      <c r="CG25" s="201">
        <f t="shared" ca="1" si="74"/>
        <v>9.8442143887991884E-2</v>
      </c>
      <c r="CH25" s="89">
        <f t="shared" ca="1" si="8"/>
        <v>8189735</v>
      </c>
      <c r="CI25" s="145">
        <f t="shared" ca="1" si="75"/>
        <v>0.94858206137373957</v>
      </c>
    </row>
    <row r="26" spans="1:88" s="7" customFormat="1" ht="13.15">
      <c r="A26" s="12" t="s">
        <v>48</v>
      </c>
      <c r="B26" s="285">
        <v>0.1</v>
      </c>
      <c r="C26" s="83">
        <v>258196</v>
      </c>
      <c r="D26" s="80">
        <f t="shared" ca="1" si="9"/>
        <v>323616</v>
      </c>
      <c r="E26" s="130">
        <f t="shared" ca="1" si="10"/>
        <v>0.79784683081182639</v>
      </c>
      <c r="F26" s="81">
        <f t="shared" ca="1" si="11"/>
        <v>283233</v>
      </c>
      <c r="G26" s="130">
        <f t="shared" ca="1" si="12"/>
        <v>0.87521321566300803</v>
      </c>
      <c r="H26" s="82">
        <v>110816</v>
      </c>
      <c r="I26" s="90">
        <f t="shared" ca="1" si="13"/>
        <v>139754</v>
      </c>
      <c r="J26" s="145">
        <f t="shared" ca="1" si="14"/>
        <v>0.79293615925125582</v>
      </c>
      <c r="K26" s="81">
        <f t="shared" ca="1" si="15"/>
        <v>145395</v>
      </c>
      <c r="L26" s="145">
        <f t="shared" ca="1" si="16"/>
        <v>1.0403637820742162</v>
      </c>
      <c r="M26" s="83">
        <v>820508</v>
      </c>
      <c r="N26" s="80">
        <f t="shared" ca="1" si="17"/>
        <v>875059</v>
      </c>
      <c r="O26" s="130">
        <f t="shared" ca="1" si="18"/>
        <v>0.93766020348342227</v>
      </c>
      <c r="P26" s="81">
        <f t="shared" ca="1" si="19"/>
        <v>857431</v>
      </c>
      <c r="Q26" s="130">
        <f t="shared" ca="1" si="20"/>
        <v>0.97985507262938842</v>
      </c>
      <c r="R26" s="96">
        <v>712702</v>
      </c>
      <c r="S26" s="85">
        <f t="shared" ca="1" si="78"/>
        <v>1338429</v>
      </c>
      <c r="T26" s="167">
        <f t="shared" ca="1" si="22"/>
        <v>0.53249145079791305</v>
      </c>
      <c r="U26" s="283">
        <f t="shared" ca="1" si="79"/>
        <v>1286059</v>
      </c>
      <c r="V26" s="167">
        <f t="shared" ca="1" si="24"/>
        <v>0.9608720372914813</v>
      </c>
      <c r="W26" s="83">
        <v>736973</v>
      </c>
      <c r="X26" s="80">
        <f t="shared" ca="1" si="25"/>
        <v>752266</v>
      </c>
      <c r="Y26" s="130">
        <f t="shared" ca="1" si="94"/>
        <v>0.97967075475961962</v>
      </c>
      <c r="Z26" s="81">
        <f t="shared" ca="1" si="27"/>
        <v>762867</v>
      </c>
      <c r="AA26" s="130">
        <f t="shared" ca="1" si="81"/>
        <v>1.0140920897661199</v>
      </c>
      <c r="AB26" s="82">
        <v>189779</v>
      </c>
      <c r="AC26" s="90">
        <f t="shared" ca="1" si="29"/>
        <v>241993</v>
      </c>
      <c r="AD26" s="145">
        <f t="shared" ca="1" si="95"/>
        <v>0.7842334282396598</v>
      </c>
      <c r="AE26" s="81">
        <f t="shared" ca="1" si="31"/>
        <v>209081</v>
      </c>
      <c r="AF26" s="145">
        <f t="shared" ca="1" si="32"/>
        <v>0.86399606600190915</v>
      </c>
      <c r="AG26" s="83">
        <v>854820</v>
      </c>
      <c r="AH26" s="80">
        <f t="shared" ca="1" si="33"/>
        <v>879944</v>
      </c>
      <c r="AI26" s="130">
        <f t="shared" ca="1" si="96"/>
        <v>0.97144818306619507</v>
      </c>
      <c r="AJ26" s="81">
        <f t="shared" ca="1" si="35"/>
        <v>888830</v>
      </c>
      <c r="AK26" s="130">
        <f t="shared" ca="1" si="36"/>
        <v>1.0100983698962662</v>
      </c>
      <c r="AL26" s="96">
        <v>222219</v>
      </c>
      <c r="AM26" s="85">
        <f t="shared" ca="1" si="76"/>
        <v>1874203</v>
      </c>
      <c r="AN26" s="167">
        <f t="shared" ca="1" si="38"/>
        <v>0.11856719896403965</v>
      </c>
      <c r="AO26" s="86">
        <f t="shared" ca="1" si="39"/>
        <v>1860778</v>
      </c>
      <c r="AP26" s="167">
        <f t="shared" ca="1" si="40"/>
        <v>0.99283695522843574</v>
      </c>
      <c r="AQ26" s="83">
        <v>595971</v>
      </c>
      <c r="AR26" s="80">
        <f t="shared" ca="1" si="41"/>
        <v>649299</v>
      </c>
      <c r="AS26" s="130">
        <f t="shared" ca="1" si="97"/>
        <v>0.9178683472483401</v>
      </c>
      <c r="AT26" s="81">
        <f t="shared" ca="1" si="43"/>
        <v>614409</v>
      </c>
      <c r="AU26" s="130">
        <f t="shared" ca="1" si="85"/>
        <v>0.94626512592811629</v>
      </c>
      <c r="AV26" s="82">
        <v>567803</v>
      </c>
      <c r="AW26" s="90">
        <f t="shared" ca="1" si="45"/>
        <v>601160</v>
      </c>
      <c r="AX26" s="145">
        <f t="shared" ca="1" si="98"/>
        <v>0.94451227626588596</v>
      </c>
      <c r="AY26" s="81">
        <f t="shared" ca="1" si="47"/>
        <v>617674</v>
      </c>
      <c r="AZ26" s="145">
        <f t="shared" ca="1" si="48"/>
        <v>1.0274702242331493</v>
      </c>
      <c r="BA26" s="83">
        <v>741167</v>
      </c>
      <c r="BB26" s="80">
        <f t="shared" ca="1" si="49"/>
        <v>773183</v>
      </c>
      <c r="BC26" s="130">
        <f t="shared" ca="1" si="99"/>
        <v>0.95859195041794765</v>
      </c>
      <c r="BD26" s="81">
        <f t="shared" ca="1" si="51"/>
        <v>751167</v>
      </c>
      <c r="BE26" s="130">
        <f t="shared" ca="1" si="52"/>
        <v>0.97152549913797903</v>
      </c>
      <c r="BF26" s="96">
        <v>832230</v>
      </c>
      <c r="BG26" s="85">
        <f t="shared" ca="1" si="53"/>
        <v>2023642</v>
      </c>
      <c r="BH26" s="167">
        <f t="shared" ca="1" si="100"/>
        <v>0.41125357153093284</v>
      </c>
      <c r="BI26" s="86">
        <f t="shared" ca="1" si="55"/>
        <v>1983250</v>
      </c>
      <c r="BJ26" s="167">
        <f t="shared" ca="1" si="56"/>
        <v>0.98003994777732428</v>
      </c>
      <c r="BK26" s="83">
        <v>779514</v>
      </c>
      <c r="BL26" s="80">
        <f t="shared" ca="1" si="57"/>
        <v>854228</v>
      </c>
      <c r="BM26" s="130">
        <f t="shared" ca="1" si="101"/>
        <v>0.91253623154473984</v>
      </c>
      <c r="BN26" s="81">
        <f t="shared" ca="1" si="59"/>
        <v>813037</v>
      </c>
      <c r="BO26" s="130">
        <f t="shared" ca="1" si="90"/>
        <v>0.95177985268569987</v>
      </c>
      <c r="BP26" s="82">
        <v>566374</v>
      </c>
      <c r="BQ26" s="90">
        <f t="shared" ca="1" si="61"/>
        <v>604291</v>
      </c>
      <c r="BR26" s="145">
        <f t="shared" ca="1" si="102"/>
        <v>0.93725374033371345</v>
      </c>
      <c r="BS26" s="81">
        <f t="shared" ca="1" si="63"/>
        <v>611918</v>
      </c>
      <c r="BT26" s="145">
        <f t="shared" ca="1" si="64"/>
        <v>1.0126214026023885</v>
      </c>
      <c r="BU26" s="83">
        <v>260960</v>
      </c>
      <c r="BV26" s="80">
        <f t="shared" ca="1" si="65"/>
        <v>283788</v>
      </c>
      <c r="BW26" s="130">
        <f t="shared" ca="1" si="103"/>
        <v>0.91955967130393113</v>
      </c>
      <c r="BX26" s="81">
        <f t="shared" ca="1" si="67"/>
        <v>299206</v>
      </c>
      <c r="BY26" s="130">
        <f t="shared" ca="1" si="68"/>
        <v>1.0543292880601012</v>
      </c>
      <c r="BZ26" s="96">
        <v>397454</v>
      </c>
      <c r="CA26" s="85">
        <f t="shared" ca="1" si="69"/>
        <v>1742307</v>
      </c>
      <c r="CB26" s="167">
        <f t="shared" ca="1" si="104"/>
        <v>0.22811938424169792</v>
      </c>
      <c r="CC26" s="86">
        <f t="shared" ca="1" si="71"/>
        <v>1724161</v>
      </c>
      <c r="CD26" s="167">
        <f t="shared" ca="1" si="72"/>
        <v>0.98958507312431165</v>
      </c>
      <c r="CE26" s="97">
        <v>273510</v>
      </c>
      <c r="CF26" s="88">
        <f t="shared" ca="1" si="77"/>
        <v>6978581</v>
      </c>
      <c r="CG26" s="201">
        <f t="shared" ca="1" si="74"/>
        <v>3.9192781455141094E-2</v>
      </c>
      <c r="CH26" s="89">
        <f t="shared" ca="1" si="8"/>
        <v>6854248</v>
      </c>
      <c r="CI26" s="145">
        <f t="shared" ca="1" si="75"/>
        <v>0.98218362730188269</v>
      </c>
    </row>
    <row r="27" spans="1:88" s="7" customFormat="1" ht="13.15">
      <c r="A27" s="15" t="s">
        <v>49</v>
      </c>
      <c r="B27" s="285">
        <v>0.24</v>
      </c>
      <c r="C27" s="399">
        <v>531063</v>
      </c>
      <c r="D27" s="80">
        <f t="shared" ca="1" si="9"/>
        <v>614529</v>
      </c>
      <c r="E27" s="130">
        <f t="shared" ca="1" si="10"/>
        <v>0.8641789077488613</v>
      </c>
      <c r="F27" s="81">
        <f t="shared" ca="1" si="11"/>
        <v>566144</v>
      </c>
      <c r="G27" s="130">
        <f t="shared" ca="1" si="12"/>
        <v>0.92126490369046865</v>
      </c>
      <c r="H27" s="400">
        <v>435691</v>
      </c>
      <c r="I27" s="90">
        <f t="shared" ca="1" si="13"/>
        <v>493373</v>
      </c>
      <c r="J27" s="145">
        <f t="shared" ca="1" si="14"/>
        <v>0.88308642751022048</v>
      </c>
      <c r="K27" s="81">
        <f t="shared" ca="1" si="15"/>
        <v>473007</v>
      </c>
      <c r="L27" s="145">
        <f t="shared" ca="1" si="16"/>
        <v>0.95872088663141275</v>
      </c>
      <c r="M27" s="399">
        <v>533144</v>
      </c>
      <c r="N27" s="80">
        <f t="shared" ca="1" si="17"/>
        <v>569030</v>
      </c>
      <c r="O27" s="130">
        <f t="shared" ca="1" si="18"/>
        <v>0.93693478375481087</v>
      </c>
      <c r="P27" s="81">
        <f t="shared" ca="1" si="19"/>
        <v>579593</v>
      </c>
      <c r="Q27" s="130">
        <f t="shared" ca="1" si="20"/>
        <v>1.0185631689014638</v>
      </c>
      <c r="R27" s="96">
        <v>229442</v>
      </c>
      <c r="S27" s="85">
        <f t="shared" ca="1" si="78"/>
        <v>1676932</v>
      </c>
      <c r="T27" s="167">
        <f t="shared" ca="1" si="22"/>
        <v>0.1368224829629347</v>
      </c>
      <c r="U27" s="283">
        <f t="shared" ca="1" si="79"/>
        <v>1618744</v>
      </c>
      <c r="V27" s="167">
        <f t="shared" ca="1" si="24"/>
        <v>0.96530091858226807</v>
      </c>
      <c r="W27" s="399">
        <v>376148</v>
      </c>
      <c r="X27" s="80">
        <f t="shared" ca="1" si="25"/>
        <v>443006</v>
      </c>
      <c r="Y27" s="130">
        <f t="shared" ca="1" si="94"/>
        <v>0.84908105082098206</v>
      </c>
      <c r="Z27" s="81">
        <f t="shared" ca="1" si="27"/>
        <v>384539</v>
      </c>
      <c r="AA27" s="130">
        <f t="shared" ca="1" si="81"/>
        <v>0.86802210353810105</v>
      </c>
      <c r="AB27" s="400">
        <v>471319</v>
      </c>
      <c r="AC27" s="90">
        <f t="shared" ca="1" si="29"/>
        <v>511282</v>
      </c>
      <c r="AD27" s="145">
        <f t="shared" ca="1" si="95"/>
        <v>0.92183765514921312</v>
      </c>
      <c r="AE27" s="81">
        <f t="shared" ca="1" si="31"/>
        <v>483500</v>
      </c>
      <c r="AF27" s="145">
        <f t="shared" ca="1" si="32"/>
        <v>0.94566208080863401</v>
      </c>
      <c r="AG27" s="399">
        <v>428921</v>
      </c>
      <c r="AH27" s="80">
        <f t="shared" ca="1" si="33"/>
        <v>451993</v>
      </c>
      <c r="AI27" s="130">
        <f t="shared" ca="1" si="96"/>
        <v>0.94895496169188465</v>
      </c>
      <c r="AJ27" s="81">
        <f t="shared" ca="1" si="35"/>
        <v>466857</v>
      </c>
      <c r="AK27" s="130">
        <f t="shared" ca="1" si="36"/>
        <v>1.0328854650403878</v>
      </c>
      <c r="AL27" s="96">
        <v>224191</v>
      </c>
      <c r="AM27" s="85">
        <f t="shared" ca="1" si="76"/>
        <v>1406281</v>
      </c>
      <c r="AN27" s="167">
        <f t="shared" ca="1" si="38"/>
        <v>0.15942119675939589</v>
      </c>
      <c r="AO27" s="86">
        <f t="shared" ca="1" si="39"/>
        <v>1334896</v>
      </c>
      <c r="AP27" s="167">
        <f t="shared" ca="1" si="40"/>
        <v>0.94923845234345061</v>
      </c>
      <c r="AQ27" s="399">
        <v>572082</v>
      </c>
      <c r="AR27" s="80">
        <f t="shared" ca="1" si="41"/>
        <v>640669</v>
      </c>
      <c r="AS27" s="130">
        <f t="shared" ca="1" si="97"/>
        <v>0.89294471872370917</v>
      </c>
      <c r="AT27" s="81">
        <f t="shared" ca="1" si="43"/>
        <v>601609</v>
      </c>
      <c r="AU27" s="130">
        <f t="shared" ca="1" si="85"/>
        <v>0.93903248011063434</v>
      </c>
      <c r="AV27" s="400">
        <v>458567</v>
      </c>
      <c r="AW27" s="90">
        <f t="shared" ca="1" si="45"/>
        <v>522577</v>
      </c>
      <c r="AX27" s="145">
        <f t="shared" ca="1" si="98"/>
        <v>0.87751087399560257</v>
      </c>
      <c r="AY27" s="81">
        <f t="shared" ca="1" si="47"/>
        <v>490107</v>
      </c>
      <c r="AZ27" s="145">
        <f t="shared" ca="1" si="48"/>
        <v>0.93786561597621021</v>
      </c>
      <c r="BA27" s="399">
        <v>511352</v>
      </c>
      <c r="BB27" s="80">
        <f t="shared" ca="1" si="49"/>
        <v>595962</v>
      </c>
      <c r="BC27" s="130">
        <f t="shared" ca="1" si="99"/>
        <v>0.85802786083676474</v>
      </c>
      <c r="BD27" s="81">
        <f t="shared" ca="1" si="51"/>
        <v>548542</v>
      </c>
      <c r="BE27" s="130">
        <f t="shared" ca="1" si="52"/>
        <v>0.9204311684302019</v>
      </c>
      <c r="BF27" s="96">
        <v>633012</v>
      </c>
      <c r="BG27" s="85">
        <f t="shared" ca="1" si="53"/>
        <v>1759208</v>
      </c>
      <c r="BH27" s="167">
        <f t="shared" ca="1" si="100"/>
        <v>0.35982783161513593</v>
      </c>
      <c r="BI27" s="86">
        <f t="shared" ca="1" si="55"/>
        <v>1640258</v>
      </c>
      <c r="BJ27" s="167">
        <f t="shared" ca="1" si="56"/>
        <v>0.93238434568283002</v>
      </c>
      <c r="BK27" s="399">
        <v>801437</v>
      </c>
      <c r="BL27" s="80">
        <f t="shared" ca="1" si="57"/>
        <v>883359</v>
      </c>
      <c r="BM27" s="130">
        <f t="shared" ca="1" si="101"/>
        <v>0.90726080789350649</v>
      </c>
      <c r="BN27" s="81">
        <f t="shared" ca="1" si="59"/>
        <v>834616</v>
      </c>
      <c r="BO27" s="130">
        <f t="shared" ca="1" si="90"/>
        <v>0.94482084860175763</v>
      </c>
      <c r="BP27" s="400">
        <v>920184</v>
      </c>
      <c r="BQ27" s="90">
        <f t="shared" ca="1" si="61"/>
        <v>938682</v>
      </c>
      <c r="BR27" s="145">
        <f t="shared" ca="1" si="102"/>
        <v>0.98029364577141143</v>
      </c>
      <c r="BS27" s="81">
        <f t="shared" ca="1" si="63"/>
        <v>959327</v>
      </c>
      <c r="BT27" s="145">
        <f t="shared" ca="1" si="64"/>
        <v>1.0219936037976651</v>
      </c>
      <c r="BU27" s="399">
        <v>891200</v>
      </c>
      <c r="BV27" s="80">
        <f t="shared" ca="1" si="65"/>
        <v>961704</v>
      </c>
      <c r="BW27" s="130">
        <f t="shared" ca="1" si="103"/>
        <v>0.92668846131450011</v>
      </c>
      <c r="BX27" s="81">
        <f t="shared" ca="1" si="67"/>
        <v>924259</v>
      </c>
      <c r="BY27" s="130">
        <f t="shared" ca="1" si="68"/>
        <v>0.9610639032384185</v>
      </c>
      <c r="BZ27" s="96">
        <v>288596</v>
      </c>
      <c r="CA27" s="85">
        <f t="shared" ca="1" si="69"/>
        <v>2783745</v>
      </c>
      <c r="CB27" s="167">
        <f t="shared" ca="1" si="104"/>
        <v>0.10367185212726023</v>
      </c>
      <c r="CC27" s="86">
        <f t="shared" ca="1" si="71"/>
        <v>2718202</v>
      </c>
      <c r="CD27" s="167">
        <f t="shared" ca="1" si="72"/>
        <v>0.97645509915599304</v>
      </c>
      <c r="CE27" s="97">
        <v>209574</v>
      </c>
      <c r="CF27" s="88">
        <f t="shared" ca="1" si="77"/>
        <v>7626166</v>
      </c>
      <c r="CG27" s="201">
        <f t="shared" ca="1" si="74"/>
        <v>2.7480912427030831E-2</v>
      </c>
      <c r="CH27" s="89">
        <f t="shared" ca="1" si="8"/>
        <v>7312100</v>
      </c>
      <c r="CI27" s="145">
        <f t="shared" ca="1" si="75"/>
        <v>0.95881731396877545</v>
      </c>
    </row>
    <row r="28" spans="1:88" s="7" customFormat="1" ht="13.15">
      <c r="A28" s="16" t="s">
        <v>18</v>
      </c>
      <c r="B28" s="285">
        <v>0.11</v>
      </c>
      <c r="C28" s="99">
        <v>886053</v>
      </c>
      <c r="D28" s="80">
        <f t="shared" ca="1" si="9"/>
        <v>903387</v>
      </c>
      <c r="E28" s="130">
        <f t="shared" ca="1" si="10"/>
        <v>0.98081221004951369</v>
      </c>
      <c r="F28" s="81">
        <f t="shared" ca="1" si="11"/>
        <v>902551</v>
      </c>
      <c r="G28" s="130">
        <f t="shared" ca="1" si="12"/>
        <v>0.99907459372339869</v>
      </c>
      <c r="H28" s="100">
        <v>941798</v>
      </c>
      <c r="I28" s="90">
        <f t="shared" ca="1" si="13"/>
        <v>969204</v>
      </c>
      <c r="J28" s="147">
        <f t="shared" ca="1" si="14"/>
        <v>0.97172318727533114</v>
      </c>
      <c r="K28" s="81">
        <f t="shared" ca="1" si="15"/>
        <v>972495</v>
      </c>
      <c r="L28" s="147">
        <f t="shared" ca="1" si="16"/>
        <v>1.0033955699728849</v>
      </c>
      <c r="M28" s="99">
        <v>143974</v>
      </c>
      <c r="N28" s="80">
        <f t="shared" ca="1" si="17"/>
        <v>157991</v>
      </c>
      <c r="O28" s="130">
        <f t="shared" ca="1" si="18"/>
        <v>0.91127975644182269</v>
      </c>
      <c r="P28" s="81">
        <f t="shared" ca="1" si="19"/>
        <v>181633</v>
      </c>
      <c r="Q28" s="130">
        <f t="shared" ca="1" si="20"/>
        <v>1.1496414352716293</v>
      </c>
      <c r="R28" s="101">
        <v>928226</v>
      </c>
      <c r="S28" s="85">
        <f t="shared" ca="1" si="78"/>
        <v>2030582</v>
      </c>
      <c r="T28" s="169">
        <f ca="1">IFERROR(R28/S28,"")</f>
        <v>0.45712313021586914</v>
      </c>
      <c r="U28" s="283">
        <f ca="1">F28+K28+P28</f>
        <v>2056679</v>
      </c>
      <c r="V28" s="169">
        <f t="shared" ca="1" si="24"/>
        <v>1.0128519803681899</v>
      </c>
      <c r="W28" s="99">
        <v>520665</v>
      </c>
      <c r="X28" s="80">
        <f t="shared" ca="1" si="25"/>
        <v>598591</v>
      </c>
      <c r="Y28" s="130">
        <f t="shared" ca="1" si="94"/>
        <v>0.86981762171499399</v>
      </c>
      <c r="Z28" s="81">
        <f t="shared" ca="1" si="27"/>
        <v>537180</v>
      </c>
      <c r="AA28" s="130">
        <f t="shared" ca="1" si="81"/>
        <v>0.89740741173856609</v>
      </c>
      <c r="AB28" s="100">
        <v>418738</v>
      </c>
      <c r="AC28" s="90">
        <f t="shared" ca="1" si="29"/>
        <v>449059</v>
      </c>
      <c r="AD28" s="147">
        <f t="shared" ca="1" si="95"/>
        <v>0.9324788056803226</v>
      </c>
      <c r="AE28" s="81">
        <f t="shared" ca="1" si="31"/>
        <v>468419</v>
      </c>
      <c r="AF28" s="147">
        <f t="shared" ca="1" si="32"/>
        <v>1.0431123749885873</v>
      </c>
      <c r="AG28" s="99">
        <v>213619</v>
      </c>
      <c r="AH28" s="80">
        <f t="shared" ca="1" si="33"/>
        <v>277487</v>
      </c>
      <c r="AI28" s="130">
        <f t="shared" ca="1" si="96"/>
        <v>0.7698342625059913</v>
      </c>
      <c r="AJ28" s="81">
        <f t="shared" ca="1" si="35"/>
        <v>244348</v>
      </c>
      <c r="AK28" s="130">
        <f t="shared" ca="1" si="36"/>
        <v>0.88057458547607637</v>
      </c>
      <c r="AL28" s="101">
        <v>685886</v>
      </c>
      <c r="AM28" s="85">
        <f t="shared" ca="1" si="76"/>
        <v>1325137</v>
      </c>
      <c r="AN28" s="169">
        <f ca="1">IFERROR(AL28/AM28,"")</f>
        <v>0.51759629381716754</v>
      </c>
      <c r="AO28" s="86">
        <f t="shared" ca="1" si="39"/>
        <v>1249947</v>
      </c>
      <c r="AP28" s="169">
        <f t="shared" ca="1" si="40"/>
        <v>0.94325869702528875</v>
      </c>
      <c r="AQ28" s="99">
        <v>824447</v>
      </c>
      <c r="AR28" s="80">
        <f t="shared" ca="1" si="41"/>
        <v>856061</v>
      </c>
      <c r="AS28" s="130">
        <f t="shared" ca="1" si="97"/>
        <v>0.96307038867557337</v>
      </c>
      <c r="AT28" s="81">
        <f t="shared" ca="1" si="43"/>
        <v>846332</v>
      </c>
      <c r="AU28" s="130">
        <f t="shared" ca="1" si="85"/>
        <v>0.98863515567231774</v>
      </c>
      <c r="AV28" s="100">
        <v>688469</v>
      </c>
      <c r="AW28" s="90">
        <f t="shared" ca="1" si="45"/>
        <v>772204</v>
      </c>
      <c r="AX28" s="147">
        <f t="shared" ca="1" si="98"/>
        <v>0.8915636282640339</v>
      </c>
      <c r="AY28" s="81">
        <f t="shared" ca="1" si="47"/>
        <v>700377</v>
      </c>
      <c r="AZ28" s="147">
        <f t="shared" ca="1" si="48"/>
        <v>0.90698442380510846</v>
      </c>
      <c r="BA28" s="99">
        <v>813066</v>
      </c>
      <c r="BB28" s="80">
        <f t="shared" ca="1" si="49"/>
        <v>911299</v>
      </c>
      <c r="BC28" s="130">
        <f t="shared" ca="1" si="99"/>
        <v>0.89220552200759573</v>
      </c>
      <c r="BD28" s="81">
        <f t="shared" ca="1" si="51"/>
        <v>853007</v>
      </c>
      <c r="BE28" s="130">
        <f t="shared" ca="1" si="52"/>
        <v>0.93603416661271432</v>
      </c>
      <c r="BF28" s="101">
        <v>212250</v>
      </c>
      <c r="BG28" s="85">
        <f t="shared" ca="1" si="53"/>
        <v>2539564</v>
      </c>
      <c r="BH28" s="169">
        <f ca="1">IFERROR(BF28/BG28,"")</f>
        <v>8.3577338472273194E-2</v>
      </c>
      <c r="BI28" s="86">
        <f t="shared" ca="1" si="55"/>
        <v>2399716</v>
      </c>
      <c r="BJ28" s="169">
        <f t="shared" ca="1" si="56"/>
        <v>0.94493227971415561</v>
      </c>
      <c r="BK28" s="99">
        <v>397916</v>
      </c>
      <c r="BL28" s="80">
        <f t="shared" ca="1" si="57"/>
        <v>408265</v>
      </c>
      <c r="BM28" s="130">
        <f t="shared" ca="1" si="101"/>
        <v>0.97465126817140824</v>
      </c>
      <c r="BN28" s="81">
        <f t="shared" ca="1" si="59"/>
        <v>439151</v>
      </c>
      <c r="BO28" s="130">
        <f t="shared" ca="1" si="90"/>
        <v>1.0756518437779383</v>
      </c>
      <c r="BP28" s="100">
        <v>438937</v>
      </c>
      <c r="BQ28" s="90">
        <f t="shared" ca="1" si="61"/>
        <v>474790</v>
      </c>
      <c r="BR28" s="147">
        <f t="shared" ca="1" si="102"/>
        <v>0.92448661513511232</v>
      </c>
      <c r="BS28" s="81">
        <f t="shared" ca="1" si="63"/>
        <v>471916</v>
      </c>
      <c r="BT28" s="147">
        <f t="shared" ca="1" si="64"/>
        <v>0.99394679753154025</v>
      </c>
      <c r="BU28" s="99">
        <v>297954</v>
      </c>
      <c r="BV28" s="80">
        <f t="shared" ca="1" si="65"/>
        <v>390847</v>
      </c>
      <c r="BW28" s="130">
        <f t="shared" ca="1" si="103"/>
        <v>0.7623289931865922</v>
      </c>
      <c r="BX28" s="81">
        <f t="shared" ca="1" si="67"/>
        <v>321763</v>
      </c>
      <c r="BY28" s="130">
        <f t="shared" ca="1" si="68"/>
        <v>0.82324541316678901</v>
      </c>
      <c r="BZ28" s="101">
        <v>293243</v>
      </c>
      <c r="CA28" s="85">
        <f t="shared" ca="1" si="69"/>
        <v>1273902</v>
      </c>
      <c r="CB28" s="169">
        <f ca="1">IFERROR(BZ28/CA28,"")</f>
        <v>0.23019274638080481</v>
      </c>
      <c r="CC28" s="86">
        <f t="shared" ca="1" si="71"/>
        <v>1232830</v>
      </c>
      <c r="CD28" s="169">
        <f t="shared" ca="1" si="72"/>
        <v>0.96775890139115883</v>
      </c>
      <c r="CE28" s="102">
        <v>442527</v>
      </c>
      <c r="CF28" s="88">
        <f t="shared" ca="1" si="77"/>
        <v>7169185</v>
      </c>
      <c r="CG28" s="216">
        <f t="shared" ca="1" si="74"/>
        <v>6.1726263166594249E-2</v>
      </c>
      <c r="CH28" s="89">
        <f t="shared" ca="1" si="8"/>
        <v>6939172</v>
      </c>
      <c r="CI28" s="145">
        <f t="shared" ca="1" si="75"/>
        <v>0.96791643680557837</v>
      </c>
    </row>
    <row r="29" spans="1:88" s="7" customFormat="1" ht="13.15">
      <c r="A29" s="590" t="s">
        <v>52</v>
      </c>
      <c r="B29" s="285">
        <v>0.17</v>
      </c>
      <c r="C29" s="99">
        <v>661512</v>
      </c>
      <c r="D29" s="80">
        <f t="shared" ca="1" si="9"/>
        <v>716022</v>
      </c>
      <c r="E29" s="130">
        <f t="shared" ca="1" si="10"/>
        <v>0.92387105424135008</v>
      </c>
      <c r="F29" s="81">
        <f t="shared" ca="1" si="11"/>
        <v>701342</v>
      </c>
      <c r="G29" s="130">
        <f t="shared" ca="1" si="12"/>
        <v>0.9794978366586502</v>
      </c>
      <c r="H29" s="100">
        <v>278326</v>
      </c>
      <c r="I29" s="90">
        <f t="shared" ca="1" si="13"/>
        <v>327150</v>
      </c>
      <c r="J29" s="147">
        <f t="shared" ca="1" si="14"/>
        <v>0.85075959040195626</v>
      </c>
      <c r="K29" s="81">
        <f t="shared" ca="1" si="15"/>
        <v>296622</v>
      </c>
      <c r="L29" s="147">
        <f t="shared" ca="1" si="16"/>
        <v>0.90668500687757914</v>
      </c>
      <c r="M29" s="99">
        <v>796698</v>
      </c>
      <c r="N29" s="80">
        <f t="shared" ca="1" si="17"/>
        <v>842441</v>
      </c>
      <c r="O29" s="130">
        <f t="shared" ca="1" si="18"/>
        <v>0.9457018354994593</v>
      </c>
      <c r="P29" s="81">
        <f t="shared" ca="1" si="19"/>
        <v>804728</v>
      </c>
      <c r="Q29" s="130">
        <f t="shared" ca="1" si="20"/>
        <v>0.95523366028006707</v>
      </c>
      <c r="R29" s="101">
        <v>741193</v>
      </c>
      <c r="S29" s="85">
        <f t="shared" ca="1" si="78"/>
        <v>1885613</v>
      </c>
      <c r="T29" s="169">
        <f t="shared" ca="1" si="22"/>
        <v>0.39307800699295137</v>
      </c>
      <c r="U29" s="283">
        <f t="shared" ca="1" si="79"/>
        <v>1802692</v>
      </c>
      <c r="V29" s="169">
        <f t="shared" ca="1" si="24"/>
        <v>0.95602438040043214</v>
      </c>
      <c r="W29" s="99">
        <v>511445</v>
      </c>
      <c r="X29" s="80">
        <f t="shared" ca="1" si="25"/>
        <v>602222</v>
      </c>
      <c r="Y29" s="130">
        <f t="shared" ca="1" si="94"/>
        <v>0.84926322851041647</v>
      </c>
      <c r="Z29" s="81">
        <f t="shared" ca="1" si="27"/>
        <v>549625</v>
      </c>
      <c r="AA29" s="130">
        <f t="shared" ca="1" si="81"/>
        <v>0.91266177588995423</v>
      </c>
      <c r="AB29" s="100"/>
      <c r="AC29" s="90">
        <f t="shared" ca="1" si="29"/>
        <v>31947</v>
      </c>
      <c r="AD29" s="147">
        <f t="shared" ca="1" si="95"/>
        <v>0</v>
      </c>
      <c r="AE29" s="81">
        <f t="shared" ca="1" si="31"/>
        <v>26075</v>
      </c>
      <c r="AF29" s="147">
        <f t="shared" ca="1" si="32"/>
        <v>0.81619557391930386</v>
      </c>
      <c r="AG29" s="99"/>
      <c r="AH29" s="80">
        <f t="shared" ca="1" si="33"/>
        <v>20259</v>
      </c>
      <c r="AI29" s="130">
        <f t="shared" ca="1" si="96"/>
        <v>0</v>
      </c>
      <c r="AJ29" s="81">
        <f t="shared" ca="1" si="35"/>
        <v>23729</v>
      </c>
      <c r="AK29" s="130">
        <f t="shared" ca="1" si="36"/>
        <v>1.1712818994027345</v>
      </c>
      <c r="AL29" s="101">
        <v>820602</v>
      </c>
      <c r="AM29" s="85">
        <f t="shared" ca="1" si="76"/>
        <v>654428</v>
      </c>
      <c r="AN29" s="169">
        <f t="shared" ca="1" si="38"/>
        <v>1.2539225094280808</v>
      </c>
      <c r="AO29" s="86">
        <f t="shared" ca="1" si="39"/>
        <v>599429</v>
      </c>
      <c r="AP29" s="169">
        <f t="shared" ca="1" si="40"/>
        <v>0.91595866925009317</v>
      </c>
      <c r="AQ29" s="99"/>
      <c r="AR29" s="80">
        <f t="shared" ca="1" si="41"/>
        <v>31717</v>
      </c>
      <c r="AS29" s="130">
        <f t="shared" ca="1" si="97"/>
        <v>0</v>
      </c>
      <c r="AT29" s="81">
        <f t="shared" ca="1" si="43"/>
        <v>33424</v>
      </c>
      <c r="AU29" s="130">
        <f t="shared" ca="1" si="85"/>
        <v>1.053819718132232</v>
      </c>
      <c r="AV29" s="100"/>
      <c r="AW29" s="90">
        <f t="shared" ca="1" si="45"/>
        <v>53818</v>
      </c>
      <c r="AX29" s="147">
        <f t="shared" ca="1" si="98"/>
        <v>0</v>
      </c>
      <c r="AY29" s="81">
        <f t="shared" ca="1" si="47"/>
        <v>36647</v>
      </c>
      <c r="AZ29" s="147">
        <f t="shared" ca="1" si="48"/>
        <v>0.68094317886209077</v>
      </c>
      <c r="BA29" s="99"/>
      <c r="BB29" s="80">
        <f t="shared" ca="1" si="49"/>
        <v>59793</v>
      </c>
      <c r="BC29" s="130">
        <f t="shared" ca="1" si="99"/>
        <v>0</v>
      </c>
      <c r="BD29" s="81">
        <f t="shared" ca="1" si="51"/>
        <v>37874</v>
      </c>
      <c r="BE29" s="130">
        <f t="shared" ca="1" si="52"/>
        <v>0.63341862759854828</v>
      </c>
      <c r="BF29" s="101"/>
      <c r="BG29" s="85">
        <f t="shared" ca="1" si="53"/>
        <v>145328</v>
      </c>
      <c r="BH29" s="169">
        <f t="shared" ref="BH29:BH30" ca="1" si="105">IFERROR(BF29/BG29,"")</f>
        <v>0</v>
      </c>
      <c r="BI29" s="86">
        <f t="shared" ca="1" si="55"/>
        <v>107945</v>
      </c>
      <c r="BJ29" s="169">
        <f t="shared" ca="1" si="56"/>
        <v>0.74276808323241217</v>
      </c>
      <c r="BK29" s="99"/>
      <c r="BL29" s="80">
        <f t="shared" ca="1" si="57"/>
        <v>39943</v>
      </c>
      <c r="BM29" s="130">
        <f t="shared" ca="1" si="101"/>
        <v>0</v>
      </c>
      <c r="BN29" s="81">
        <f t="shared" ca="1" si="59"/>
        <v>17589</v>
      </c>
      <c r="BO29" s="130">
        <f t="shared" ca="1" si="90"/>
        <v>0.44035250231580003</v>
      </c>
      <c r="BP29" s="100"/>
      <c r="BQ29" s="90">
        <f t="shared" ca="1" si="61"/>
        <v>33561</v>
      </c>
      <c r="BR29" s="147">
        <f t="shared" ca="1" si="102"/>
        <v>0</v>
      </c>
      <c r="BS29" s="81">
        <f t="shared" ca="1" si="63"/>
        <v>38311</v>
      </c>
      <c r="BT29" s="147">
        <f t="shared" ca="1" si="64"/>
        <v>1.1415333273740353</v>
      </c>
      <c r="BU29" s="99"/>
      <c r="BV29" s="80">
        <f t="shared" ca="1" si="65"/>
        <v>49742</v>
      </c>
      <c r="BW29" s="130">
        <f t="shared" ca="1" si="103"/>
        <v>0</v>
      </c>
      <c r="BX29" s="81">
        <f t="shared" ca="1" si="67"/>
        <v>31496</v>
      </c>
      <c r="BY29" s="130">
        <f t="shared" ca="1" si="68"/>
        <v>0.63318724619034217</v>
      </c>
      <c r="BZ29" s="101"/>
      <c r="CA29" s="85">
        <f t="shared" ca="1" si="69"/>
        <v>123246</v>
      </c>
      <c r="CB29" s="169">
        <f t="shared" ref="CB29:CB30" ca="1" si="106">IFERROR(BZ29/CA29,"")</f>
        <v>0</v>
      </c>
      <c r="CC29" s="86">
        <f t="shared" ca="1" si="71"/>
        <v>87396</v>
      </c>
      <c r="CD29" s="169">
        <f t="shared" ca="1" si="72"/>
        <v>0.70911834866851664</v>
      </c>
      <c r="CE29" s="102">
        <v>685721</v>
      </c>
      <c r="CF29" s="88">
        <f t="shared" ca="1" si="77"/>
        <v>2808615</v>
      </c>
      <c r="CG29" s="216">
        <f t="shared" ca="1" si="74"/>
        <v>0.24414916248756061</v>
      </c>
      <c r="CH29" s="89">
        <f t="shared" ca="1" si="8"/>
        <v>2597462</v>
      </c>
      <c r="CI29" s="145">
        <f t="shared" ca="1" si="75"/>
        <v>0.92481952848646043</v>
      </c>
    </row>
    <row r="30" spans="1:88" s="7" customFormat="1" ht="13.15">
      <c r="A30" s="14" t="s">
        <v>53</v>
      </c>
      <c r="B30" s="285">
        <v>0.123677769792429</v>
      </c>
      <c r="C30" s="99">
        <v>342782</v>
      </c>
      <c r="D30" s="80">
        <f t="shared" ca="1" si="9"/>
        <v>386602</v>
      </c>
      <c r="E30" s="130">
        <f t="shared" ca="1" si="10"/>
        <v>0.88665345756100589</v>
      </c>
      <c r="F30" s="81">
        <f t="shared" ca="1" si="11"/>
        <v>392023</v>
      </c>
      <c r="G30" s="130">
        <f t="shared" ca="1" si="12"/>
        <v>1.0140221726737058</v>
      </c>
      <c r="H30" s="100">
        <v>366343</v>
      </c>
      <c r="I30" s="90">
        <f t="shared" ca="1" si="13"/>
        <v>379100</v>
      </c>
      <c r="J30" s="147">
        <f t="shared" ca="1" si="14"/>
        <v>0.96634924821946711</v>
      </c>
      <c r="K30" s="81">
        <f t="shared" ca="1" si="15"/>
        <v>383410</v>
      </c>
      <c r="L30" s="147">
        <f t="shared" ca="1" si="16"/>
        <v>1.0113690319176998</v>
      </c>
      <c r="M30" s="99">
        <v>473895</v>
      </c>
      <c r="N30" s="80">
        <f t="shared" ca="1" si="17"/>
        <v>559776</v>
      </c>
      <c r="O30" s="130">
        <f t="shared" ca="1" si="18"/>
        <v>0.8465797033098954</v>
      </c>
      <c r="P30" s="81">
        <f t="shared" ca="1" si="19"/>
        <v>505952</v>
      </c>
      <c r="Q30" s="130">
        <f t="shared" ca="1" si="20"/>
        <v>0.90384725318698911</v>
      </c>
      <c r="R30" s="101">
        <v>310543</v>
      </c>
      <c r="S30" s="103">
        <f t="shared" ref="S30" ca="1" si="107">D30+I30+N30</f>
        <v>1325478</v>
      </c>
      <c r="T30" s="169">
        <f t="shared" ca="1" si="22"/>
        <v>0.23428755513105462</v>
      </c>
      <c r="U30" s="283">
        <f t="shared" ca="1" si="79"/>
        <v>1281385</v>
      </c>
      <c r="V30" s="169">
        <f t="shared" ca="1" si="24"/>
        <v>0.96673426492178671</v>
      </c>
      <c r="W30" s="99"/>
      <c r="X30" s="80">
        <f t="shared" ca="1" si="25"/>
        <v>60403</v>
      </c>
      <c r="Y30" s="130">
        <f t="shared" ca="1" si="94"/>
        <v>0</v>
      </c>
      <c r="Z30" s="81">
        <f t="shared" ca="1" si="27"/>
        <v>12728</v>
      </c>
      <c r="AA30" s="130">
        <f t="shared" ca="1" si="81"/>
        <v>0.21071801069483304</v>
      </c>
      <c r="AB30" s="100"/>
      <c r="AC30" s="90">
        <f t="shared" ca="1" si="29"/>
        <v>46593</v>
      </c>
      <c r="AD30" s="147">
        <f t="shared" ca="1" si="95"/>
        <v>0</v>
      </c>
      <c r="AE30" s="81">
        <f t="shared" ca="1" si="31"/>
        <v>44310</v>
      </c>
      <c r="AF30" s="147">
        <f t="shared" ca="1" si="32"/>
        <v>0.95100122335973214</v>
      </c>
      <c r="AG30" s="99"/>
      <c r="AH30" s="80">
        <f t="shared" ca="1" si="33"/>
        <v>33607</v>
      </c>
      <c r="AI30" s="130">
        <f t="shared" ca="1" si="96"/>
        <v>0</v>
      </c>
      <c r="AJ30" s="81">
        <f t="shared" ca="1" si="35"/>
        <v>5958</v>
      </c>
      <c r="AK30" s="130">
        <f t="shared" ca="1" si="36"/>
        <v>0.17728449430178236</v>
      </c>
      <c r="AL30" s="101"/>
      <c r="AM30" s="103">
        <f t="shared" ca="1" si="76"/>
        <v>140603</v>
      </c>
      <c r="AN30" s="169">
        <f t="shared" ca="1" si="38"/>
        <v>0</v>
      </c>
      <c r="AO30" s="86">
        <f t="shared" ca="1" si="39"/>
        <v>62996</v>
      </c>
      <c r="AP30" s="169">
        <f t="shared" ca="1" si="40"/>
        <v>0.44804164918244987</v>
      </c>
      <c r="AQ30" s="99"/>
      <c r="AR30" s="80">
        <f t="shared" ca="1" si="41"/>
        <v>53115</v>
      </c>
      <c r="AS30" s="130">
        <f t="shared" ca="1" si="97"/>
        <v>0</v>
      </c>
      <c r="AT30" s="81">
        <f t="shared" ca="1" si="43"/>
        <v>28925</v>
      </c>
      <c r="AU30" s="130">
        <f t="shared" ca="1" si="85"/>
        <v>0.54457309611220939</v>
      </c>
      <c r="AV30" s="100"/>
      <c r="AW30" s="90">
        <f t="shared" ca="1" si="45"/>
        <v>58256</v>
      </c>
      <c r="AX30" s="147">
        <f t="shared" ca="1" si="98"/>
        <v>0</v>
      </c>
      <c r="AY30" s="81">
        <f t="shared" ca="1" si="47"/>
        <v>14752</v>
      </c>
      <c r="AZ30" s="147">
        <f t="shared" ca="1" si="48"/>
        <v>0.25322713540236197</v>
      </c>
      <c r="BA30" s="99"/>
      <c r="BB30" s="80">
        <f t="shared" ca="1" si="49"/>
        <v>51482</v>
      </c>
      <c r="BC30" s="130">
        <f t="shared" ca="1" si="99"/>
        <v>0</v>
      </c>
      <c r="BD30" s="81">
        <f t="shared" ca="1" si="51"/>
        <v>9767</v>
      </c>
      <c r="BE30" s="130">
        <f t="shared" ca="1" si="52"/>
        <v>0.18971679421933879</v>
      </c>
      <c r="BF30" s="101"/>
      <c r="BG30" s="103">
        <f t="shared" ca="1" si="53"/>
        <v>162853</v>
      </c>
      <c r="BH30" s="169">
        <f t="shared" ca="1" si="105"/>
        <v>0</v>
      </c>
      <c r="BI30" s="86">
        <f t="shared" ca="1" si="55"/>
        <v>53444</v>
      </c>
      <c r="BJ30" s="169">
        <f t="shared" ca="1" si="56"/>
        <v>0.32817326054785606</v>
      </c>
      <c r="BK30" s="99"/>
      <c r="BL30" s="80">
        <f t="shared" ca="1" si="57"/>
        <v>85931</v>
      </c>
      <c r="BM30" s="130">
        <f t="shared" ca="1" si="101"/>
        <v>0</v>
      </c>
      <c r="BN30" s="81">
        <f t="shared" ca="1" si="59"/>
        <v>10808</v>
      </c>
      <c r="BO30" s="130">
        <f t="shared" ca="1" si="90"/>
        <v>0.12577533137051822</v>
      </c>
      <c r="BP30" s="100"/>
      <c r="BQ30" s="90">
        <f t="shared" ca="1" si="61"/>
        <v>92103</v>
      </c>
      <c r="BR30" s="147">
        <f t="shared" ca="1" si="102"/>
        <v>0</v>
      </c>
      <c r="BS30" s="81">
        <f t="shared" ca="1" si="63"/>
        <v>29495</v>
      </c>
      <c r="BT30" s="147">
        <f t="shared" ca="1" si="64"/>
        <v>0.32023929730844813</v>
      </c>
      <c r="BU30" s="99"/>
      <c r="BV30" s="80">
        <f t="shared" ca="1" si="65"/>
        <v>79704</v>
      </c>
      <c r="BW30" s="130">
        <f t="shared" ca="1" si="103"/>
        <v>0</v>
      </c>
      <c r="BX30" s="81">
        <f t="shared" ca="1" si="67"/>
        <v>12990</v>
      </c>
      <c r="BY30" s="130">
        <f t="shared" ca="1" si="68"/>
        <v>0.16297801866907557</v>
      </c>
      <c r="BZ30" s="101"/>
      <c r="CA30" s="103">
        <f t="shared" ca="1" si="69"/>
        <v>257738</v>
      </c>
      <c r="CB30" s="169">
        <f t="shared" ca="1" si="106"/>
        <v>0</v>
      </c>
      <c r="CC30" s="86">
        <f t="shared" ca="1" si="71"/>
        <v>53293</v>
      </c>
      <c r="CD30" s="169">
        <f t="shared" ca="1" si="72"/>
        <v>0.20677199326447787</v>
      </c>
      <c r="CE30" s="102">
        <v>992632</v>
      </c>
      <c r="CF30" s="88">
        <f t="shared" ca="1" si="77"/>
        <v>1886672</v>
      </c>
      <c r="CG30" s="216">
        <f t="shared" ca="1" si="74"/>
        <v>0.52612854804650733</v>
      </c>
      <c r="CH30" s="89">
        <f t="shared" ca="1" si="8"/>
        <v>1451118</v>
      </c>
      <c r="CI30" s="145">
        <f t="shared" ca="1" si="75"/>
        <v>0.76914164200242541</v>
      </c>
    </row>
    <row r="31" spans="1:88" s="272" customFormat="1" ht="13.5" thickBot="1">
      <c r="A31" s="266"/>
      <c r="B31" s="286"/>
      <c r="C31" s="265">
        <f>IFERROR(SUM(C16,(C20:C30)),0)</f>
        <v>8237239</v>
      </c>
      <c r="D31" s="265">
        <f ca="1">IFERROR(SUM(D16,D20:D30),0)</f>
        <v>8877157</v>
      </c>
      <c r="E31" s="267">
        <f ca="1">IFERROR(C31/D31,0)</f>
        <v>0.92791408330392267</v>
      </c>
      <c r="F31" s="268">
        <f ca="1">SUM(F16,F20:F30)</f>
        <v>8606315</v>
      </c>
      <c r="G31" s="269">
        <f ca="1">IFERROR(F31/D31,0)</f>
        <v>0.96949000676680608</v>
      </c>
      <c r="H31" s="264">
        <f>SUM(H16,(H20:H30))</f>
        <v>7310873</v>
      </c>
      <c r="I31" s="265">
        <f ca="1">IFERROR(SUM(I16,I20:I30),0)</f>
        <v>7897159</v>
      </c>
      <c r="J31" s="267">
        <f ca="1">IFERROR(H31/I31,0)</f>
        <v>0.92575988402918064</v>
      </c>
      <c r="K31" s="282">
        <f ca="1">SUM(K16,K20:K30)</f>
        <v>7627353</v>
      </c>
      <c r="L31" s="269">
        <f ca="1">IFERROR(K31/I31,0)</f>
        <v>0.96583505536611336</v>
      </c>
      <c r="M31" s="264">
        <f>SUM(M16,(M20:M30))</f>
        <v>9801747</v>
      </c>
      <c r="N31" s="265">
        <f ca="1">IFERROR(SUM(N16,N20:N30),0)</f>
        <v>10311786</v>
      </c>
      <c r="O31" s="267">
        <f ca="1">IFERROR(M31/N31,0)</f>
        <v>0.95053824817543731</v>
      </c>
      <c r="P31" s="282">
        <f ca="1">SUM(P16,P20:P30)</f>
        <v>10162097</v>
      </c>
      <c r="Q31" s="269">
        <f ca="1">IFERROR(P31/N31,0)</f>
        <v>0.98548369797433732</v>
      </c>
      <c r="R31" s="264">
        <f>SUM(R16,(R20:R30))</f>
        <v>8504654</v>
      </c>
      <c r="S31" s="265">
        <f ca="1">SUM(S16,S20:S30)</f>
        <v>27086102</v>
      </c>
      <c r="T31" s="267">
        <f ca="1">IFERROR(R31/S31,0)</f>
        <v>0.31398589579260983</v>
      </c>
      <c r="U31" s="268">
        <f ca="1">SUM(U16,U20:U30)</f>
        <v>26395765</v>
      </c>
      <c r="V31" s="269">
        <f ca="1">IFERROR(U31/S31,0)</f>
        <v>0.97451323929888467</v>
      </c>
      <c r="W31" s="264">
        <f>IFERROR(SUM(W16,W20:W30),0)</f>
        <v>7855242</v>
      </c>
      <c r="X31" s="265">
        <f ca="1">SUM(X16,X20:X30)</f>
        <v>8569164</v>
      </c>
      <c r="Y31" s="426">
        <f ca="1">IFERROR(W31/X31,0)</f>
        <v>0.91668708872884219</v>
      </c>
      <c r="Z31" s="282">
        <f ca="1">SUM(Z16,Z20:Z30)</f>
        <v>8214213</v>
      </c>
      <c r="AA31" s="270">
        <f ca="1">IFERROR(Z31/X31,0)</f>
        <v>0.95857810633569385</v>
      </c>
      <c r="AB31" s="264">
        <f>IFERROR(SUM(AB16,AB20:AB30),0)</f>
        <v>7464048</v>
      </c>
      <c r="AC31" s="265">
        <f ca="1">SUM(AC16,AC20:AC30)</f>
        <v>7998033</v>
      </c>
      <c r="AD31" s="426">
        <f ca="1">IFERROR(AB31/AC31,0)</f>
        <v>0.93323545926854767</v>
      </c>
      <c r="AE31" s="282">
        <f ca="1">SUM(AE16,AE20:AE30)</f>
        <v>7789516</v>
      </c>
      <c r="AF31" s="270">
        <f ca="1">IFERROR(AE31/AC31,0)</f>
        <v>0.97392896478421631</v>
      </c>
      <c r="AG31" s="264">
        <f>IFERROR(SUM(AG16,AG20:AG30),0)</f>
        <v>8060305</v>
      </c>
      <c r="AH31" s="265">
        <f ca="1">SUM(AH16,AH20:AH30)</f>
        <v>8633673</v>
      </c>
      <c r="AI31" s="426">
        <f ca="1">IFERROR(AG31/AH31,0)</f>
        <v>0.93358933098346442</v>
      </c>
      <c r="AJ31" s="282">
        <f ca="1">SUM(AJ16,AJ20:AJ30)</f>
        <v>8389032</v>
      </c>
      <c r="AK31" s="270">
        <f ca="1">IFERROR(AJ31/AH31,0)</f>
        <v>0.97166431946171694</v>
      </c>
      <c r="AL31" s="264">
        <f>SUM(AL16,(AL20:AL30))</f>
        <v>8130424</v>
      </c>
      <c r="AM31" s="265">
        <f ca="1">SUM(AM16,AM20:AM30)</f>
        <v>25200870</v>
      </c>
      <c r="AN31" s="426">
        <f ca="1">IFERROR(AL31/AM31,0)</f>
        <v>0.32262473478098175</v>
      </c>
      <c r="AO31" s="268">
        <f ca="1">SUM(AO16,AO20:AO30)</f>
        <v>24392761</v>
      </c>
      <c r="AP31" s="270">
        <f ca="1">IFERROR(AO31/AM31,0)</f>
        <v>0.96793328960468428</v>
      </c>
      <c r="AQ31" s="264">
        <f>IFERROR(SUM(AQ16,AQ20:AQ30),0)</f>
        <v>5142159</v>
      </c>
      <c r="AR31" s="265">
        <f ca="1">SUM(AR16,AR20:AR30)</f>
        <v>5752956</v>
      </c>
      <c r="AS31" s="267">
        <f ca="1">IFERROR(AQ31/AR31,0)</f>
        <v>0.89382901590069519</v>
      </c>
      <c r="AT31" s="282">
        <f ca="1">SUM(AT16,AT20:AT30)</f>
        <v>5470993</v>
      </c>
      <c r="AU31" s="269">
        <f ca="1">IFERROR(AT31/AR31,0)</f>
        <v>0.95098815287306215</v>
      </c>
      <c r="AV31" s="264">
        <f>IFERROR(SUM(AV16,AV20:AV30),0)</f>
        <v>7788875</v>
      </c>
      <c r="AW31" s="265">
        <f ca="1">SUM(AW16,AW20:AW30)</f>
        <v>8522097</v>
      </c>
      <c r="AX31" s="267">
        <f ca="1">IFERROR(AV31/AW31,0)</f>
        <v>0.91396225600342262</v>
      </c>
      <c r="AY31" s="282">
        <f ca="1">SUM(AY16,AY20:AY30)</f>
        <v>8076730</v>
      </c>
      <c r="AZ31" s="269">
        <f ca="1">IFERROR(AY31/AW31,0)</f>
        <v>0.94773974058262889</v>
      </c>
      <c r="BA31" s="264">
        <f>IFERROR(SUM(BA16,BA20:BA30),0)</f>
        <v>7036659</v>
      </c>
      <c r="BB31" s="265">
        <f ca="1">SUM(BB16,BB20:BB30)</f>
        <v>7793394</v>
      </c>
      <c r="BC31" s="267">
        <f ca="1">IFERROR(BA31/BB31,0)</f>
        <v>0.90290045646351258</v>
      </c>
      <c r="BD31" s="282">
        <f ca="1">SUM(BD16,BD20:BD30)</f>
        <v>7369096</v>
      </c>
      <c r="BE31" s="269">
        <f ca="1">IFERROR(BD31/BB31,0)</f>
        <v>0.94555671123518203</v>
      </c>
      <c r="BF31" s="264">
        <f>SUM(BF16,(BF20:BF30))</f>
        <v>6565570</v>
      </c>
      <c r="BG31" s="265">
        <f ca="1">SUM(BG16,BG20:BG30)</f>
        <v>22068447</v>
      </c>
      <c r="BH31" s="267">
        <f ca="1">IFERROR(BF31/BG31,0)</f>
        <v>0.29750938070087124</v>
      </c>
      <c r="BI31" s="268">
        <f ca="1">SUM(BI16,BI20:BI30)</f>
        <v>20916819</v>
      </c>
      <c r="BJ31" s="269">
        <f ca="1">IFERROR(BI31/BG31,0)</f>
        <v>0.94781563016192305</v>
      </c>
      <c r="BK31" s="264">
        <f>IFERROR(SUM(BK16,BK20:BK30),0)</f>
        <v>6294678</v>
      </c>
      <c r="BL31" s="265">
        <f ca="1">SUM(BL16,BL20:BL30)</f>
        <v>6949181</v>
      </c>
      <c r="BM31" s="267">
        <f ca="1">IFERROR(BK31/BL31,0)</f>
        <v>0.90581580764697311</v>
      </c>
      <c r="BN31" s="282">
        <f ca="1">SUM(BN16,BN20:BN30)</f>
        <v>6600151</v>
      </c>
      <c r="BO31" s="269">
        <f ca="1">IFERROR(BN31/BL31,0)</f>
        <v>0.9497739373891686</v>
      </c>
      <c r="BP31" s="264">
        <f>IFERROR(SUM(BP16,BP20:BP30),0)</f>
        <v>4515610</v>
      </c>
      <c r="BQ31" s="265">
        <f ca="1">SUM(BQ16,BQ20:BQ30)</f>
        <v>4983306</v>
      </c>
      <c r="BR31" s="267">
        <f ca="1">IFERROR(BP31/BQ31,0)</f>
        <v>0.90614744508966538</v>
      </c>
      <c r="BS31" s="282">
        <f ca="1">SUM(BS16,BS20:BS30)</f>
        <v>4873370</v>
      </c>
      <c r="BT31" s="269">
        <f ca="1">IFERROR(BS31/BQ31,0)</f>
        <v>0.97793914321135411</v>
      </c>
      <c r="BU31" s="264">
        <f>IFERROR(SUM(BU16,BU20:BU30),0)</f>
        <v>6716371</v>
      </c>
      <c r="BV31" s="265">
        <f ca="1">SUM(BV16,BV20:BV30)</f>
        <v>7299008</v>
      </c>
      <c r="BW31" s="267">
        <f ca="1">IFERROR(BU31/BV31,0)</f>
        <v>0.92017586499425674</v>
      </c>
      <c r="BX31" s="282">
        <f ca="1">SUM(BX16,BX20:BX30)</f>
        <v>7048962</v>
      </c>
      <c r="BY31" s="269">
        <f ca="1">IFERROR(BX31/BV31,0)</f>
        <v>0.96574246801757169</v>
      </c>
      <c r="BZ31" s="264">
        <f>SUM(BZ16,(BZ20:BZ30))</f>
        <v>5848540</v>
      </c>
      <c r="CA31" s="265">
        <f ca="1">SUM(CA16,CA20:CA30)</f>
        <v>19231495</v>
      </c>
      <c r="CB31" s="267">
        <f ca="1">IFERROR(BZ31/CA31,0)</f>
        <v>0.30411260279037067</v>
      </c>
      <c r="CC31" s="268">
        <f ca="1">SUM(CC16,CC20:CC30)</f>
        <v>18522483</v>
      </c>
      <c r="CD31" s="270">
        <f ca="1">IFERROR(CC31/CA31,0)</f>
        <v>0.96313276736935949</v>
      </c>
      <c r="CE31" s="264">
        <f>SUM(CE16,(CE20:CE30))</f>
        <v>6960333</v>
      </c>
      <c r="CF31" s="265">
        <f ca="1">SUM(CF16,CF20:CF30)</f>
        <v>93586914</v>
      </c>
      <c r="CG31" s="267">
        <f ca="1">IFERROR(CE31/CF31,0)</f>
        <v>7.4372929958989781E-2</v>
      </c>
      <c r="CH31" s="268">
        <f ca="1">SUM(CH16,CH20:CH30)</f>
        <v>90227828</v>
      </c>
      <c r="CI31" s="271">
        <f ca="1">IFERROR(CH31/CF31,0)</f>
        <v>0.96410731098580726</v>
      </c>
      <c r="CJ31" s="263"/>
    </row>
    <row r="32" spans="1:88" ht="14.65" thickTop="1">
      <c r="M32" s="142"/>
    </row>
    <row r="34" spans="1:87" s="7" customFormat="1" ht="29.25" customHeight="1" thickBot="1">
      <c r="A34" s="8" t="s">
        <v>54</v>
      </c>
      <c r="B34" s="274"/>
      <c r="C34" s="510" t="s">
        <v>16</v>
      </c>
      <c r="D34" s="496"/>
      <c r="E34" s="496"/>
      <c r="F34" s="496"/>
      <c r="G34" s="497"/>
      <c r="H34" s="498" t="s">
        <v>22</v>
      </c>
      <c r="I34" s="499"/>
      <c r="J34" s="499"/>
      <c r="K34" s="499"/>
      <c r="L34" s="511"/>
      <c r="M34" s="510" t="s">
        <v>23</v>
      </c>
      <c r="N34" s="496"/>
      <c r="O34" s="496"/>
      <c r="P34" s="496"/>
      <c r="Q34" s="497"/>
      <c r="R34" s="501" t="s">
        <v>24</v>
      </c>
      <c r="S34" s="502"/>
      <c r="T34" s="502"/>
      <c r="U34" s="502"/>
      <c r="V34" s="503"/>
      <c r="W34" s="495" t="s">
        <v>10</v>
      </c>
      <c r="X34" s="496"/>
      <c r="Y34" s="496"/>
      <c r="Z34" s="496"/>
      <c r="AA34" s="497"/>
      <c r="AB34" s="498" t="s">
        <v>9</v>
      </c>
      <c r="AC34" s="499"/>
      <c r="AD34" s="499"/>
      <c r="AE34" s="499"/>
      <c r="AF34" s="500"/>
      <c r="AG34" s="495" t="s">
        <v>15</v>
      </c>
      <c r="AH34" s="496"/>
      <c r="AI34" s="496"/>
      <c r="AJ34" s="496"/>
      <c r="AK34" s="497"/>
      <c r="AL34" s="501" t="s">
        <v>25</v>
      </c>
      <c r="AM34" s="502"/>
      <c r="AN34" s="502"/>
      <c r="AO34" s="502"/>
      <c r="AP34" s="503"/>
      <c r="AQ34" s="495" t="s">
        <v>8</v>
      </c>
      <c r="AR34" s="496"/>
      <c r="AS34" s="496"/>
      <c r="AT34" s="496"/>
      <c r="AU34" s="497"/>
      <c r="AV34" s="498" t="s">
        <v>12</v>
      </c>
      <c r="AW34" s="499"/>
      <c r="AX34" s="499"/>
      <c r="AY34" s="499"/>
      <c r="AZ34" s="500"/>
      <c r="BA34" s="495" t="s">
        <v>14</v>
      </c>
      <c r="BB34" s="496"/>
      <c r="BC34" s="496"/>
      <c r="BD34" s="496"/>
      <c r="BE34" s="497"/>
      <c r="BF34" s="501" t="s">
        <v>26</v>
      </c>
      <c r="BG34" s="502"/>
      <c r="BH34" s="502"/>
      <c r="BI34" s="502"/>
      <c r="BJ34" s="503"/>
      <c r="BK34" s="495" t="s">
        <v>27</v>
      </c>
      <c r="BL34" s="496"/>
      <c r="BM34" s="496"/>
      <c r="BN34" s="496"/>
      <c r="BO34" s="497"/>
      <c r="BP34" s="498" t="s">
        <v>17</v>
      </c>
      <c r="BQ34" s="499"/>
      <c r="BR34" s="499"/>
      <c r="BS34" s="499"/>
      <c r="BT34" s="500"/>
      <c r="BU34" s="495" t="s">
        <v>28</v>
      </c>
      <c r="BV34" s="496"/>
      <c r="BW34" s="496"/>
      <c r="BX34" s="496"/>
      <c r="BY34" s="497"/>
      <c r="BZ34" s="501" t="s">
        <v>29</v>
      </c>
      <c r="CA34" s="502"/>
      <c r="CB34" s="502"/>
      <c r="CC34" s="502"/>
      <c r="CD34" s="503"/>
      <c r="CE34" s="493">
        <v>2021</v>
      </c>
      <c r="CF34" s="494"/>
      <c r="CG34" s="494"/>
      <c r="CH34" s="494"/>
      <c r="CI34" s="494"/>
    </row>
    <row r="35" spans="1:87" s="59" customFormat="1" ht="13.15">
      <c r="A35" s="58" t="s">
        <v>30</v>
      </c>
      <c r="B35" s="278"/>
      <c r="C35" s="121" t="s">
        <v>55</v>
      </c>
      <c r="D35" s="122" t="s">
        <v>56</v>
      </c>
      <c r="E35" s="132" t="s">
        <v>57</v>
      </c>
      <c r="F35" s="125" t="s">
        <v>34</v>
      </c>
      <c r="G35" s="133" t="s">
        <v>58</v>
      </c>
      <c r="H35" s="139" t="s">
        <v>55</v>
      </c>
      <c r="I35" s="122" t="s">
        <v>56</v>
      </c>
      <c r="J35" s="132" t="s">
        <v>57</v>
      </c>
      <c r="K35" s="126" t="s">
        <v>34</v>
      </c>
      <c r="L35" s="133" t="s">
        <v>58</v>
      </c>
      <c r="M35" s="126" t="s">
        <v>55</v>
      </c>
      <c r="N35" s="122" t="s">
        <v>56</v>
      </c>
      <c r="O35" s="132" t="s">
        <v>57</v>
      </c>
      <c r="P35" s="126" t="s">
        <v>34</v>
      </c>
      <c r="Q35" s="133" t="s">
        <v>58</v>
      </c>
      <c r="R35" s="126" t="s">
        <v>55</v>
      </c>
      <c r="S35" s="122" t="s">
        <v>56</v>
      </c>
      <c r="T35" s="170" t="s">
        <v>57</v>
      </c>
      <c r="U35" s="160" t="s">
        <v>34</v>
      </c>
      <c r="V35" s="133" t="s">
        <v>58</v>
      </c>
      <c r="W35" s="126" t="s">
        <v>55</v>
      </c>
      <c r="X35" s="122" t="s">
        <v>56</v>
      </c>
      <c r="Y35" s="132" t="s">
        <v>57</v>
      </c>
      <c r="Z35" s="126" t="s">
        <v>34</v>
      </c>
      <c r="AA35" s="136" t="s">
        <v>58</v>
      </c>
      <c r="AB35" s="126" t="s">
        <v>55</v>
      </c>
      <c r="AC35" s="122" t="s">
        <v>56</v>
      </c>
      <c r="AD35" s="170" t="s">
        <v>57</v>
      </c>
      <c r="AE35" s="122" t="s">
        <v>34</v>
      </c>
      <c r="AF35" s="136" t="s">
        <v>58</v>
      </c>
      <c r="AG35" s="126" t="s">
        <v>55</v>
      </c>
      <c r="AH35" s="122" t="s">
        <v>56</v>
      </c>
      <c r="AI35" s="170" t="s">
        <v>57</v>
      </c>
      <c r="AJ35" s="122" t="s">
        <v>34</v>
      </c>
      <c r="AK35" s="136" t="s">
        <v>58</v>
      </c>
      <c r="AL35" s="126" t="s">
        <v>55</v>
      </c>
      <c r="AM35" s="122" t="s">
        <v>56</v>
      </c>
      <c r="AN35" s="170" t="s">
        <v>57</v>
      </c>
      <c r="AO35" s="122" t="s">
        <v>34</v>
      </c>
      <c r="AP35" s="136" t="s">
        <v>58</v>
      </c>
      <c r="AQ35" s="126" t="s">
        <v>55</v>
      </c>
      <c r="AR35" s="122" t="s">
        <v>56</v>
      </c>
      <c r="AS35" s="170" t="s">
        <v>57</v>
      </c>
      <c r="AT35" s="160" t="s">
        <v>34</v>
      </c>
      <c r="AU35" s="155" t="s">
        <v>58</v>
      </c>
      <c r="AV35" s="126" t="s">
        <v>55</v>
      </c>
      <c r="AW35" s="122" t="s">
        <v>56</v>
      </c>
      <c r="AX35" s="170" t="s">
        <v>57</v>
      </c>
      <c r="AY35" s="160" t="s">
        <v>34</v>
      </c>
      <c r="AZ35" s="155" t="s">
        <v>58</v>
      </c>
      <c r="BA35" s="126" t="s">
        <v>55</v>
      </c>
      <c r="BB35" s="122" t="s">
        <v>56</v>
      </c>
      <c r="BC35" s="170" t="s">
        <v>57</v>
      </c>
      <c r="BD35" s="160" t="s">
        <v>34</v>
      </c>
      <c r="BE35" s="155" t="s">
        <v>58</v>
      </c>
      <c r="BF35" s="126" t="s">
        <v>55</v>
      </c>
      <c r="BG35" s="122" t="s">
        <v>56</v>
      </c>
      <c r="BH35" s="170" t="s">
        <v>57</v>
      </c>
      <c r="BI35" s="160" t="s">
        <v>34</v>
      </c>
      <c r="BJ35" s="155" t="s">
        <v>58</v>
      </c>
      <c r="BK35" s="126" t="s">
        <v>55</v>
      </c>
      <c r="BL35" s="122" t="s">
        <v>56</v>
      </c>
      <c r="BM35" s="170" t="s">
        <v>57</v>
      </c>
      <c r="BN35" s="160" t="s">
        <v>34</v>
      </c>
      <c r="BO35" s="155" t="s">
        <v>58</v>
      </c>
      <c r="BP35" s="126" t="s">
        <v>55</v>
      </c>
      <c r="BQ35" s="122" t="s">
        <v>56</v>
      </c>
      <c r="BR35" s="170" t="s">
        <v>57</v>
      </c>
      <c r="BS35" s="160" t="s">
        <v>34</v>
      </c>
      <c r="BT35" s="155" t="s">
        <v>58</v>
      </c>
      <c r="BU35" s="126" t="s">
        <v>55</v>
      </c>
      <c r="BV35" s="122" t="s">
        <v>56</v>
      </c>
      <c r="BW35" s="170" t="s">
        <v>57</v>
      </c>
      <c r="BX35" s="160" t="s">
        <v>34</v>
      </c>
      <c r="BY35" s="155" t="s">
        <v>58</v>
      </c>
      <c r="BZ35" s="126" t="s">
        <v>55</v>
      </c>
      <c r="CA35" s="122" t="s">
        <v>56</v>
      </c>
      <c r="CB35" s="170" t="s">
        <v>57</v>
      </c>
      <c r="CC35" s="160" t="s">
        <v>34</v>
      </c>
      <c r="CD35" s="155" t="s">
        <v>58</v>
      </c>
      <c r="CE35" s="126" t="s">
        <v>55</v>
      </c>
      <c r="CF35" s="122" t="s">
        <v>56</v>
      </c>
      <c r="CG35" s="170" t="s">
        <v>57</v>
      </c>
      <c r="CH35" s="160" t="s">
        <v>34</v>
      </c>
      <c r="CI35" s="155" t="s">
        <v>58</v>
      </c>
    </row>
    <row r="36" spans="1:87" s="109" customFormat="1" ht="13.15">
      <c r="A36" s="106" t="s">
        <v>36</v>
      </c>
      <c r="B36" s="285"/>
      <c r="C36" s="83">
        <v>523578</v>
      </c>
      <c r="D36" s="80">
        <f ca="1">C36+RANDBETWEEN(10000,100000)</f>
        <v>540569</v>
      </c>
      <c r="E36" s="130">
        <f t="shared" ref="E36:E53" ca="1" si="108">IFERROR(C36/D36,"")</f>
        <v>0.96856830487874812</v>
      </c>
      <c r="F36" s="81">
        <f ca="1">C36+RANDBETWEEN(5000,50000)</f>
        <v>551263</v>
      </c>
      <c r="G36" s="130">
        <f ca="1">IFERROR(F36/D36,"")</f>
        <v>1.0197828584325035</v>
      </c>
      <c r="H36" s="400">
        <v>100300</v>
      </c>
      <c r="I36" s="90">
        <f ca="1">H36+RANDBETWEEN(10000,100000)</f>
        <v>126835</v>
      </c>
      <c r="J36" s="145">
        <f ca="1">IFERROR(H36/I36,"")</f>
        <v>0.79079118539835214</v>
      </c>
      <c r="K36" s="81">
        <f ca="1">H36+RANDBETWEEN(5000,50000)</f>
        <v>144589</v>
      </c>
      <c r="L36" s="145">
        <f ca="1">IFERROR(K36/I36,"")</f>
        <v>1.1399771356486774</v>
      </c>
      <c r="M36" s="83">
        <v>787043</v>
      </c>
      <c r="N36" s="80">
        <f ca="1">M36+RANDBETWEEN(10000,100000)</f>
        <v>872310</v>
      </c>
      <c r="O36" s="130">
        <f ca="1">IFERROR(M36/N36,"")</f>
        <v>0.90225149316183462</v>
      </c>
      <c r="P36" s="81">
        <f ca="1">M36+RANDBETWEEN(5000,50000)</f>
        <v>828781</v>
      </c>
      <c r="Q36" s="130">
        <f ca="1">IFERROR(P36/N36,"")</f>
        <v>0.95009916199516231</v>
      </c>
      <c r="R36" s="84">
        <v>179537</v>
      </c>
      <c r="S36" s="85">
        <f ca="1">D36+I36+N36</f>
        <v>1539714</v>
      </c>
      <c r="T36" s="167">
        <f ca="1">IFERROR(R36/S36,"")</f>
        <v>0.11660412258380452</v>
      </c>
      <c r="U36" s="86">
        <f ca="1">F36+K36+P36</f>
        <v>1524633</v>
      </c>
      <c r="V36" s="167">
        <f ca="1">IFERROR(U36/S36,"")</f>
        <v>0.99020532384585713</v>
      </c>
      <c r="W36" s="83">
        <v>277761</v>
      </c>
      <c r="X36" s="80">
        <f ca="1">W36+RANDBETWEEN(10000,100000)</f>
        <v>300365</v>
      </c>
      <c r="Y36" s="130">
        <f t="shared" ref="Y36:Y53" ca="1" si="109">IFERROR(W36/X36,"")</f>
        <v>0.92474489371264956</v>
      </c>
      <c r="Z36" s="81">
        <f ca="1">W36+RANDBETWEEN(5000,50000)</f>
        <v>311082</v>
      </c>
      <c r="AA36" s="130">
        <f ca="1">IFERROR(Z36/X36,"")</f>
        <v>1.0356799227606412</v>
      </c>
      <c r="AB36" s="400">
        <v>409473</v>
      </c>
      <c r="AC36" s="90">
        <f ca="1">AB36+RANDBETWEEN(10000,100000)</f>
        <v>500399</v>
      </c>
      <c r="AD36" s="145">
        <f ca="1">IFERROR(AB36/AC36,"")</f>
        <v>0.81829300218425693</v>
      </c>
      <c r="AE36" s="81">
        <f ca="1">AB36+RANDBETWEEN(5000,50000)</f>
        <v>456962</v>
      </c>
      <c r="AF36" s="145">
        <f ca="1">IFERROR(AE36/AC36,"")</f>
        <v>0.91319527017440083</v>
      </c>
      <c r="AG36" s="83">
        <v>818982</v>
      </c>
      <c r="AH36" s="80">
        <f ca="1">AG36+RANDBETWEEN(10000,100000)</f>
        <v>885408</v>
      </c>
      <c r="AI36" s="130">
        <f ca="1">IFERROR(AG36/AH36,"")</f>
        <v>0.9249769597744768</v>
      </c>
      <c r="AJ36" s="81">
        <f ca="1">AG36+RANDBETWEEN(5000,50000)</f>
        <v>828366</v>
      </c>
      <c r="AK36" s="130">
        <f ca="1">IFERROR(AJ36/AH36,"")</f>
        <v>0.93557546351512522</v>
      </c>
      <c r="AL36" s="84">
        <v>755354</v>
      </c>
      <c r="AM36" s="85">
        <f ca="1">X36+AC36+AH36</f>
        <v>1686172</v>
      </c>
      <c r="AN36" s="428">
        <f ca="1">IFERROR(AL36/AM36,"")</f>
        <v>0.4479697207639553</v>
      </c>
      <c r="AO36" s="86">
        <f ca="1">Z36+AE36+AJ36</f>
        <v>1596410</v>
      </c>
      <c r="AP36" s="167">
        <f ca="1">IFERROR(AO36/AM36,"")</f>
        <v>0.94676581036810004</v>
      </c>
      <c r="AQ36" s="83">
        <v>211216</v>
      </c>
      <c r="AR36" s="80">
        <f ca="1">AQ36+RANDBETWEEN(10000,100000)</f>
        <v>284026</v>
      </c>
      <c r="AS36" s="130">
        <f t="shared" ref="AS36:AS53" ca="1" si="110">IFERROR(AQ36/AR36,"")</f>
        <v>0.74365022920436863</v>
      </c>
      <c r="AT36" s="81">
        <f ca="1">AQ36+RANDBETWEEN(5000,50000)</f>
        <v>225363</v>
      </c>
      <c r="AU36" s="130">
        <f ca="1">IFERROR(AT36/AR36,"")</f>
        <v>0.79345904952363511</v>
      </c>
      <c r="AV36" s="400">
        <v>964906</v>
      </c>
      <c r="AW36" s="90">
        <f ca="1">AV36+RANDBETWEEN(10000,100000)</f>
        <v>1013261</v>
      </c>
      <c r="AX36" s="145">
        <f ca="1">IFERROR(AV36/AW36,"")</f>
        <v>0.95227784351711953</v>
      </c>
      <c r="AY36" s="81">
        <f ca="1">AV36+RANDBETWEEN(5000,50000)</f>
        <v>1003060</v>
      </c>
      <c r="AZ36" s="145">
        <f ca="1">IFERROR(AY36/AW36,"")</f>
        <v>0.98993250505052499</v>
      </c>
      <c r="BA36" s="83">
        <v>207187</v>
      </c>
      <c r="BB36" s="80">
        <f ca="1">BA36+RANDBETWEEN(10000,100000)</f>
        <v>292757</v>
      </c>
      <c r="BC36" s="130">
        <f ca="1">IFERROR(BA36/BB36,"")</f>
        <v>0.7077098071096507</v>
      </c>
      <c r="BD36" s="81">
        <f ca="1">BA36+RANDBETWEEN(5000,50000)</f>
        <v>254308</v>
      </c>
      <c r="BE36" s="130">
        <f ca="1">IFERROR(BD36/BB36,"")</f>
        <v>0.86866582182492647</v>
      </c>
      <c r="BF36" s="94">
        <v>796247</v>
      </c>
      <c r="BG36" s="92">
        <f ca="1">AR36+AW36+BB36</f>
        <v>1590044</v>
      </c>
      <c r="BH36" s="191">
        <f ca="1">IFERROR(BF36/BG36,"")</f>
        <v>0.50077041893180319</v>
      </c>
      <c r="BI36" s="86">
        <f ca="1">AT36+AY36+BD36</f>
        <v>1482731</v>
      </c>
      <c r="BJ36" s="145">
        <f ca="1">IFERROR(BI36/BG36,"")</f>
        <v>0.93250941483380334</v>
      </c>
      <c r="BK36" s="83">
        <v>190141</v>
      </c>
      <c r="BL36" s="80">
        <f ca="1">BK36+RANDBETWEEN(10000,100000)</f>
        <v>252282</v>
      </c>
      <c r="BM36" s="130">
        <f t="shared" ref="BM36:BM53" ca="1" si="111">IFERROR(BK36/BL36,"")</f>
        <v>0.75368436907904646</v>
      </c>
      <c r="BN36" s="81">
        <f ca="1">BK36+RANDBETWEEN(5000,50000)</f>
        <v>238978</v>
      </c>
      <c r="BO36" s="130">
        <f ca="1">IFERROR(BN36/BL36,"")</f>
        <v>0.94726536177769327</v>
      </c>
      <c r="BP36" s="400">
        <v>867585</v>
      </c>
      <c r="BQ36" s="90">
        <f ca="1">BP36+RANDBETWEEN(10000,100000)</f>
        <v>899914</v>
      </c>
      <c r="BR36" s="145">
        <f ca="1">IFERROR(BP36/BQ36,"")</f>
        <v>0.96407545609913836</v>
      </c>
      <c r="BS36" s="81">
        <f ca="1">BP36+RANDBETWEEN(5000,50000)</f>
        <v>899997</v>
      </c>
      <c r="BT36" s="145">
        <f ca="1">IFERROR(BS36/BQ36,"")</f>
        <v>1.0000922310354101</v>
      </c>
      <c r="BU36" s="83">
        <v>477318</v>
      </c>
      <c r="BV36" s="80">
        <f ca="1">BU36+RANDBETWEEN(10000,100000)</f>
        <v>567790</v>
      </c>
      <c r="BW36" s="130">
        <f ca="1">IFERROR(BU36/BV36,"")</f>
        <v>0.8406593987213582</v>
      </c>
      <c r="BX36" s="81">
        <f ca="1">BU36+RANDBETWEEN(5000,50000)</f>
        <v>499656</v>
      </c>
      <c r="BY36" s="130">
        <f ca="1">IFERROR(BX36/BV36,"")</f>
        <v>0.88000140897162682</v>
      </c>
      <c r="BZ36" s="84">
        <v>467347</v>
      </c>
      <c r="CA36" s="85">
        <f ca="1">BL36+BQ36+BV36</f>
        <v>1719986</v>
      </c>
      <c r="CB36" s="191">
        <f ca="1">IFERROR(BZ36/CA36,"")</f>
        <v>0.27171558373149551</v>
      </c>
      <c r="CC36" s="86">
        <f ca="1">BN36+BS36+BX36</f>
        <v>1638631</v>
      </c>
      <c r="CD36" s="145">
        <f ca="1">IFERROR(CC36/CA36,"")</f>
        <v>0.95270019639694736</v>
      </c>
      <c r="CE36" s="87">
        <v>111923</v>
      </c>
      <c r="CF36" s="206">
        <f t="shared" ref="CF36" ca="1" si="112">S36+AM36+BG36+CA36</f>
        <v>6535916</v>
      </c>
      <c r="CG36" s="213">
        <f ca="1">IFERROR(CE36/CF36,"")</f>
        <v>1.7124302087113727E-2</v>
      </c>
      <c r="CH36" s="89">
        <f t="shared" ref="CH36:CH40" ca="1" si="113">AO36+BI36+CC36+U36</f>
        <v>6242405</v>
      </c>
      <c r="CI36" s="145">
        <f ca="1">IFERROR(CH36/CF36,"")</f>
        <v>0.9550925991092909</v>
      </c>
    </row>
    <row r="37" spans="1:87" s="105" customFormat="1" ht="13.15">
      <c r="A37" s="104" t="s">
        <v>37</v>
      </c>
      <c r="B37" s="285"/>
      <c r="C37" s="116">
        <v>853951</v>
      </c>
      <c r="D37" s="80">
        <f t="shared" ref="D37:D53" ca="1" si="114">C37+RANDBETWEEN(10000,100000)</f>
        <v>884054</v>
      </c>
      <c r="E37" s="130">
        <f t="shared" ca="1" si="108"/>
        <v>0.96594891262298455</v>
      </c>
      <c r="F37" s="81">
        <f t="shared" ref="F37:F53" ca="1" si="115">C37+RANDBETWEEN(5000,50000)</f>
        <v>867821</v>
      </c>
      <c r="G37" s="130">
        <f t="shared" ref="G37:G53" ca="1" si="116">IFERROR(F37/D37,"")</f>
        <v>0.98163799948871899</v>
      </c>
      <c r="H37" s="82">
        <v>699569</v>
      </c>
      <c r="I37" s="90">
        <f t="shared" ref="I37:I53" ca="1" si="117">H37+RANDBETWEEN(10000,100000)</f>
        <v>754180</v>
      </c>
      <c r="J37" s="145">
        <f t="shared" ref="J37:J53" ca="1" si="118">IFERROR(H37/I37,"")</f>
        <v>0.92758890450555576</v>
      </c>
      <c r="K37" s="81">
        <f t="shared" ref="K37:K53" ca="1" si="119">H37+RANDBETWEEN(5000,50000)</f>
        <v>741992</v>
      </c>
      <c r="L37" s="145">
        <f t="shared" ref="L37:L53" ca="1" si="120">IFERROR(K37/I37,"")</f>
        <v>0.98383940173433393</v>
      </c>
      <c r="M37" s="83">
        <v>532775</v>
      </c>
      <c r="N37" s="80">
        <f t="shared" ref="N37:N53" ca="1" si="121">M37+RANDBETWEEN(10000,100000)</f>
        <v>611526</v>
      </c>
      <c r="O37" s="130">
        <f t="shared" ref="O37:O53" ca="1" si="122">IFERROR(M37/N37,"")</f>
        <v>0.8712221557219153</v>
      </c>
      <c r="P37" s="81">
        <f t="shared" ref="P37:P53" ca="1" si="123">M37+RANDBETWEEN(5000,50000)</f>
        <v>572741</v>
      </c>
      <c r="Q37" s="130">
        <f t="shared" ref="Q37:Q53" ca="1" si="124">IFERROR(P37/N37,"")</f>
        <v>0.9365766950219615</v>
      </c>
      <c r="R37" s="91">
        <v>479879</v>
      </c>
      <c r="S37" s="92">
        <f t="shared" ref="S37:S40" ca="1" si="125">D37+I37+N37</f>
        <v>2249760</v>
      </c>
      <c r="T37" s="167">
        <f t="shared" ref="T37:T53" ca="1" si="126">IFERROR(R37/S37,"")</f>
        <v>0.21330230780172107</v>
      </c>
      <c r="U37" s="86">
        <f t="shared" ref="U37:U40" ca="1" si="127">F37+K37+P37</f>
        <v>2182554</v>
      </c>
      <c r="V37" s="167">
        <f t="shared" ref="V37:V53" ca="1" si="128">IFERROR(U37/S37,"")</f>
        <v>0.97012748026456153</v>
      </c>
      <c r="W37" s="116">
        <v>767347</v>
      </c>
      <c r="X37" s="80">
        <f t="shared" ref="X37:X53" ca="1" si="129">W37+RANDBETWEEN(10000,100000)</f>
        <v>856698</v>
      </c>
      <c r="Y37" s="130">
        <f t="shared" ca="1" si="109"/>
        <v>0.89570303654263228</v>
      </c>
      <c r="Z37" s="81">
        <f t="shared" ref="Z37:Z53" ca="1" si="130">W37+RANDBETWEEN(5000,50000)</f>
        <v>803069</v>
      </c>
      <c r="AA37" s="130">
        <f t="shared" ref="AA37:AA53" ca="1" si="131">IFERROR(Z37/X37,"")</f>
        <v>0.93740034411192741</v>
      </c>
      <c r="AB37" s="82">
        <v>749622</v>
      </c>
      <c r="AC37" s="90">
        <f t="shared" ref="AC37:AC53" ca="1" si="132">AB37+RANDBETWEEN(10000,100000)</f>
        <v>786783</v>
      </c>
      <c r="AD37" s="145">
        <f t="shared" ref="AD37:AD53" ca="1" si="133">IFERROR(AB37/AC37,"")</f>
        <v>0.95276842534726858</v>
      </c>
      <c r="AE37" s="81">
        <f t="shared" ref="AE37:AE53" ca="1" si="134">AB37+RANDBETWEEN(5000,50000)</f>
        <v>792915</v>
      </c>
      <c r="AF37" s="145">
        <f t="shared" ref="AF37:AF53" ca="1" si="135">IFERROR(AE37/AC37,"")</f>
        <v>1.007793762702041</v>
      </c>
      <c r="AG37" s="83">
        <v>448607</v>
      </c>
      <c r="AH37" s="80">
        <f t="shared" ref="AH37:AH53" ca="1" si="136">AG37+RANDBETWEEN(10000,100000)</f>
        <v>499213</v>
      </c>
      <c r="AI37" s="130">
        <f t="shared" ref="AI37:AI53" ca="1" si="137">IFERROR(AG37/AH37,"")</f>
        <v>0.89862844116639595</v>
      </c>
      <c r="AJ37" s="81">
        <f t="shared" ref="AJ37:AJ53" ca="1" si="138">AG37+RANDBETWEEN(5000,50000)</f>
        <v>486023</v>
      </c>
      <c r="AK37" s="130">
        <f t="shared" ref="AK37:AK53" ca="1" si="139">IFERROR(AJ37/AH37,"")</f>
        <v>0.97357841242115084</v>
      </c>
      <c r="AL37" s="84">
        <v>973313</v>
      </c>
      <c r="AM37" s="92">
        <f t="shared" ref="AM37:AM40" ca="1" si="140">X37+AC37+AH37</f>
        <v>2142694</v>
      </c>
      <c r="AN37" s="429">
        <f t="shared" ref="AN37:AN53" ca="1" si="141">IFERROR(AL37/AM37,"")</f>
        <v>0.45424731669571111</v>
      </c>
      <c r="AO37" s="161">
        <f t="shared" ref="AO37:AO40" ca="1" si="142">Z37+AE37+AJ37</f>
        <v>2082007</v>
      </c>
      <c r="AP37" s="167">
        <f t="shared" ref="AP37:AP53" ca="1" si="143">IFERROR(AO37/AM37,"")</f>
        <v>0.9716772436941532</v>
      </c>
      <c r="AQ37" s="116">
        <v>281130</v>
      </c>
      <c r="AR37" s="80">
        <f t="shared" ref="AR37:AR53" ca="1" si="144">AQ37+RANDBETWEEN(10000,100000)</f>
        <v>339240</v>
      </c>
      <c r="AS37" s="130">
        <f t="shared" ca="1" si="110"/>
        <v>0.82870534135125573</v>
      </c>
      <c r="AT37" s="81">
        <f t="shared" ref="AT37:AT53" ca="1" si="145">AQ37+RANDBETWEEN(5000,50000)</f>
        <v>296526</v>
      </c>
      <c r="AU37" s="130">
        <f t="shared" ref="AU37:AU53" ca="1" si="146">IFERROR(AT37/AR37,"")</f>
        <v>0.87408914043155284</v>
      </c>
      <c r="AV37" s="82">
        <v>308756</v>
      </c>
      <c r="AW37" s="90">
        <f t="shared" ref="AW37:AW53" ca="1" si="147">AV37+RANDBETWEEN(10000,100000)</f>
        <v>405512</v>
      </c>
      <c r="AX37" s="145">
        <f t="shared" ref="AX37:AX53" ca="1" si="148">IFERROR(AV37/AW37,"")</f>
        <v>0.76139793643591314</v>
      </c>
      <c r="AY37" s="81">
        <f t="shared" ref="AY37:AY53" ca="1" si="149">AV37+RANDBETWEEN(5000,50000)</f>
        <v>352880</v>
      </c>
      <c r="AZ37" s="145">
        <f t="shared" ref="AZ37:AZ53" ca="1" si="150">IFERROR(AY37/AW37,"")</f>
        <v>0.87020852650476432</v>
      </c>
      <c r="BA37" s="83">
        <v>694570</v>
      </c>
      <c r="BB37" s="80">
        <f t="shared" ref="BB37:BB53" ca="1" si="151">BA37+RANDBETWEEN(10000,100000)</f>
        <v>787454</v>
      </c>
      <c r="BC37" s="130">
        <f t="shared" ref="BC37:BC53" ca="1" si="152">IFERROR(BA37/BB37,"")</f>
        <v>0.88204517343235289</v>
      </c>
      <c r="BD37" s="81">
        <f t="shared" ref="BD37:BD53" ca="1" si="153">BA37+RANDBETWEEN(5000,50000)</f>
        <v>704125</v>
      </c>
      <c r="BE37" s="130">
        <f t="shared" ref="BE37:BE53" ca="1" si="154">IFERROR(BD37/BB37,"")</f>
        <v>0.89417921554782887</v>
      </c>
      <c r="BF37" s="94">
        <v>733000</v>
      </c>
      <c r="BG37" s="92">
        <f t="shared" ref="BG37:BG40" ca="1" si="155">AR37+AW37+BB37</f>
        <v>1532206</v>
      </c>
      <c r="BH37" s="192">
        <f t="shared" ref="BH37:BH53" ca="1" si="156">IFERROR(BF37/BG37,"")</f>
        <v>0.47839520273383607</v>
      </c>
      <c r="BI37" s="161">
        <f t="shared" ref="BI37:BI40" ca="1" si="157">AT37+AY37+BD37</f>
        <v>1353531</v>
      </c>
      <c r="BJ37" s="145">
        <f t="shared" ref="BJ37:BJ53" ca="1" si="158">IFERROR(BI37/BG37,"")</f>
        <v>0.88338709024765605</v>
      </c>
      <c r="BK37" s="116">
        <v>877301</v>
      </c>
      <c r="BL37" s="80">
        <f t="shared" ref="BL37:BL53" ca="1" si="159">BK37+RANDBETWEEN(10000,100000)</f>
        <v>902982</v>
      </c>
      <c r="BM37" s="130">
        <f t="shared" ca="1" si="111"/>
        <v>0.97155978745977223</v>
      </c>
      <c r="BN37" s="81">
        <f t="shared" ref="BN37:BN53" ca="1" si="160">BK37+RANDBETWEEN(5000,50000)</f>
        <v>916333</v>
      </c>
      <c r="BO37" s="130">
        <f t="shared" ref="BO37:BO53" ca="1" si="161">IFERROR(BN37/BL37,"")</f>
        <v>1.0147854553025419</v>
      </c>
      <c r="BP37" s="82">
        <v>824394</v>
      </c>
      <c r="BQ37" s="90">
        <f t="shared" ref="BQ37:BQ53" ca="1" si="162">BP37+RANDBETWEEN(10000,100000)</f>
        <v>890416</v>
      </c>
      <c r="BR37" s="145">
        <f t="shared" ref="BR37:BR53" ca="1" si="163">IFERROR(BP37/BQ37,"")</f>
        <v>0.92585263517277316</v>
      </c>
      <c r="BS37" s="81">
        <f t="shared" ref="BS37:BS53" ca="1" si="164">BP37+RANDBETWEEN(5000,50000)</f>
        <v>869685</v>
      </c>
      <c r="BT37" s="145">
        <f t="shared" ref="BT37:BT53" ca="1" si="165">IFERROR(BS37/BQ37,"")</f>
        <v>0.97671762412175878</v>
      </c>
      <c r="BU37" s="83">
        <v>980391</v>
      </c>
      <c r="BV37" s="80">
        <f t="shared" ref="BV37:BV53" ca="1" si="166">BU37+RANDBETWEEN(10000,100000)</f>
        <v>1050154</v>
      </c>
      <c r="BW37" s="130">
        <f t="shared" ref="BW37:BW53" ca="1" si="167">IFERROR(BU37/BV37,"")</f>
        <v>0.93356879086305433</v>
      </c>
      <c r="BX37" s="81">
        <f t="shared" ref="BX37:BX53" ca="1" si="168">BU37+RANDBETWEEN(5000,50000)</f>
        <v>999736</v>
      </c>
      <c r="BY37" s="130">
        <f t="shared" ref="BY37:BY53" ca="1" si="169">IFERROR(BX37/BV37,"")</f>
        <v>0.95198989862439221</v>
      </c>
      <c r="BZ37" s="84">
        <v>772849</v>
      </c>
      <c r="CA37" s="92">
        <f t="shared" ref="CA37:CA40" ca="1" si="170">BL37+BQ37+BV37</f>
        <v>2843552</v>
      </c>
      <c r="CB37" s="192">
        <f t="shared" ref="CB37:CB53" ca="1" si="171">IFERROR(BZ37/CA37,"")</f>
        <v>0.27179000067521186</v>
      </c>
      <c r="CC37" s="161">
        <f t="shared" ref="CC37:CC40" ca="1" si="172">BN37+BS37+BX37</f>
        <v>2785754</v>
      </c>
      <c r="CD37" s="145">
        <f t="shared" ref="CD37:CD53" ca="1" si="173">IFERROR(CC37/CA37,"")</f>
        <v>0.97967401334668758</v>
      </c>
      <c r="CE37" s="93">
        <v>371409</v>
      </c>
      <c r="CF37" s="206">
        <f t="shared" ref="CF37:CF40" ca="1" si="174">S37+AM37+BG37+CA37</f>
        <v>8768212</v>
      </c>
      <c r="CG37" s="214">
        <f t="shared" ref="CG37:CG53" ca="1" si="175">IFERROR(CE37/CF37,"")</f>
        <v>4.2358578921221336E-2</v>
      </c>
      <c r="CH37" s="89">
        <f t="shared" ca="1" si="113"/>
        <v>8403846</v>
      </c>
      <c r="CI37" s="145">
        <f t="shared" ref="CI37:CI53" ca="1" si="176">IFERROR(CH37/CF37,"")</f>
        <v>0.95844466351862845</v>
      </c>
    </row>
    <row r="38" spans="1:87" s="105" customFormat="1" ht="13.15">
      <c r="A38" s="104" t="s">
        <v>59</v>
      </c>
      <c r="B38" s="285"/>
      <c r="C38" s="79"/>
      <c r="D38" s="80">
        <f t="shared" ca="1" si="114"/>
        <v>21025</v>
      </c>
      <c r="E38" s="130">
        <f t="shared" ca="1" si="108"/>
        <v>0</v>
      </c>
      <c r="F38" s="81">
        <f t="shared" ca="1" si="115"/>
        <v>43488</v>
      </c>
      <c r="G38" s="130">
        <f t="shared" ca="1" si="116"/>
        <v>2.0683947681331749</v>
      </c>
      <c r="H38" s="82"/>
      <c r="I38" s="90">
        <f t="shared" ca="1" si="117"/>
        <v>36722</v>
      </c>
      <c r="J38" s="145">
        <f t="shared" ca="1" si="118"/>
        <v>0</v>
      </c>
      <c r="K38" s="81">
        <f t="shared" ca="1" si="119"/>
        <v>33120</v>
      </c>
      <c r="L38" s="145">
        <f t="shared" ca="1" si="120"/>
        <v>0.90191166058493544</v>
      </c>
      <c r="M38" s="83"/>
      <c r="N38" s="80">
        <f t="shared" ca="1" si="121"/>
        <v>87910</v>
      </c>
      <c r="O38" s="130">
        <f t="shared" ca="1" si="122"/>
        <v>0</v>
      </c>
      <c r="P38" s="81">
        <f t="shared" ca="1" si="123"/>
        <v>6611</v>
      </c>
      <c r="Q38" s="130">
        <f t="shared" ca="1" si="124"/>
        <v>7.5201911045387329E-2</v>
      </c>
      <c r="R38" s="94"/>
      <c r="S38" s="92">
        <f t="shared" ca="1" si="125"/>
        <v>145657</v>
      </c>
      <c r="T38" s="167">
        <f t="shared" ca="1" si="126"/>
        <v>0</v>
      </c>
      <c r="U38" s="86">
        <f t="shared" ca="1" si="127"/>
        <v>83219</v>
      </c>
      <c r="V38" s="167">
        <f t="shared" ca="1" si="128"/>
        <v>0.57133539754354412</v>
      </c>
      <c r="W38" s="79"/>
      <c r="X38" s="80">
        <f t="shared" ca="1" si="129"/>
        <v>12891</v>
      </c>
      <c r="Y38" s="130">
        <f t="shared" ca="1" si="109"/>
        <v>0</v>
      </c>
      <c r="Z38" s="81">
        <f t="shared" ca="1" si="130"/>
        <v>27638</v>
      </c>
      <c r="AA38" s="130">
        <f t="shared" ca="1" si="131"/>
        <v>2.143976417655729</v>
      </c>
      <c r="AB38" s="82"/>
      <c r="AC38" s="90">
        <f t="shared" ca="1" si="132"/>
        <v>88135</v>
      </c>
      <c r="AD38" s="145">
        <f t="shared" ca="1" si="133"/>
        <v>0</v>
      </c>
      <c r="AE38" s="81">
        <f t="shared" ca="1" si="134"/>
        <v>10653</v>
      </c>
      <c r="AF38" s="145">
        <f t="shared" ca="1" si="135"/>
        <v>0.12087139048051285</v>
      </c>
      <c r="AG38" s="83"/>
      <c r="AH38" s="80">
        <f t="shared" ca="1" si="136"/>
        <v>82750</v>
      </c>
      <c r="AI38" s="130">
        <f t="shared" ca="1" si="137"/>
        <v>0</v>
      </c>
      <c r="AJ38" s="81">
        <f t="shared" ca="1" si="138"/>
        <v>27905</v>
      </c>
      <c r="AK38" s="130">
        <f t="shared" ca="1" si="139"/>
        <v>0.33722054380664651</v>
      </c>
      <c r="AL38" s="84"/>
      <c r="AM38" s="92">
        <f t="shared" ca="1" si="140"/>
        <v>183776</v>
      </c>
      <c r="AN38" s="429">
        <f t="shared" ca="1" si="141"/>
        <v>0</v>
      </c>
      <c r="AO38" s="161">
        <f t="shared" ca="1" si="142"/>
        <v>66196</v>
      </c>
      <c r="AP38" s="167">
        <f t="shared" ca="1" si="143"/>
        <v>0.36019937314992162</v>
      </c>
      <c r="AQ38" s="79"/>
      <c r="AR38" s="80">
        <f t="shared" ca="1" si="144"/>
        <v>30235</v>
      </c>
      <c r="AS38" s="130">
        <f t="shared" ca="1" si="110"/>
        <v>0</v>
      </c>
      <c r="AT38" s="81">
        <f t="shared" ca="1" si="145"/>
        <v>45660</v>
      </c>
      <c r="AU38" s="130">
        <f t="shared" ca="1" si="146"/>
        <v>1.5101703323962294</v>
      </c>
      <c r="AV38" s="82"/>
      <c r="AW38" s="90">
        <f t="shared" ca="1" si="147"/>
        <v>72256</v>
      </c>
      <c r="AX38" s="145">
        <f t="shared" ca="1" si="148"/>
        <v>0</v>
      </c>
      <c r="AY38" s="81">
        <f t="shared" ca="1" si="149"/>
        <v>19622</v>
      </c>
      <c r="AZ38" s="145">
        <f t="shared" ca="1" si="150"/>
        <v>0.27156222320637735</v>
      </c>
      <c r="BA38" s="83"/>
      <c r="BB38" s="80">
        <f t="shared" ca="1" si="151"/>
        <v>69744</v>
      </c>
      <c r="BC38" s="130">
        <f t="shared" ca="1" si="152"/>
        <v>0</v>
      </c>
      <c r="BD38" s="81">
        <f t="shared" ca="1" si="153"/>
        <v>28730</v>
      </c>
      <c r="BE38" s="130">
        <f t="shared" ca="1" si="154"/>
        <v>0.41193507685248909</v>
      </c>
      <c r="BF38" s="94"/>
      <c r="BG38" s="92">
        <f t="shared" ca="1" si="155"/>
        <v>172235</v>
      </c>
      <c r="BH38" s="192">
        <f t="shared" ca="1" si="156"/>
        <v>0</v>
      </c>
      <c r="BI38" s="161">
        <f t="shared" ca="1" si="157"/>
        <v>94012</v>
      </c>
      <c r="BJ38" s="145">
        <f t="shared" ca="1" si="158"/>
        <v>0.54583563154991721</v>
      </c>
      <c r="BK38" s="79"/>
      <c r="BL38" s="80">
        <f t="shared" ca="1" si="159"/>
        <v>36374</v>
      </c>
      <c r="BM38" s="130">
        <f t="shared" ca="1" si="111"/>
        <v>0</v>
      </c>
      <c r="BN38" s="81">
        <f t="shared" ca="1" si="160"/>
        <v>42251</v>
      </c>
      <c r="BO38" s="130">
        <f t="shared" ca="1" si="161"/>
        <v>1.1615714521361411</v>
      </c>
      <c r="BP38" s="82"/>
      <c r="BQ38" s="90">
        <f t="shared" ca="1" si="162"/>
        <v>65143</v>
      </c>
      <c r="BR38" s="145">
        <f t="shared" ca="1" si="163"/>
        <v>0</v>
      </c>
      <c r="BS38" s="81">
        <f t="shared" ca="1" si="164"/>
        <v>16359</v>
      </c>
      <c r="BT38" s="145">
        <f t="shared" ca="1" si="165"/>
        <v>0.25112444928848843</v>
      </c>
      <c r="BU38" s="83"/>
      <c r="BV38" s="80">
        <f t="shared" ca="1" si="166"/>
        <v>19798</v>
      </c>
      <c r="BW38" s="130">
        <f t="shared" ca="1" si="167"/>
        <v>0</v>
      </c>
      <c r="BX38" s="81">
        <f t="shared" ca="1" si="168"/>
        <v>30568</v>
      </c>
      <c r="BY38" s="130">
        <f t="shared" ca="1" si="169"/>
        <v>1.5439943428629155</v>
      </c>
      <c r="BZ38" s="84"/>
      <c r="CA38" s="92">
        <f t="shared" ca="1" si="170"/>
        <v>121315</v>
      </c>
      <c r="CB38" s="192">
        <f t="shared" ca="1" si="171"/>
        <v>0</v>
      </c>
      <c r="CC38" s="161">
        <f t="shared" ca="1" si="172"/>
        <v>89178</v>
      </c>
      <c r="CD38" s="145">
        <f t="shared" ca="1" si="173"/>
        <v>0.73509458846803777</v>
      </c>
      <c r="CE38" s="93"/>
      <c r="CF38" s="206">
        <f t="shared" ca="1" si="174"/>
        <v>622983</v>
      </c>
      <c r="CG38" s="214">
        <f t="shared" ca="1" si="175"/>
        <v>0</v>
      </c>
      <c r="CH38" s="89">
        <f t="shared" ca="1" si="113"/>
        <v>332605</v>
      </c>
      <c r="CI38" s="145">
        <f t="shared" ca="1" si="176"/>
        <v>0.53389097294789745</v>
      </c>
    </row>
    <row r="39" spans="1:87" s="105" customFormat="1" ht="13.15">
      <c r="A39" s="104" t="s">
        <v>38</v>
      </c>
      <c r="B39" s="285"/>
      <c r="C39" s="79">
        <v>290343</v>
      </c>
      <c r="D39" s="80">
        <f t="shared" ca="1" si="114"/>
        <v>364987</v>
      </c>
      <c r="E39" s="130">
        <f t="shared" ca="1" si="108"/>
        <v>0.79548860644351715</v>
      </c>
      <c r="F39" s="81">
        <f t="shared" ca="1" si="115"/>
        <v>319744</v>
      </c>
      <c r="G39" s="130">
        <f t="shared" ca="1" si="116"/>
        <v>0.87604216040571303</v>
      </c>
      <c r="H39" s="82">
        <v>769828</v>
      </c>
      <c r="I39" s="90">
        <f t="shared" ca="1" si="117"/>
        <v>838877</v>
      </c>
      <c r="J39" s="145">
        <f t="shared" ca="1" si="118"/>
        <v>0.91768876724478077</v>
      </c>
      <c r="K39" s="81">
        <f t="shared" ca="1" si="119"/>
        <v>810831</v>
      </c>
      <c r="L39" s="145">
        <f t="shared" ca="1" si="120"/>
        <v>0.96656720830348186</v>
      </c>
      <c r="M39" s="83">
        <v>703343</v>
      </c>
      <c r="N39" s="80">
        <f t="shared" ca="1" si="121"/>
        <v>776115</v>
      </c>
      <c r="O39" s="130">
        <f t="shared" ca="1" si="122"/>
        <v>0.90623554499011105</v>
      </c>
      <c r="P39" s="81">
        <f t="shared" ca="1" si="123"/>
        <v>708838</v>
      </c>
      <c r="Q39" s="130">
        <f t="shared" ca="1" si="124"/>
        <v>0.91331568131011509</v>
      </c>
      <c r="R39" s="94">
        <v>391874</v>
      </c>
      <c r="S39" s="92">
        <f t="shared" ca="1" si="125"/>
        <v>1979979</v>
      </c>
      <c r="T39" s="167">
        <f t="shared" ca="1" si="126"/>
        <v>0.19791826074923016</v>
      </c>
      <c r="U39" s="86">
        <f t="shared" ca="1" si="127"/>
        <v>1839413</v>
      </c>
      <c r="V39" s="167">
        <f t="shared" ca="1" si="128"/>
        <v>0.92900631774377407</v>
      </c>
      <c r="W39" s="79">
        <v>342205</v>
      </c>
      <c r="X39" s="80">
        <f t="shared" ca="1" si="129"/>
        <v>377418</v>
      </c>
      <c r="Y39" s="130">
        <f t="shared" ca="1" si="109"/>
        <v>0.90670026336846676</v>
      </c>
      <c r="Z39" s="81">
        <f t="shared" ca="1" si="130"/>
        <v>348249</v>
      </c>
      <c r="AA39" s="130">
        <f t="shared" ca="1" si="131"/>
        <v>0.92271433794890545</v>
      </c>
      <c r="AB39" s="82">
        <v>375221</v>
      </c>
      <c r="AC39" s="90">
        <f t="shared" ca="1" si="132"/>
        <v>425922</v>
      </c>
      <c r="AD39" s="145">
        <f t="shared" ca="1" si="133"/>
        <v>0.88096177234329287</v>
      </c>
      <c r="AE39" s="81">
        <f t="shared" ca="1" si="134"/>
        <v>406900</v>
      </c>
      <c r="AF39" s="145">
        <f t="shared" ca="1" si="135"/>
        <v>0.95533924051821695</v>
      </c>
      <c r="AG39" s="83">
        <v>328049</v>
      </c>
      <c r="AH39" s="80">
        <f t="shared" ca="1" si="136"/>
        <v>350013</v>
      </c>
      <c r="AI39" s="130">
        <f t="shared" ca="1" si="137"/>
        <v>0.93724804507261161</v>
      </c>
      <c r="AJ39" s="81">
        <f t="shared" ca="1" si="138"/>
        <v>364432</v>
      </c>
      <c r="AK39" s="130">
        <f t="shared" ca="1" si="139"/>
        <v>1.0411956127343842</v>
      </c>
      <c r="AL39" s="84">
        <v>542573</v>
      </c>
      <c r="AM39" s="92">
        <f t="shared" ca="1" si="140"/>
        <v>1153353</v>
      </c>
      <c r="AN39" s="429">
        <f t="shared" ca="1" si="141"/>
        <v>0.47043099554082746</v>
      </c>
      <c r="AO39" s="161">
        <f t="shared" ca="1" si="142"/>
        <v>1119581</v>
      </c>
      <c r="AP39" s="167">
        <f t="shared" ca="1" si="143"/>
        <v>0.97071841838535122</v>
      </c>
      <c r="AQ39" s="79">
        <v>631034</v>
      </c>
      <c r="AR39" s="80">
        <f t="shared" ca="1" si="144"/>
        <v>668163</v>
      </c>
      <c r="AS39" s="130">
        <f t="shared" ca="1" si="110"/>
        <v>0.94443122411746838</v>
      </c>
      <c r="AT39" s="81">
        <f t="shared" ca="1" si="145"/>
        <v>648279</v>
      </c>
      <c r="AU39" s="130">
        <f t="shared" ca="1" si="146"/>
        <v>0.97024079453666245</v>
      </c>
      <c r="AV39" s="82">
        <v>674484</v>
      </c>
      <c r="AW39" s="90">
        <f t="shared" ca="1" si="147"/>
        <v>721052</v>
      </c>
      <c r="AX39" s="145">
        <f t="shared" ca="1" si="148"/>
        <v>0.93541658576635245</v>
      </c>
      <c r="AY39" s="81">
        <f t="shared" ca="1" si="149"/>
        <v>721239</v>
      </c>
      <c r="AZ39" s="145">
        <f t="shared" ca="1" si="150"/>
        <v>1.0002593432928555</v>
      </c>
      <c r="BA39" s="83">
        <v>646670</v>
      </c>
      <c r="BB39" s="80">
        <f t="shared" ca="1" si="151"/>
        <v>736244</v>
      </c>
      <c r="BC39" s="130">
        <f t="shared" ca="1" si="152"/>
        <v>0.87833652973742404</v>
      </c>
      <c r="BD39" s="81">
        <f t="shared" ca="1" si="153"/>
        <v>679886</v>
      </c>
      <c r="BE39" s="130">
        <f t="shared" ca="1" si="154"/>
        <v>0.9234520077582975</v>
      </c>
      <c r="BF39" s="94">
        <v>353270</v>
      </c>
      <c r="BG39" s="92">
        <f t="shared" ca="1" si="155"/>
        <v>2125459</v>
      </c>
      <c r="BH39" s="192">
        <f t="shared" ca="1" si="156"/>
        <v>0.16620880478052036</v>
      </c>
      <c r="BI39" s="161">
        <f t="shared" ca="1" si="157"/>
        <v>2049404</v>
      </c>
      <c r="BJ39" s="145">
        <f t="shared" ca="1" si="158"/>
        <v>0.96421714086227961</v>
      </c>
      <c r="BK39" s="79">
        <v>393144</v>
      </c>
      <c r="BL39" s="80">
        <f t="shared" ca="1" si="159"/>
        <v>447527</v>
      </c>
      <c r="BM39" s="130">
        <f t="shared" ca="1" si="111"/>
        <v>0.87848107488486726</v>
      </c>
      <c r="BN39" s="81">
        <f t="shared" ca="1" si="160"/>
        <v>410924</v>
      </c>
      <c r="BO39" s="130">
        <f t="shared" ca="1" si="161"/>
        <v>0.91821052137636383</v>
      </c>
      <c r="BP39" s="82">
        <v>654905</v>
      </c>
      <c r="BQ39" s="90">
        <f t="shared" ca="1" si="162"/>
        <v>684554</v>
      </c>
      <c r="BR39" s="145">
        <f t="shared" ca="1" si="163"/>
        <v>0.95668858848242799</v>
      </c>
      <c r="BS39" s="81">
        <f t="shared" ca="1" si="164"/>
        <v>664150</v>
      </c>
      <c r="BT39" s="145">
        <f t="shared" ca="1" si="165"/>
        <v>0.97019373197731662</v>
      </c>
      <c r="BU39" s="83">
        <v>123696</v>
      </c>
      <c r="BV39" s="80">
        <f t="shared" ca="1" si="166"/>
        <v>134893</v>
      </c>
      <c r="BW39" s="130">
        <f t="shared" ca="1" si="167"/>
        <v>0.91699346889757072</v>
      </c>
      <c r="BX39" s="81">
        <f t="shared" ca="1" si="168"/>
        <v>153119</v>
      </c>
      <c r="BY39" s="130">
        <f t="shared" ca="1" si="169"/>
        <v>1.1351144981577992</v>
      </c>
      <c r="BZ39" s="84">
        <v>170776</v>
      </c>
      <c r="CA39" s="92">
        <f t="shared" ca="1" si="170"/>
        <v>1266974</v>
      </c>
      <c r="CB39" s="192">
        <f t="shared" ca="1" si="171"/>
        <v>0.13479045347418336</v>
      </c>
      <c r="CC39" s="161">
        <f t="shared" ca="1" si="172"/>
        <v>1228193</v>
      </c>
      <c r="CD39" s="145">
        <f t="shared" ca="1" si="173"/>
        <v>0.9693908477995602</v>
      </c>
      <c r="CE39" s="93">
        <v>748617</v>
      </c>
      <c r="CF39" s="206">
        <f t="shared" ca="1" si="174"/>
        <v>6525765</v>
      </c>
      <c r="CG39" s="214">
        <f t="shared" ca="1" si="175"/>
        <v>0.11471712511866425</v>
      </c>
      <c r="CH39" s="89">
        <f t="shared" ca="1" si="113"/>
        <v>6236591</v>
      </c>
      <c r="CI39" s="145">
        <f t="shared" ca="1" si="176"/>
        <v>0.95568734087114693</v>
      </c>
    </row>
    <row r="40" spans="1:87" s="105" customFormat="1" ht="13.15">
      <c r="A40" s="104" t="s">
        <v>39</v>
      </c>
      <c r="B40" s="285"/>
      <c r="C40" s="79"/>
      <c r="D40" s="80">
        <f t="shared" ca="1" si="114"/>
        <v>88715</v>
      </c>
      <c r="E40" s="130">
        <f t="shared" ca="1" si="108"/>
        <v>0</v>
      </c>
      <c r="F40" s="81">
        <f t="shared" ca="1" si="115"/>
        <v>35125</v>
      </c>
      <c r="G40" s="130">
        <f t="shared" ca="1" si="116"/>
        <v>0.39593078960716904</v>
      </c>
      <c r="H40" s="82">
        <v>564176</v>
      </c>
      <c r="I40" s="90">
        <f t="shared" ca="1" si="117"/>
        <v>642982</v>
      </c>
      <c r="J40" s="145">
        <f t="shared" ca="1" si="118"/>
        <v>0.87743669340665831</v>
      </c>
      <c r="K40" s="81">
        <f t="shared" ca="1" si="119"/>
        <v>584889</v>
      </c>
      <c r="L40" s="145">
        <f t="shared" ca="1" si="120"/>
        <v>0.90965065896090402</v>
      </c>
      <c r="M40" s="83">
        <v>588720</v>
      </c>
      <c r="N40" s="80">
        <f t="shared" ca="1" si="121"/>
        <v>668546</v>
      </c>
      <c r="O40" s="130">
        <f t="shared" ca="1" si="122"/>
        <v>0.8805975953786277</v>
      </c>
      <c r="P40" s="81">
        <f t="shared" ca="1" si="123"/>
        <v>609677</v>
      </c>
      <c r="Q40" s="130">
        <f t="shared" ca="1" si="124"/>
        <v>0.91194472781229718</v>
      </c>
      <c r="R40" s="94">
        <v>824940</v>
      </c>
      <c r="S40" s="92">
        <f t="shared" ca="1" si="125"/>
        <v>1400243</v>
      </c>
      <c r="T40" s="167">
        <f t="shared" ca="1" si="126"/>
        <v>0.58914059916743022</v>
      </c>
      <c r="U40" s="86">
        <f t="shared" ca="1" si="127"/>
        <v>1229691</v>
      </c>
      <c r="V40" s="167">
        <f t="shared" ca="1" si="128"/>
        <v>0.87819828415496448</v>
      </c>
      <c r="W40" s="79">
        <v>177025</v>
      </c>
      <c r="X40" s="80">
        <f t="shared" ca="1" si="129"/>
        <v>204523</v>
      </c>
      <c r="Y40" s="130">
        <f t="shared" ca="1" si="109"/>
        <v>0.86555057377409872</v>
      </c>
      <c r="Z40" s="81">
        <f t="shared" ca="1" si="130"/>
        <v>219513</v>
      </c>
      <c r="AA40" s="130">
        <f t="shared" ca="1" si="131"/>
        <v>1.0732924903311607</v>
      </c>
      <c r="AB40" s="82"/>
      <c r="AC40" s="90">
        <f t="shared" ca="1" si="132"/>
        <v>95212</v>
      </c>
      <c r="AD40" s="145">
        <f t="shared" ca="1" si="133"/>
        <v>0</v>
      </c>
      <c r="AE40" s="81">
        <f t="shared" ca="1" si="134"/>
        <v>23625</v>
      </c>
      <c r="AF40" s="145">
        <f t="shared" ca="1" si="135"/>
        <v>0.24813048775364449</v>
      </c>
      <c r="AG40" s="83"/>
      <c r="AH40" s="80">
        <f t="shared" ca="1" si="136"/>
        <v>21757</v>
      </c>
      <c r="AI40" s="130">
        <f t="shared" ca="1" si="137"/>
        <v>0</v>
      </c>
      <c r="AJ40" s="81">
        <f t="shared" ca="1" si="138"/>
        <v>40222</v>
      </c>
      <c r="AK40" s="130">
        <f t="shared" ca="1" si="139"/>
        <v>1.8486923748678585</v>
      </c>
      <c r="AL40" s="84">
        <v>473042</v>
      </c>
      <c r="AM40" s="92">
        <f t="shared" ca="1" si="140"/>
        <v>321492</v>
      </c>
      <c r="AN40" s="429">
        <f t="shared" ca="1" si="141"/>
        <v>1.4713958667711793</v>
      </c>
      <c r="AO40" s="161">
        <f t="shared" ca="1" si="142"/>
        <v>283360</v>
      </c>
      <c r="AP40" s="167">
        <f t="shared" ca="1" si="143"/>
        <v>0.88139051671581248</v>
      </c>
      <c r="AQ40" s="79"/>
      <c r="AR40" s="80">
        <f t="shared" ca="1" si="144"/>
        <v>25954</v>
      </c>
      <c r="AS40" s="130">
        <f t="shared" ca="1" si="110"/>
        <v>0</v>
      </c>
      <c r="AT40" s="81">
        <f t="shared" ca="1" si="145"/>
        <v>32589</v>
      </c>
      <c r="AU40" s="130">
        <f t="shared" ca="1" si="146"/>
        <v>1.2556446019881329</v>
      </c>
      <c r="AV40" s="82"/>
      <c r="AW40" s="90">
        <f t="shared" ca="1" si="147"/>
        <v>47975</v>
      </c>
      <c r="AX40" s="145">
        <f t="shared" ca="1" si="148"/>
        <v>0</v>
      </c>
      <c r="AY40" s="81">
        <f t="shared" ca="1" si="149"/>
        <v>12428</v>
      </c>
      <c r="AZ40" s="145">
        <f t="shared" ca="1" si="150"/>
        <v>0.25905158936946326</v>
      </c>
      <c r="BA40" s="83"/>
      <c r="BB40" s="80">
        <f t="shared" ca="1" si="151"/>
        <v>72912</v>
      </c>
      <c r="BC40" s="130">
        <f t="shared" ca="1" si="152"/>
        <v>0</v>
      </c>
      <c r="BD40" s="81">
        <f t="shared" ca="1" si="153"/>
        <v>33648</v>
      </c>
      <c r="BE40" s="130">
        <f t="shared" ca="1" si="154"/>
        <v>0.46148782093482554</v>
      </c>
      <c r="BF40" s="94"/>
      <c r="BG40" s="92">
        <f t="shared" ca="1" si="155"/>
        <v>146841</v>
      </c>
      <c r="BH40" s="192">
        <f t="shared" ca="1" si="156"/>
        <v>0</v>
      </c>
      <c r="BI40" s="161">
        <f t="shared" ca="1" si="157"/>
        <v>78665</v>
      </c>
      <c r="BJ40" s="145">
        <f t="shared" ca="1" si="158"/>
        <v>0.53571550180126803</v>
      </c>
      <c r="BK40" s="79"/>
      <c r="BL40" s="80">
        <f t="shared" ca="1" si="159"/>
        <v>28397</v>
      </c>
      <c r="BM40" s="130">
        <f t="shared" ca="1" si="111"/>
        <v>0</v>
      </c>
      <c r="BN40" s="81">
        <f t="shared" ca="1" si="160"/>
        <v>48168</v>
      </c>
      <c r="BO40" s="130">
        <f t="shared" ca="1" si="161"/>
        <v>1.6962355178363913</v>
      </c>
      <c r="BP40" s="82"/>
      <c r="BQ40" s="90">
        <f t="shared" ca="1" si="162"/>
        <v>88700</v>
      </c>
      <c r="BR40" s="145">
        <f t="shared" ca="1" si="163"/>
        <v>0</v>
      </c>
      <c r="BS40" s="81">
        <f t="shared" ca="1" si="164"/>
        <v>37434</v>
      </c>
      <c r="BT40" s="145">
        <f t="shared" ca="1" si="165"/>
        <v>0.42202931228861329</v>
      </c>
      <c r="BU40" s="83"/>
      <c r="BV40" s="80">
        <f t="shared" ca="1" si="166"/>
        <v>28040</v>
      </c>
      <c r="BW40" s="130">
        <f t="shared" ca="1" si="167"/>
        <v>0</v>
      </c>
      <c r="BX40" s="81">
        <f t="shared" ca="1" si="168"/>
        <v>18409</v>
      </c>
      <c r="BY40" s="130">
        <f t="shared" ca="1" si="169"/>
        <v>0.65652639087018549</v>
      </c>
      <c r="BZ40" s="84"/>
      <c r="CA40" s="92">
        <f t="shared" ca="1" si="170"/>
        <v>145137</v>
      </c>
      <c r="CB40" s="192">
        <f t="shared" ca="1" si="171"/>
        <v>0</v>
      </c>
      <c r="CC40" s="161">
        <f t="shared" ca="1" si="172"/>
        <v>104011</v>
      </c>
      <c r="CD40" s="145">
        <f t="shared" ca="1" si="173"/>
        <v>0.7166401400056498</v>
      </c>
      <c r="CE40" s="93">
        <v>780865</v>
      </c>
      <c r="CF40" s="206">
        <f t="shared" ca="1" si="174"/>
        <v>2013713</v>
      </c>
      <c r="CG40" s="214">
        <f t="shared" ca="1" si="175"/>
        <v>0.38777372942420296</v>
      </c>
      <c r="CH40" s="89">
        <f t="shared" ca="1" si="113"/>
        <v>1695727</v>
      </c>
      <c r="CI40" s="145">
        <f t="shared" ca="1" si="176"/>
        <v>0.84208971189042336</v>
      </c>
    </row>
    <row r="41" spans="1:87" s="33" customFormat="1" ht="14.25" customHeight="1">
      <c r="A41" s="30" t="s">
        <v>50</v>
      </c>
      <c r="B41" s="285"/>
      <c r="C41" s="31">
        <f>SUM(C36:C40)</f>
        <v>1667872</v>
      </c>
      <c r="D41" s="80">
        <f t="shared" ca="1" si="114"/>
        <v>1759845</v>
      </c>
      <c r="E41" s="131">
        <f t="shared" ca="1" si="108"/>
        <v>0.9477380110180158</v>
      </c>
      <c r="F41" s="81">
        <f t="shared" ca="1" si="115"/>
        <v>1677378</v>
      </c>
      <c r="G41" s="131">
        <f t="shared" ca="1" si="116"/>
        <v>0.95313962309180633</v>
      </c>
      <c r="H41" s="32">
        <f>SUM(H36:H40)</f>
        <v>2133873</v>
      </c>
      <c r="I41" s="90">
        <f t="shared" ca="1" si="117"/>
        <v>2193247</v>
      </c>
      <c r="J41" s="146">
        <f t="shared" ca="1" si="118"/>
        <v>0.97292872166244837</v>
      </c>
      <c r="K41" s="81">
        <f t="shared" ca="1" si="119"/>
        <v>2170103</v>
      </c>
      <c r="L41" s="146">
        <f t="shared" ca="1" si="120"/>
        <v>0.98944760895603645</v>
      </c>
      <c r="M41" s="31">
        <f>SUM(M36:M40)</f>
        <v>2611881</v>
      </c>
      <c r="N41" s="80">
        <f t="shared" ca="1" si="121"/>
        <v>2656765</v>
      </c>
      <c r="O41" s="131">
        <f t="shared" ca="1" si="122"/>
        <v>0.983105769610786</v>
      </c>
      <c r="P41" s="81">
        <f t="shared" ca="1" si="123"/>
        <v>2635908</v>
      </c>
      <c r="Q41" s="131">
        <f t="shared" ca="1" si="124"/>
        <v>0.99214947501943151</v>
      </c>
      <c r="R41" s="41">
        <f>SUM(R36:R40)</f>
        <v>1876230</v>
      </c>
      <c r="S41" s="42">
        <f ca="1">D41+I41+N41</f>
        <v>6609857</v>
      </c>
      <c r="T41" s="168">
        <f t="shared" ca="1" si="126"/>
        <v>0.28385334206171176</v>
      </c>
      <c r="U41" s="77">
        <f t="shared" ref="U41:U51" ca="1" si="177">F41+K41+P41</f>
        <v>6483389</v>
      </c>
      <c r="V41" s="168">
        <f t="shared" ca="1" si="128"/>
        <v>0.98086675702666493</v>
      </c>
      <c r="W41" s="31">
        <f>SUM(W36:W40)</f>
        <v>1564338</v>
      </c>
      <c r="X41" s="80">
        <f t="shared" ca="1" si="129"/>
        <v>1587101</v>
      </c>
      <c r="Y41" s="131">
        <f t="shared" ca="1" si="109"/>
        <v>0.98565749753796383</v>
      </c>
      <c r="Z41" s="81">
        <f t="shared" ca="1" si="130"/>
        <v>1608082</v>
      </c>
      <c r="AA41" s="131">
        <f t="shared" ca="1" si="131"/>
        <v>1.0132197005735615</v>
      </c>
      <c r="AB41" s="32">
        <f>SUM(AB36:AB40)</f>
        <v>1534316</v>
      </c>
      <c r="AC41" s="90">
        <f t="shared" ca="1" si="132"/>
        <v>1575160</v>
      </c>
      <c r="AD41" s="146">
        <f t="shared" ca="1" si="133"/>
        <v>0.97406993575255851</v>
      </c>
      <c r="AE41" s="81">
        <f t="shared" ca="1" si="134"/>
        <v>1575019</v>
      </c>
      <c r="AF41" s="146">
        <f t="shared" ca="1" si="135"/>
        <v>0.99991048528403459</v>
      </c>
      <c r="AG41" s="31">
        <f>SUM(AG36:AG40)</f>
        <v>1595638</v>
      </c>
      <c r="AH41" s="80">
        <f t="shared" ca="1" si="136"/>
        <v>1680253</v>
      </c>
      <c r="AI41" s="131">
        <f t="shared" ca="1" si="137"/>
        <v>0.94964151231987093</v>
      </c>
      <c r="AJ41" s="81">
        <f t="shared" ca="1" si="138"/>
        <v>1630539</v>
      </c>
      <c r="AK41" s="131">
        <f t="shared" ca="1" si="139"/>
        <v>0.97041278902641448</v>
      </c>
      <c r="AL41" s="76">
        <f>SUM(AL36:AL40)</f>
        <v>2744282</v>
      </c>
      <c r="AM41" s="42">
        <f ca="1">X41+AC41+AH41</f>
        <v>4842514</v>
      </c>
      <c r="AN41" s="430">
        <f t="shared" ca="1" si="141"/>
        <v>0.5667060539215788</v>
      </c>
      <c r="AO41" s="77">
        <f t="shared" ref="AO41:AO51" ca="1" si="178">Z41+AE41+AJ41</f>
        <v>4813640</v>
      </c>
      <c r="AP41" s="168">
        <f t="shared" ca="1" si="143"/>
        <v>0.99403739462601448</v>
      </c>
      <c r="AQ41" s="31">
        <f>SUM(AQ36:AQ40)</f>
        <v>1123380</v>
      </c>
      <c r="AR41" s="80">
        <f t="shared" ca="1" si="144"/>
        <v>1209518</v>
      </c>
      <c r="AS41" s="131">
        <f t="shared" ca="1" si="110"/>
        <v>0.92878320124214775</v>
      </c>
      <c r="AT41" s="81">
        <f t="shared" ca="1" si="145"/>
        <v>1129783</v>
      </c>
      <c r="AU41" s="131">
        <f t="shared" ca="1" si="146"/>
        <v>0.93407704556691173</v>
      </c>
      <c r="AV41" s="32">
        <f>SUM(AV36:AV40)</f>
        <v>1948146</v>
      </c>
      <c r="AW41" s="90">
        <f t="shared" ca="1" si="147"/>
        <v>2007740</v>
      </c>
      <c r="AX41" s="146">
        <f t="shared" ca="1" si="148"/>
        <v>0.97031786984370483</v>
      </c>
      <c r="AY41" s="81">
        <f t="shared" ca="1" si="149"/>
        <v>1997097</v>
      </c>
      <c r="AZ41" s="146">
        <f t="shared" ca="1" si="150"/>
        <v>0.99469901481267498</v>
      </c>
      <c r="BA41" s="31">
        <f>SUM(BA36:BA40)</f>
        <v>1548427</v>
      </c>
      <c r="BB41" s="80">
        <f t="shared" ca="1" si="151"/>
        <v>1638682</v>
      </c>
      <c r="BC41" s="131">
        <f t="shared" ca="1" si="152"/>
        <v>0.94492219967022273</v>
      </c>
      <c r="BD41" s="81">
        <f t="shared" ca="1" si="153"/>
        <v>1586528</v>
      </c>
      <c r="BE41" s="131">
        <f t="shared" ca="1" si="154"/>
        <v>0.96817320261039053</v>
      </c>
      <c r="BF41" s="41">
        <f>SUM(BF36:BF40)</f>
        <v>1882517</v>
      </c>
      <c r="BG41" s="44">
        <f ca="1">AR41+AW41+BB41</f>
        <v>4855940</v>
      </c>
      <c r="BH41" s="168">
        <f t="shared" ca="1" si="156"/>
        <v>0.38767303549879117</v>
      </c>
      <c r="BI41" s="77">
        <f t="shared" ref="BI41:BI51" ca="1" si="179">AT41+AY41+BD41</f>
        <v>4713408</v>
      </c>
      <c r="BJ41" s="146">
        <f t="shared" ca="1" si="158"/>
        <v>0.9706479075112131</v>
      </c>
      <c r="BK41" s="31">
        <f>SUM(BK36:BK40)</f>
        <v>1460586</v>
      </c>
      <c r="BL41" s="80">
        <f t="shared" ca="1" si="159"/>
        <v>1517120</v>
      </c>
      <c r="BM41" s="131">
        <f t="shared" ca="1" si="111"/>
        <v>0.96273597342332839</v>
      </c>
      <c r="BN41" s="81">
        <f t="shared" ca="1" si="160"/>
        <v>1503234</v>
      </c>
      <c r="BO41" s="131">
        <f t="shared" ca="1" si="161"/>
        <v>0.99084713140687619</v>
      </c>
      <c r="BP41" s="32">
        <f>SUM(BP36:BP40)</f>
        <v>2346884</v>
      </c>
      <c r="BQ41" s="90">
        <f t="shared" ca="1" si="162"/>
        <v>2368950</v>
      </c>
      <c r="BR41" s="146">
        <f t="shared" ca="1" si="163"/>
        <v>0.99068532472192317</v>
      </c>
      <c r="BS41" s="81">
        <f t="shared" ca="1" si="164"/>
        <v>2356860</v>
      </c>
      <c r="BT41" s="146">
        <f t="shared" ca="1" si="165"/>
        <v>0.99489647312100293</v>
      </c>
      <c r="BU41" s="31">
        <f>SUM(BU36:BU40)</f>
        <v>1581405</v>
      </c>
      <c r="BV41" s="80">
        <f t="shared" ca="1" si="166"/>
        <v>1667490</v>
      </c>
      <c r="BW41" s="131">
        <f t="shared" ca="1" si="167"/>
        <v>0.94837450299552017</v>
      </c>
      <c r="BX41" s="81">
        <f t="shared" ca="1" si="168"/>
        <v>1589555</v>
      </c>
      <c r="BY41" s="131">
        <f t="shared" ca="1" si="169"/>
        <v>0.95326208852826699</v>
      </c>
      <c r="BZ41" s="41">
        <f>SUM(BZ36:BZ40)</f>
        <v>1410972</v>
      </c>
      <c r="CA41" s="44">
        <f ca="1">BL41+BQ41+BV41</f>
        <v>5553560</v>
      </c>
      <c r="CB41" s="168">
        <f t="shared" ca="1" si="171"/>
        <v>0.25406622058643463</v>
      </c>
      <c r="CC41" s="77">
        <f t="shared" ref="CC41:CC51" ca="1" si="180">BN41+BS41+BX41</f>
        <v>5449649</v>
      </c>
      <c r="CD41" s="146">
        <f t="shared" ca="1" si="173"/>
        <v>0.98128929911624252</v>
      </c>
      <c r="CE41" s="52">
        <f>SUM(CE36:CE40)</f>
        <v>2012814</v>
      </c>
      <c r="CF41" s="207">
        <f t="shared" ref="CF41:CF53" ca="1" si="181">S41+AM41+BG41+CA41</f>
        <v>21861871</v>
      </c>
      <c r="CG41" s="215">
        <f t="shared" ca="1" si="175"/>
        <v>9.2069612889034064E-2</v>
      </c>
      <c r="CH41" s="78">
        <f t="shared" ref="CH41:CH51" ca="1" si="182">AO41+BI41+CC41+U41</f>
        <v>21460086</v>
      </c>
      <c r="CI41" s="146">
        <f t="shared" ca="1" si="176"/>
        <v>0.98162165534688228</v>
      </c>
    </row>
    <row r="42" spans="1:87" s="105" customFormat="1" ht="13.15">
      <c r="A42" s="104" t="s">
        <v>40</v>
      </c>
      <c r="B42" s="285"/>
      <c r="C42" s="83">
        <v>239942</v>
      </c>
      <c r="D42" s="80">
        <f t="shared" ca="1" si="114"/>
        <v>261366</v>
      </c>
      <c r="E42" s="130">
        <f t="shared" ca="1" si="108"/>
        <v>0.91803065433147391</v>
      </c>
      <c r="F42" s="81">
        <f t="shared" ca="1" si="115"/>
        <v>281697</v>
      </c>
      <c r="G42" s="130">
        <f t="shared" ca="1" si="116"/>
        <v>1.0777874704437456</v>
      </c>
      <c r="H42" s="82">
        <v>405563</v>
      </c>
      <c r="I42" s="90">
        <f t="shared" ca="1" si="117"/>
        <v>420367</v>
      </c>
      <c r="J42" s="145">
        <f t="shared" ca="1" si="118"/>
        <v>0.96478315376801704</v>
      </c>
      <c r="K42" s="81">
        <f t="shared" ca="1" si="119"/>
        <v>414097</v>
      </c>
      <c r="L42" s="145">
        <f t="shared" ca="1" si="120"/>
        <v>0.98508446191066379</v>
      </c>
      <c r="M42" s="83">
        <v>355880</v>
      </c>
      <c r="N42" s="80">
        <f t="shared" ca="1" si="121"/>
        <v>438590</v>
      </c>
      <c r="O42" s="130">
        <f t="shared" ca="1" si="122"/>
        <v>0.8114184089924531</v>
      </c>
      <c r="P42" s="81">
        <f t="shared" ca="1" si="123"/>
        <v>361219</v>
      </c>
      <c r="Q42" s="130">
        <f t="shared" ca="1" si="124"/>
        <v>0.82359150915433543</v>
      </c>
      <c r="R42" s="91">
        <v>150101</v>
      </c>
      <c r="S42" s="92">
        <f t="shared" ref="S42:S52" ca="1" si="183">D42+I42+N42</f>
        <v>1120323</v>
      </c>
      <c r="T42" s="167">
        <f t="shared" ca="1" si="126"/>
        <v>0.1339801110929616</v>
      </c>
      <c r="U42" s="161">
        <f t="shared" ca="1" si="177"/>
        <v>1057013</v>
      </c>
      <c r="V42" s="167">
        <f t="shared" ca="1" si="128"/>
        <v>0.94348951150694937</v>
      </c>
      <c r="W42" s="83">
        <v>101281</v>
      </c>
      <c r="X42" s="80">
        <f t="shared" ca="1" si="129"/>
        <v>134938</v>
      </c>
      <c r="Y42" s="130">
        <f t="shared" ca="1" si="109"/>
        <v>0.75057433784404692</v>
      </c>
      <c r="Z42" s="81">
        <f t="shared" ca="1" si="130"/>
        <v>122594</v>
      </c>
      <c r="AA42" s="130">
        <f t="shared" ca="1" si="131"/>
        <v>0.90852095036238867</v>
      </c>
      <c r="AB42" s="82"/>
      <c r="AC42" s="90">
        <f t="shared" ca="1" si="132"/>
        <v>77729</v>
      </c>
      <c r="AD42" s="145">
        <f t="shared" ca="1" si="133"/>
        <v>0</v>
      </c>
      <c r="AE42" s="81">
        <f t="shared" ca="1" si="134"/>
        <v>15041</v>
      </c>
      <c r="AF42" s="145">
        <f t="shared" ca="1" si="135"/>
        <v>0.19350564139510351</v>
      </c>
      <c r="AG42" s="83"/>
      <c r="AH42" s="80">
        <f t="shared" ca="1" si="136"/>
        <v>12521</v>
      </c>
      <c r="AI42" s="130">
        <f t="shared" ca="1" si="137"/>
        <v>0</v>
      </c>
      <c r="AJ42" s="81">
        <f t="shared" ca="1" si="138"/>
        <v>32251</v>
      </c>
      <c r="AK42" s="130">
        <f t="shared" ca="1" si="139"/>
        <v>2.5757527354045204</v>
      </c>
      <c r="AL42" s="91">
        <v>856496</v>
      </c>
      <c r="AM42" s="92">
        <f t="shared" ref="AM42:AM53" ca="1" si="184">X42+AC42+AH42</f>
        <v>225188</v>
      </c>
      <c r="AN42" s="429">
        <f t="shared" ca="1" si="141"/>
        <v>3.8034708776666606</v>
      </c>
      <c r="AO42" s="161">
        <f t="shared" ca="1" si="178"/>
        <v>169886</v>
      </c>
      <c r="AP42" s="167">
        <f t="shared" ca="1" si="143"/>
        <v>0.75441853029468708</v>
      </c>
      <c r="AQ42" s="83"/>
      <c r="AR42" s="80">
        <f t="shared" ca="1" si="144"/>
        <v>41559</v>
      </c>
      <c r="AS42" s="130">
        <f t="shared" ca="1" si="110"/>
        <v>0</v>
      </c>
      <c r="AT42" s="81">
        <f t="shared" ca="1" si="145"/>
        <v>48917</v>
      </c>
      <c r="AU42" s="130">
        <f t="shared" ca="1" si="146"/>
        <v>1.1770494958973989</v>
      </c>
      <c r="AV42" s="82"/>
      <c r="AW42" s="90">
        <f t="shared" ca="1" si="147"/>
        <v>64770</v>
      </c>
      <c r="AX42" s="145">
        <f t="shared" ca="1" si="148"/>
        <v>0</v>
      </c>
      <c r="AY42" s="81">
        <f t="shared" ca="1" si="149"/>
        <v>37101</v>
      </c>
      <c r="AZ42" s="145">
        <f t="shared" ca="1" si="150"/>
        <v>0.57281148679944416</v>
      </c>
      <c r="BA42" s="83"/>
      <c r="BB42" s="80">
        <f t="shared" ca="1" si="151"/>
        <v>82188</v>
      </c>
      <c r="BC42" s="130">
        <f t="shared" ca="1" si="152"/>
        <v>0</v>
      </c>
      <c r="BD42" s="81">
        <f t="shared" ca="1" si="153"/>
        <v>7148</v>
      </c>
      <c r="BE42" s="130">
        <f t="shared" ca="1" si="154"/>
        <v>8.6971334014698004E-2</v>
      </c>
      <c r="BF42" s="91"/>
      <c r="BG42" s="92">
        <f t="shared" ref="BG42:BG53" ca="1" si="185">AR42+AW42+BB42</f>
        <v>188517</v>
      </c>
      <c r="BH42" s="193">
        <f t="shared" ca="1" si="156"/>
        <v>0</v>
      </c>
      <c r="BI42" s="161">
        <f t="shared" ca="1" si="179"/>
        <v>93166</v>
      </c>
      <c r="BJ42" s="145">
        <f t="shared" ca="1" si="158"/>
        <v>0.49420476667886715</v>
      </c>
      <c r="BK42" s="83"/>
      <c r="BL42" s="80">
        <f t="shared" ca="1" si="159"/>
        <v>21247</v>
      </c>
      <c r="BM42" s="130">
        <f t="shared" ca="1" si="111"/>
        <v>0</v>
      </c>
      <c r="BN42" s="81">
        <f t="shared" ca="1" si="160"/>
        <v>16860</v>
      </c>
      <c r="BO42" s="130">
        <f t="shared" ca="1" si="161"/>
        <v>0.79352379159410735</v>
      </c>
      <c r="BP42" s="82"/>
      <c r="BQ42" s="90">
        <f t="shared" ca="1" si="162"/>
        <v>23040</v>
      </c>
      <c r="BR42" s="145">
        <f t="shared" ca="1" si="163"/>
        <v>0</v>
      </c>
      <c r="BS42" s="81">
        <f t="shared" ca="1" si="164"/>
        <v>46900</v>
      </c>
      <c r="BT42" s="145">
        <f t="shared" ca="1" si="165"/>
        <v>2.0355902777777777</v>
      </c>
      <c r="BU42" s="83"/>
      <c r="BV42" s="80">
        <f t="shared" ca="1" si="166"/>
        <v>63647</v>
      </c>
      <c r="BW42" s="130">
        <f t="shared" ca="1" si="167"/>
        <v>0</v>
      </c>
      <c r="BX42" s="81">
        <f t="shared" ca="1" si="168"/>
        <v>31064</v>
      </c>
      <c r="BY42" s="130">
        <f t="shared" ca="1" si="169"/>
        <v>0.48806699451663077</v>
      </c>
      <c r="BZ42" s="91"/>
      <c r="CA42" s="92">
        <f t="shared" ref="CA42:CA53" ca="1" si="186">BL42+BQ42+BV42</f>
        <v>107934</v>
      </c>
      <c r="CB42" s="193">
        <f t="shared" ca="1" si="171"/>
        <v>0</v>
      </c>
      <c r="CC42" s="161">
        <f t="shared" ca="1" si="180"/>
        <v>94824</v>
      </c>
      <c r="CD42" s="145">
        <f t="shared" ca="1" si="173"/>
        <v>0.87853688365112015</v>
      </c>
      <c r="CE42" s="93">
        <v>214604</v>
      </c>
      <c r="CF42" s="206">
        <f t="shared" ca="1" si="181"/>
        <v>1641962</v>
      </c>
      <c r="CG42" s="214">
        <f t="shared" ca="1" si="175"/>
        <v>0.13069973604748467</v>
      </c>
      <c r="CH42" s="89">
        <f t="shared" ca="1" si="182"/>
        <v>1414889</v>
      </c>
      <c r="CI42" s="145">
        <f t="shared" ca="1" si="176"/>
        <v>0.86170630014580119</v>
      </c>
    </row>
    <row r="43" spans="1:87" s="105" customFormat="1" ht="13.15">
      <c r="A43" s="104" t="s">
        <v>41</v>
      </c>
      <c r="B43" s="285"/>
      <c r="C43" s="83"/>
      <c r="D43" s="80">
        <f t="shared" ca="1" si="114"/>
        <v>87032</v>
      </c>
      <c r="E43" s="130">
        <f t="shared" ca="1" si="108"/>
        <v>0</v>
      </c>
      <c r="F43" s="81">
        <f t="shared" ca="1" si="115"/>
        <v>32987</v>
      </c>
      <c r="G43" s="130">
        <f t="shared" ca="1" si="116"/>
        <v>0.37902150932990164</v>
      </c>
      <c r="H43" s="82"/>
      <c r="I43" s="90">
        <f t="shared" ca="1" si="117"/>
        <v>17355</v>
      </c>
      <c r="J43" s="145">
        <f t="shared" ca="1" si="118"/>
        <v>0</v>
      </c>
      <c r="K43" s="81">
        <f t="shared" ca="1" si="119"/>
        <v>41467</v>
      </c>
      <c r="L43" s="145">
        <f t="shared" ca="1" si="120"/>
        <v>2.3893402477672141</v>
      </c>
      <c r="M43" s="83"/>
      <c r="N43" s="80">
        <f t="shared" ca="1" si="121"/>
        <v>10877</v>
      </c>
      <c r="O43" s="130">
        <f t="shared" ca="1" si="122"/>
        <v>0</v>
      </c>
      <c r="P43" s="81">
        <f t="shared" ca="1" si="123"/>
        <v>34287</v>
      </c>
      <c r="Q43" s="130">
        <f t="shared" ca="1" si="124"/>
        <v>3.152247862462076</v>
      </c>
      <c r="R43" s="91"/>
      <c r="S43" s="92">
        <f t="shared" ca="1" si="183"/>
        <v>115264</v>
      </c>
      <c r="T43" s="167">
        <f t="shared" ca="1" si="126"/>
        <v>0</v>
      </c>
      <c r="U43" s="161">
        <f t="shared" ca="1" si="177"/>
        <v>108741</v>
      </c>
      <c r="V43" s="167">
        <f t="shared" ca="1" si="128"/>
        <v>0.94340817601332594</v>
      </c>
      <c r="W43" s="83"/>
      <c r="X43" s="80">
        <f t="shared" ca="1" si="129"/>
        <v>98304</v>
      </c>
      <c r="Y43" s="130">
        <f t="shared" ca="1" si="109"/>
        <v>0</v>
      </c>
      <c r="Z43" s="81">
        <f t="shared" ca="1" si="130"/>
        <v>40328</v>
      </c>
      <c r="AA43" s="130">
        <f t="shared" ca="1" si="131"/>
        <v>0.41023763020833331</v>
      </c>
      <c r="AB43" s="82"/>
      <c r="AC43" s="90">
        <f t="shared" ca="1" si="132"/>
        <v>15949</v>
      </c>
      <c r="AD43" s="145">
        <f t="shared" ca="1" si="133"/>
        <v>0</v>
      </c>
      <c r="AE43" s="81">
        <f t="shared" ca="1" si="134"/>
        <v>10762</v>
      </c>
      <c r="AF43" s="145">
        <f t="shared" ca="1" si="135"/>
        <v>0.67477584801554957</v>
      </c>
      <c r="AG43" s="83"/>
      <c r="AH43" s="80">
        <f t="shared" ca="1" si="136"/>
        <v>89713</v>
      </c>
      <c r="AI43" s="130">
        <f t="shared" ca="1" si="137"/>
        <v>0</v>
      </c>
      <c r="AJ43" s="81">
        <f t="shared" ca="1" si="138"/>
        <v>16367</v>
      </c>
      <c r="AK43" s="130">
        <f t="shared" ca="1" si="139"/>
        <v>0.18243732792348935</v>
      </c>
      <c r="AL43" s="91"/>
      <c r="AM43" s="92">
        <f t="shared" ca="1" si="184"/>
        <v>203966</v>
      </c>
      <c r="AN43" s="429">
        <f t="shared" ca="1" si="141"/>
        <v>0</v>
      </c>
      <c r="AO43" s="161">
        <f t="shared" ca="1" si="178"/>
        <v>67457</v>
      </c>
      <c r="AP43" s="167">
        <f t="shared" ca="1" si="143"/>
        <v>0.33072668974240804</v>
      </c>
      <c r="AQ43" s="83"/>
      <c r="AR43" s="80">
        <f t="shared" ca="1" si="144"/>
        <v>20022</v>
      </c>
      <c r="AS43" s="130">
        <f t="shared" ca="1" si="110"/>
        <v>0</v>
      </c>
      <c r="AT43" s="81">
        <f t="shared" ca="1" si="145"/>
        <v>38206</v>
      </c>
      <c r="AU43" s="130">
        <f t="shared" ca="1" si="146"/>
        <v>1.9082009789231844</v>
      </c>
      <c r="AV43" s="82"/>
      <c r="AW43" s="90">
        <f t="shared" ca="1" si="147"/>
        <v>99504</v>
      </c>
      <c r="AX43" s="145">
        <f t="shared" ca="1" si="148"/>
        <v>0</v>
      </c>
      <c r="AY43" s="81">
        <f t="shared" ca="1" si="149"/>
        <v>14246</v>
      </c>
      <c r="AZ43" s="145">
        <f t="shared" ca="1" si="150"/>
        <v>0.14317012381411803</v>
      </c>
      <c r="BA43" s="83"/>
      <c r="BB43" s="80">
        <f t="shared" ca="1" si="151"/>
        <v>34393</v>
      </c>
      <c r="BC43" s="130">
        <f t="shared" ca="1" si="152"/>
        <v>0</v>
      </c>
      <c r="BD43" s="81">
        <f t="shared" ca="1" si="153"/>
        <v>26037</v>
      </c>
      <c r="BE43" s="130">
        <f t="shared" ca="1" si="154"/>
        <v>0.75704358445032416</v>
      </c>
      <c r="BF43" s="91"/>
      <c r="BG43" s="92">
        <f t="shared" ca="1" si="185"/>
        <v>153919</v>
      </c>
      <c r="BH43" s="193">
        <f t="shared" ca="1" si="156"/>
        <v>0</v>
      </c>
      <c r="BI43" s="161">
        <f t="shared" ca="1" si="179"/>
        <v>78489</v>
      </c>
      <c r="BJ43" s="145">
        <f t="shared" ca="1" si="158"/>
        <v>0.50993704480928281</v>
      </c>
      <c r="BK43" s="83"/>
      <c r="BL43" s="80">
        <f t="shared" ca="1" si="159"/>
        <v>41636</v>
      </c>
      <c r="BM43" s="130">
        <f t="shared" ca="1" si="111"/>
        <v>0</v>
      </c>
      <c r="BN43" s="81">
        <f t="shared" ca="1" si="160"/>
        <v>24744</v>
      </c>
      <c r="BO43" s="130">
        <f t="shared" ca="1" si="161"/>
        <v>0.59429339994235753</v>
      </c>
      <c r="BP43" s="82"/>
      <c r="BQ43" s="90">
        <f t="shared" ca="1" si="162"/>
        <v>94141</v>
      </c>
      <c r="BR43" s="145">
        <f t="shared" ca="1" si="163"/>
        <v>0</v>
      </c>
      <c r="BS43" s="81">
        <f t="shared" ca="1" si="164"/>
        <v>49646</v>
      </c>
      <c r="BT43" s="145">
        <f t="shared" ca="1" si="165"/>
        <v>0.52735789932123089</v>
      </c>
      <c r="BU43" s="83"/>
      <c r="BV43" s="80">
        <f t="shared" ca="1" si="166"/>
        <v>83278</v>
      </c>
      <c r="BW43" s="130">
        <f t="shared" ca="1" si="167"/>
        <v>0</v>
      </c>
      <c r="BX43" s="81">
        <f t="shared" ca="1" si="168"/>
        <v>21482</v>
      </c>
      <c r="BY43" s="130">
        <f t="shared" ca="1" si="169"/>
        <v>0.25795528230745213</v>
      </c>
      <c r="BZ43" s="91"/>
      <c r="CA43" s="92">
        <f t="shared" ca="1" si="186"/>
        <v>219055</v>
      </c>
      <c r="CB43" s="193">
        <f t="shared" ca="1" si="171"/>
        <v>0</v>
      </c>
      <c r="CC43" s="161">
        <f t="shared" ca="1" si="180"/>
        <v>95872</v>
      </c>
      <c r="CD43" s="145">
        <f t="shared" ca="1" si="173"/>
        <v>0.43766177444020909</v>
      </c>
      <c r="CE43" s="93"/>
      <c r="CF43" s="206">
        <f t="shared" ca="1" si="181"/>
        <v>692204</v>
      </c>
      <c r="CG43" s="214">
        <f t="shared" ca="1" si="175"/>
        <v>0</v>
      </c>
      <c r="CH43" s="89">
        <f t="shared" ca="1" si="182"/>
        <v>350559</v>
      </c>
      <c r="CI43" s="145">
        <f t="shared" ca="1" si="176"/>
        <v>0.50643885328602556</v>
      </c>
    </row>
    <row r="44" spans="1:87" s="105" customFormat="1" ht="13.15">
      <c r="A44" s="104" t="s">
        <v>42</v>
      </c>
      <c r="B44" s="285"/>
      <c r="C44" s="83">
        <v>833566</v>
      </c>
      <c r="D44" s="80">
        <f t="shared" ca="1" si="114"/>
        <v>861090</v>
      </c>
      <c r="E44" s="130">
        <f t="shared" ca="1" si="108"/>
        <v>0.96803586152434706</v>
      </c>
      <c r="F44" s="81">
        <f t="shared" ca="1" si="115"/>
        <v>851408</v>
      </c>
      <c r="G44" s="130">
        <f t="shared" ca="1" si="116"/>
        <v>0.98875611144015141</v>
      </c>
      <c r="H44" s="82">
        <v>891777</v>
      </c>
      <c r="I44" s="90">
        <f t="shared" ca="1" si="117"/>
        <v>918143</v>
      </c>
      <c r="J44" s="145">
        <f t="shared" ca="1" si="118"/>
        <v>0.971283340394688</v>
      </c>
      <c r="K44" s="81">
        <f t="shared" ca="1" si="119"/>
        <v>921591</v>
      </c>
      <c r="L44" s="145">
        <f t="shared" ca="1" si="120"/>
        <v>1.0037554062929195</v>
      </c>
      <c r="M44" s="83">
        <v>255527</v>
      </c>
      <c r="N44" s="80">
        <f t="shared" ca="1" si="121"/>
        <v>309447</v>
      </c>
      <c r="O44" s="130">
        <f t="shared" ca="1" si="122"/>
        <v>0.82575368318322684</v>
      </c>
      <c r="P44" s="81">
        <f t="shared" ca="1" si="123"/>
        <v>299030</v>
      </c>
      <c r="Q44" s="130">
        <f t="shared" ca="1" si="124"/>
        <v>0.96633672325147768</v>
      </c>
      <c r="R44" s="91">
        <v>628141</v>
      </c>
      <c r="S44" s="92">
        <f t="shared" ca="1" si="183"/>
        <v>2088680</v>
      </c>
      <c r="T44" s="167">
        <f t="shared" ca="1" si="126"/>
        <v>0.30073587145948638</v>
      </c>
      <c r="U44" s="161">
        <f t="shared" ca="1" si="177"/>
        <v>2072029</v>
      </c>
      <c r="V44" s="167">
        <f t="shared" ca="1" si="128"/>
        <v>0.99202797939368403</v>
      </c>
      <c r="W44" s="83">
        <v>108628</v>
      </c>
      <c r="X44" s="80">
        <f t="shared" ca="1" si="129"/>
        <v>173009</v>
      </c>
      <c r="Y44" s="130">
        <f t="shared" ca="1" si="109"/>
        <v>0.62787485044130653</v>
      </c>
      <c r="Z44" s="81">
        <f t="shared" ca="1" si="130"/>
        <v>151331</v>
      </c>
      <c r="AA44" s="130">
        <f t="shared" ca="1" si="131"/>
        <v>0.87470016010727769</v>
      </c>
      <c r="AB44" s="82"/>
      <c r="AC44" s="90">
        <f t="shared" ca="1" si="132"/>
        <v>23317</v>
      </c>
      <c r="AD44" s="145">
        <f t="shared" ca="1" si="133"/>
        <v>0</v>
      </c>
      <c r="AE44" s="81">
        <f t="shared" ca="1" si="134"/>
        <v>16998</v>
      </c>
      <c r="AF44" s="145">
        <f t="shared" ca="1" si="135"/>
        <v>0.72899601149375992</v>
      </c>
      <c r="AG44" s="83"/>
      <c r="AH44" s="80">
        <f t="shared" ca="1" si="136"/>
        <v>60113</v>
      </c>
      <c r="AI44" s="130">
        <f t="shared" ca="1" si="137"/>
        <v>0</v>
      </c>
      <c r="AJ44" s="81">
        <f t="shared" ca="1" si="138"/>
        <v>45864</v>
      </c>
      <c r="AK44" s="130">
        <f t="shared" ca="1" si="139"/>
        <v>0.76296308618767983</v>
      </c>
      <c r="AL44" s="91">
        <v>394666</v>
      </c>
      <c r="AM44" s="92">
        <f t="shared" ca="1" si="184"/>
        <v>256439</v>
      </c>
      <c r="AN44" s="429">
        <f t="shared" ca="1" si="141"/>
        <v>1.5390248753114777</v>
      </c>
      <c r="AO44" s="161">
        <f t="shared" ca="1" si="178"/>
        <v>214193</v>
      </c>
      <c r="AP44" s="167">
        <f t="shared" ca="1" si="143"/>
        <v>0.83525906745853795</v>
      </c>
      <c r="AQ44" s="83"/>
      <c r="AR44" s="80">
        <f t="shared" ca="1" si="144"/>
        <v>46941</v>
      </c>
      <c r="AS44" s="130">
        <f t="shared" ca="1" si="110"/>
        <v>0</v>
      </c>
      <c r="AT44" s="81">
        <f t="shared" ca="1" si="145"/>
        <v>44613</v>
      </c>
      <c r="AU44" s="130">
        <f t="shared" ca="1" si="146"/>
        <v>0.95040582859334055</v>
      </c>
      <c r="AV44" s="82"/>
      <c r="AW44" s="90">
        <f t="shared" ca="1" si="147"/>
        <v>55532</v>
      </c>
      <c r="AX44" s="145">
        <f t="shared" ca="1" si="148"/>
        <v>0</v>
      </c>
      <c r="AY44" s="81">
        <f t="shared" ca="1" si="149"/>
        <v>18520</v>
      </c>
      <c r="AZ44" s="145">
        <f t="shared" ca="1" si="150"/>
        <v>0.3335014045955485</v>
      </c>
      <c r="BA44" s="83"/>
      <c r="BB44" s="80">
        <f t="shared" ca="1" si="151"/>
        <v>58007</v>
      </c>
      <c r="BC44" s="130">
        <f t="shared" ca="1" si="152"/>
        <v>0</v>
      </c>
      <c r="BD44" s="81">
        <f t="shared" ca="1" si="153"/>
        <v>29714</v>
      </c>
      <c r="BE44" s="130">
        <f t="shared" ca="1" si="154"/>
        <v>0.51224852173013602</v>
      </c>
      <c r="BF44" s="91"/>
      <c r="BG44" s="92">
        <f t="shared" ca="1" si="185"/>
        <v>160480</v>
      </c>
      <c r="BH44" s="193">
        <f t="shared" ca="1" si="156"/>
        <v>0</v>
      </c>
      <c r="BI44" s="161">
        <f t="shared" ca="1" si="179"/>
        <v>92847</v>
      </c>
      <c r="BJ44" s="145">
        <f t="shared" ca="1" si="158"/>
        <v>0.57855807577268192</v>
      </c>
      <c r="BK44" s="83"/>
      <c r="BL44" s="80">
        <f t="shared" ca="1" si="159"/>
        <v>97811</v>
      </c>
      <c r="BM44" s="130">
        <f t="shared" ca="1" si="111"/>
        <v>0</v>
      </c>
      <c r="BN44" s="81">
        <f t="shared" ca="1" si="160"/>
        <v>12094</v>
      </c>
      <c r="BO44" s="130">
        <f t="shared" ca="1" si="161"/>
        <v>0.12364662461277362</v>
      </c>
      <c r="BP44" s="82"/>
      <c r="BQ44" s="90">
        <f t="shared" ca="1" si="162"/>
        <v>58917</v>
      </c>
      <c r="BR44" s="145">
        <f t="shared" ca="1" si="163"/>
        <v>0</v>
      </c>
      <c r="BS44" s="81">
        <f t="shared" ca="1" si="164"/>
        <v>11332</v>
      </c>
      <c r="BT44" s="145">
        <f t="shared" ca="1" si="165"/>
        <v>0.19233837432320045</v>
      </c>
      <c r="BU44" s="83"/>
      <c r="BV44" s="80">
        <f t="shared" ca="1" si="166"/>
        <v>74732</v>
      </c>
      <c r="BW44" s="130">
        <f t="shared" ca="1" si="167"/>
        <v>0</v>
      </c>
      <c r="BX44" s="81">
        <f t="shared" ca="1" si="168"/>
        <v>33820</v>
      </c>
      <c r="BY44" s="130">
        <f t="shared" ca="1" si="169"/>
        <v>0.4525504469303645</v>
      </c>
      <c r="BZ44" s="91"/>
      <c r="CA44" s="92">
        <f t="shared" ca="1" si="186"/>
        <v>231460</v>
      </c>
      <c r="CB44" s="193">
        <f t="shared" ca="1" si="171"/>
        <v>0</v>
      </c>
      <c r="CC44" s="161">
        <f t="shared" ca="1" si="180"/>
        <v>57246</v>
      </c>
      <c r="CD44" s="145">
        <f t="shared" ca="1" si="173"/>
        <v>0.24732567182234511</v>
      </c>
      <c r="CE44" s="93">
        <v>384306</v>
      </c>
      <c r="CF44" s="206">
        <f t="shared" ca="1" si="181"/>
        <v>2737059</v>
      </c>
      <c r="CG44" s="214">
        <f t="shared" ca="1" si="175"/>
        <v>0.14040837263646855</v>
      </c>
      <c r="CH44" s="89">
        <f t="shared" ca="1" si="182"/>
        <v>2436315</v>
      </c>
      <c r="CI44" s="145">
        <f t="shared" ca="1" si="176"/>
        <v>0.89012147710370881</v>
      </c>
    </row>
    <row r="45" spans="1:87" s="33" customFormat="1" ht="13.15">
      <c r="A45" s="34" t="s">
        <v>51</v>
      </c>
      <c r="B45" s="285"/>
      <c r="C45" s="35">
        <f>SUM(C42:C44)</f>
        <v>1073508</v>
      </c>
      <c r="D45" s="80">
        <f t="shared" ca="1" si="114"/>
        <v>1169943</v>
      </c>
      <c r="E45" s="131">
        <f t="shared" ca="1" si="108"/>
        <v>0.91757290739805275</v>
      </c>
      <c r="F45" s="81">
        <f t="shared" ca="1" si="115"/>
        <v>1091920</v>
      </c>
      <c r="G45" s="131">
        <f t="shared" ca="1" si="116"/>
        <v>0.93331042623444049</v>
      </c>
      <c r="H45" s="36">
        <f>SUM(H42:H44)</f>
        <v>1297340</v>
      </c>
      <c r="I45" s="90">
        <f t="shared" ca="1" si="117"/>
        <v>1310336</v>
      </c>
      <c r="J45" s="146">
        <f t="shared" ca="1" si="118"/>
        <v>0.99008193318354987</v>
      </c>
      <c r="K45" s="81">
        <f t="shared" ca="1" si="119"/>
        <v>1319268</v>
      </c>
      <c r="L45" s="146">
        <f t="shared" ca="1" si="120"/>
        <v>1.0068165722379603</v>
      </c>
      <c r="M45" s="35">
        <f>SUM(M42:M44)</f>
        <v>611407</v>
      </c>
      <c r="N45" s="80">
        <f t="shared" ca="1" si="121"/>
        <v>669689</v>
      </c>
      <c r="O45" s="131">
        <f t="shared" ca="1" si="122"/>
        <v>0.91297154350750875</v>
      </c>
      <c r="P45" s="81">
        <f t="shared" ca="1" si="123"/>
        <v>638523</v>
      </c>
      <c r="Q45" s="131">
        <f t="shared" ca="1" si="124"/>
        <v>0.95346198011315697</v>
      </c>
      <c r="R45" s="43">
        <f>SUM(R42:R44)</f>
        <v>778242</v>
      </c>
      <c r="S45" s="44">
        <f t="shared" ca="1" si="183"/>
        <v>3149968</v>
      </c>
      <c r="T45" s="168">
        <f t="shared" ca="1" si="126"/>
        <v>0.24706346223199727</v>
      </c>
      <c r="U45" s="162">
        <f t="shared" ca="1" si="177"/>
        <v>3049711</v>
      </c>
      <c r="V45" s="168">
        <f t="shared" ca="1" si="128"/>
        <v>0.96817205762090286</v>
      </c>
      <c r="W45" s="35">
        <f>SUM(W42:W44)</f>
        <v>209909</v>
      </c>
      <c r="X45" s="80">
        <f t="shared" ca="1" si="129"/>
        <v>306803</v>
      </c>
      <c r="Y45" s="131">
        <f t="shared" ca="1" si="109"/>
        <v>0.68418170617627594</v>
      </c>
      <c r="Z45" s="81">
        <f t="shared" ca="1" si="130"/>
        <v>250967</v>
      </c>
      <c r="AA45" s="131">
        <f t="shared" ca="1" si="131"/>
        <v>0.81800699471647931</v>
      </c>
      <c r="AB45" s="36">
        <f>SUM(AB42:AB44)</f>
        <v>0</v>
      </c>
      <c r="AC45" s="90">
        <f t="shared" ca="1" si="132"/>
        <v>51185</v>
      </c>
      <c r="AD45" s="146">
        <f t="shared" ca="1" si="133"/>
        <v>0</v>
      </c>
      <c r="AE45" s="81">
        <f t="shared" ca="1" si="134"/>
        <v>23564</v>
      </c>
      <c r="AF45" s="146">
        <f t="shared" ca="1" si="135"/>
        <v>0.46036924880336039</v>
      </c>
      <c r="AG45" s="35">
        <f>SUM(AG42:AG44)</f>
        <v>0</v>
      </c>
      <c r="AH45" s="80">
        <f t="shared" ca="1" si="136"/>
        <v>81936</v>
      </c>
      <c r="AI45" s="131">
        <f t="shared" ca="1" si="137"/>
        <v>0</v>
      </c>
      <c r="AJ45" s="81">
        <f t="shared" ca="1" si="138"/>
        <v>25546</v>
      </c>
      <c r="AK45" s="131">
        <f t="shared" ca="1" si="139"/>
        <v>0.31177992579574304</v>
      </c>
      <c r="AL45" s="43">
        <f>SUM(AL42:AL44)</f>
        <v>1251162</v>
      </c>
      <c r="AM45" s="44">
        <f t="shared" ca="1" si="184"/>
        <v>439924</v>
      </c>
      <c r="AN45" s="430">
        <f t="shared" ca="1" si="141"/>
        <v>2.8440412434875113</v>
      </c>
      <c r="AO45" s="162">
        <f t="shared" ca="1" si="178"/>
        <v>300077</v>
      </c>
      <c r="AP45" s="168">
        <f t="shared" ca="1" si="143"/>
        <v>0.68211100099108024</v>
      </c>
      <c r="AQ45" s="35">
        <f>SUM(AQ42:AQ44)</f>
        <v>0</v>
      </c>
      <c r="AR45" s="80">
        <f t="shared" ca="1" si="144"/>
        <v>23155</v>
      </c>
      <c r="AS45" s="131">
        <f t="shared" ca="1" si="110"/>
        <v>0</v>
      </c>
      <c r="AT45" s="81">
        <f t="shared" ca="1" si="145"/>
        <v>27554</v>
      </c>
      <c r="AU45" s="131">
        <f t="shared" ca="1" si="146"/>
        <v>1.1899805657525373</v>
      </c>
      <c r="AV45" s="36">
        <f>SUM(AV42:AV44)</f>
        <v>0</v>
      </c>
      <c r="AW45" s="90">
        <f t="shared" ca="1" si="147"/>
        <v>35675</v>
      </c>
      <c r="AX45" s="146">
        <f t="shared" ca="1" si="148"/>
        <v>0</v>
      </c>
      <c r="AY45" s="81">
        <f t="shared" ca="1" si="149"/>
        <v>24393</v>
      </c>
      <c r="AZ45" s="146">
        <f t="shared" ca="1" si="150"/>
        <v>0.68375613174491945</v>
      </c>
      <c r="BA45" s="35">
        <f>SUM(BA42:BA44)</f>
        <v>0</v>
      </c>
      <c r="BB45" s="80">
        <f t="shared" ca="1" si="151"/>
        <v>80850</v>
      </c>
      <c r="BC45" s="131">
        <f t="shared" ca="1" si="152"/>
        <v>0</v>
      </c>
      <c r="BD45" s="81">
        <f t="shared" ca="1" si="153"/>
        <v>27160</v>
      </c>
      <c r="BE45" s="131">
        <f t="shared" ca="1" si="154"/>
        <v>0.33593073593073591</v>
      </c>
      <c r="BF45" s="41">
        <f>SUM(BF42:BF44)</f>
        <v>0</v>
      </c>
      <c r="BG45" s="44">
        <f t="shared" ca="1" si="185"/>
        <v>139680</v>
      </c>
      <c r="BH45" s="168">
        <f t="shared" ca="1" si="156"/>
        <v>0</v>
      </c>
      <c r="BI45" s="162">
        <f t="shared" ca="1" si="179"/>
        <v>79107</v>
      </c>
      <c r="BJ45" s="146">
        <f t="shared" ca="1" si="158"/>
        <v>0.56634450171821304</v>
      </c>
      <c r="BK45" s="35">
        <f>SUM(BK42:BK44)</f>
        <v>0</v>
      </c>
      <c r="BL45" s="80">
        <f t="shared" ca="1" si="159"/>
        <v>60209</v>
      </c>
      <c r="BM45" s="131">
        <f t="shared" ca="1" si="111"/>
        <v>0</v>
      </c>
      <c r="BN45" s="81">
        <f t="shared" ca="1" si="160"/>
        <v>25016</v>
      </c>
      <c r="BO45" s="131">
        <f t="shared" ca="1" si="161"/>
        <v>0.41548605690179208</v>
      </c>
      <c r="BP45" s="36">
        <f>SUM(BP42:BP44)</f>
        <v>0</v>
      </c>
      <c r="BQ45" s="90">
        <f t="shared" ca="1" si="162"/>
        <v>28622</v>
      </c>
      <c r="BR45" s="146">
        <f t="shared" ca="1" si="163"/>
        <v>0</v>
      </c>
      <c r="BS45" s="81">
        <f t="shared" ca="1" si="164"/>
        <v>29622</v>
      </c>
      <c r="BT45" s="146">
        <f t="shared" ca="1" si="165"/>
        <v>1.0349381594577598</v>
      </c>
      <c r="BU45" s="35">
        <f>SUM(BU42:BU44)</f>
        <v>0</v>
      </c>
      <c r="BV45" s="80">
        <f t="shared" ca="1" si="166"/>
        <v>67694</v>
      </c>
      <c r="BW45" s="131">
        <f t="shared" ca="1" si="167"/>
        <v>0</v>
      </c>
      <c r="BX45" s="81">
        <f t="shared" ca="1" si="168"/>
        <v>9548</v>
      </c>
      <c r="BY45" s="131">
        <f t="shared" ca="1" si="169"/>
        <v>0.14104647383815405</v>
      </c>
      <c r="BZ45" s="41">
        <f>SUM(BZ42:BZ44)</f>
        <v>0</v>
      </c>
      <c r="CA45" s="44">
        <f t="shared" ca="1" si="186"/>
        <v>156525</v>
      </c>
      <c r="CB45" s="168">
        <f t="shared" ca="1" si="171"/>
        <v>0</v>
      </c>
      <c r="CC45" s="162">
        <f t="shared" ca="1" si="180"/>
        <v>64186</v>
      </c>
      <c r="CD45" s="146">
        <f t="shared" ca="1" si="173"/>
        <v>0.41006867912474043</v>
      </c>
      <c r="CE45" s="52">
        <f>SUM(CE42:CE44)</f>
        <v>598910</v>
      </c>
      <c r="CF45" s="207">
        <f t="shared" ca="1" si="181"/>
        <v>3886097</v>
      </c>
      <c r="CG45" s="215">
        <f t="shared" ca="1" si="175"/>
        <v>0.15411607070024244</v>
      </c>
      <c r="CH45" s="78">
        <f t="shared" ca="1" si="182"/>
        <v>3493081</v>
      </c>
      <c r="CI45" s="146">
        <f t="shared" ca="1" si="176"/>
        <v>0.89886613741242172</v>
      </c>
    </row>
    <row r="46" spans="1:87" s="105" customFormat="1" ht="13.15">
      <c r="A46" s="110" t="s">
        <v>47</v>
      </c>
      <c r="B46" s="285"/>
      <c r="C46" s="83">
        <v>408505</v>
      </c>
      <c r="D46" s="80">
        <f t="shared" ca="1" si="114"/>
        <v>448043</v>
      </c>
      <c r="E46" s="130">
        <f t="shared" ca="1" si="108"/>
        <v>0.91175400575391197</v>
      </c>
      <c r="F46" s="81">
        <f t="shared" ca="1" si="115"/>
        <v>458280</v>
      </c>
      <c r="G46" s="130">
        <f t="shared" ca="1" si="116"/>
        <v>1.0228482534042491</v>
      </c>
      <c r="H46" s="82">
        <v>444049</v>
      </c>
      <c r="I46" s="90">
        <f t="shared" ca="1" si="117"/>
        <v>525820</v>
      </c>
      <c r="J46" s="145">
        <f t="shared" ca="1" si="118"/>
        <v>0.84448860826898942</v>
      </c>
      <c r="K46" s="81">
        <f t="shared" ca="1" si="119"/>
        <v>475900</v>
      </c>
      <c r="L46" s="145">
        <f t="shared" ca="1" si="120"/>
        <v>0.90506256893994141</v>
      </c>
      <c r="M46" s="83">
        <v>730586</v>
      </c>
      <c r="N46" s="80">
        <f t="shared" ca="1" si="121"/>
        <v>823235</v>
      </c>
      <c r="O46" s="130">
        <f t="shared" ca="1" si="122"/>
        <v>0.8874574088808177</v>
      </c>
      <c r="P46" s="81">
        <f t="shared" ca="1" si="123"/>
        <v>751781</v>
      </c>
      <c r="Q46" s="130">
        <f t="shared" ca="1" si="124"/>
        <v>0.9132033987864947</v>
      </c>
      <c r="R46" s="96">
        <v>563879</v>
      </c>
      <c r="S46" s="85">
        <f t="shared" ca="1" si="183"/>
        <v>1797098</v>
      </c>
      <c r="T46" s="167">
        <f t="shared" ca="1" si="126"/>
        <v>0.31377198127202854</v>
      </c>
      <c r="U46" s="86">
        <f t="shared" ca="1" si="177"/>
        <v>1685961</v>
      </c>
      <c r="V46" s="167">
        <f t="shared" ca="1" si="128"/>
        <v>0.93815751839910788</v>
      </c>
      <c r="W46" s="83">
        <v>349094</v>
      </c>
      <c r="X46" s="80">
        <f t="shared" ca="1" si="129"/>
        <v>419447</v>
      </c>
      <c r="Y46" s="130">
        <f t="shared" ca="1" si="109"/>
        <v>0.83227201529633066</v>
      </c>
      <c r="Z46" s="81">
        <f t="shared" ca="1" si="130"/>
        <v>393696</v>
      </c>
      <c r="AA46" s="130">
        <f t="shared" ca="1" si="131"/>
        <v>0.93860726146569173</v>
      </c>
      <c r="AB46" s="82">
        <v>192806</v>
      </c>
      <c r="AC46" s="90">
        <f t="shared" ca="1" si="132"/>
        <v>206572</v>
      </c>
      <c r="AD46" s="145">
        <f t="shared" ca="1" si="133"/>
        <v>0.9333597970683345</v>
      </c>
      <c r="AE46" s="81">
        <f t="shared" ca="1" si="134"/>
        <v>212848</v>
      </c>
      <c r="AF46" s="145">
        <f t="shared" ca="1" si="135"/>
        <v>1.0303816586952734</v>
      </c>
      <c r="AG46" s="83">
        <v>545093</v>
      </c>
      <c r="AH46" s="80">
        <f t="shared" ca="1" si="136"/>
        <v>623740</v>
      </c>
      <c r="AI46" s="130">
        <f t="shared" ca="1" si="137"/>
        <v>0.87391060377721486</v>
      </c>
      <c r="AJ46" s="81">
        <f t="shared" ca="1" si="138"/>
        <v>574954</v>
      </c>
      <c r="AK46" s="130">
        <f t="shared" ca="1" si="139"/>
        <v>0.92178471799147077</v>
      </c>
      <c r="AL46" s="96">
        <v>795456</v>
      </c>
      <c r="AM46" s="85">
        <f t="shared" ca="1" si="184"/>
        <v>1249759</v>
      </c>
      <c r="AN46" s="429">
        <f t="shared" ca="1" si="141"/>
        <v>0.63648751479285204</v>
      </c>
      <c r="AO46" s="86">
        <f t="shared" ca="1" si="178"/>
        <v>1181498</v>
      </c>
      <c r="AP46" s="167">
        <f t="shared" ca="1" si="143"/>
        <v>0.94538066939305898</v>
      </c>
      <c r="AQ46" s="83">
        <v>200462</v>
      </c>
      <c r="AR46" s="80">
        <f t="shared" ca="1" si="144"/>
        <v>234984</v>
      </c>
      <c r="AS46" s="130">
        <f t="shared" ca="1" si="110"/>
        <v>0.8530878698124128</v>
      </c>
      <c r="AT46" s="81">
        <f t="shared" ca="1" si="145"/>
        <v>208827</v>
      </c>
      <c r="AU46" s="130">
        <f t="shared" ca="1" si="146"/>
        <v>0.88868603819834546</v>
      </c>
      <c r="AV46" s="82">
        <v>213432</v>
      </c>
      <c r="AW46" s="90">
        <f t="shared" ca="1" si="147"/>
        <v>251728</v>
      </c>
      <c r="AX46" s="145">
        <f t="shared" ca="1" si="148"/>
        <v>0.84786753956651628</v>
      </c>
      <c r="AY46" s="81">
        <f t="shared" ca="1" si="149"/>
        <v>227159</v>
      </c>
      <c r="AZ46" s="145">
        <f t="shared" ca="1" si="150"/>
        <v>0.90239862073349009</v>
      </c>
      <c r="BA46" s="83">
        <v>357474</v>
      </c>
      <c r="BB46" s="80">
        <f t="shared" ca="1" si="151"/>
        <v>418814</v>
      </c>
      <c r="BC46" s="130">
        <f t="shared" ca="1" si="152"/>
        <v>0.853538802427808</v>
      </c>
      <c r="BD46" s="81">
        <f t="shared" ca="1" si="153"/>
        <v>379814</v>
      </c>
      <c r="BE46" s="130">
        <f t="shared" ca="1" si="154"/>
        <v>0.90687990372814664</v>
      </c>
      <c r="BF46" s="91">
        <v>413359</v>
      </c>
      <c r="BG46" s="92">
        <f t="shared" ca="1" si="185"/>
        <v>905526</v>
      </c>
      <c r="BH46" s="167">
        <f t="shared" ca="1" si="156"/>
        <v>0.45648496012262485</v>
      </c>
      <c r="BI46" s="86">
        <f t="shared" ca="1" si="179"/>
        <v>815800</v>
      </c>
      <c r="BJ46" s="145">
        <f t="shared" ca="1" si="158"/>
        <v>0.90091283960924373</v>
      </c>
      <c r="BK46" s="83">
        <v>285894</v>
      </c>
      <c r="BL46" s="80">
        <f t="shared" ca="1" si="159"/>
        <v>375556</v>
      </c>
      <c r="BM46" s="130">
        <f t="shared" ca="1" si="111"/>
        <v>0.76125531212389097</v>
      </c>
      <c r="BN46" s="81">
        <f t="shared" ca="1" si="160"/>
        <v>329558</v>
      </c>
      <c r="BO46" s="130">
        <f t="shared" ca="1" si="161"/>
        <v>0.87752026328962929</v>
      </c>
      <c r="BP46" s="82">
        <v>599230</v>
      </c>
      <c r="BQ46" s="90">
        <f t="shared" ca="1" si="162"/>
        <v>671234</v>
      </c>
      <c r="BR46" s="145">
        <f t="shared" ca="1" si="163"/>
        <v>0.89272891420875577</v>
      </c>
      <c r="BS46" s="81">
        <f t="shared" ca="1" si="164"/>
        <v>615795</v>
      </c>
      <c r="BT46" s="145">
        <f t="shared" ca="1" si="165"/>
        <v>0.91740734229791698</v>
      </c>
      <c r="BU46" s="83">
        <v>622161</v>
      </c>
      <c r="BV46" s="80">
        <f t="shared" ca="1" si="166"/>
        <v>687850</v>
      </c>
      <c r="BW46" s="130">
        <f t="shared" ca="1" si="167"/>
        <v>0.90450098131860146</v>
      </c>
      <c r="BX46" s="81">
        <f t="shared" ca="1" si="168"/>
        <v>628130</v>
      </c>
      <c r="BY46" s="130">
        <f t="shared" ca="1" si="169"/>
        <v>0.91317874536599553</v>
      </c>
      <c r="BZ46" s="91">
        <v>926077</v>
      </c>
      <c r="CA46" s="85">
        <f t="shared" ca="1" si="186"/>
        <v>1734640</v>
      </c>
      <c r="CB46" s="167">
        <f t="shared" ca="1" si="171"/>
        <v>0.53387273440022143</v>
      </c>
      <c r="CC46" s="86">
        <f t="shared" ca="1" si="180"/>
        <v>1573483</v>
      </c>
      <c r="CD46" s="145">
        <f t="shared" ca="1" si="173"/>
        <v>0.90709484388691597</v>
      </c>
      <c r="CE46" s="97">
        <v>703640</v>
      </c>
      <c r="CF46" s="206">
        <f t="shared" ca="1" si="181"/>
        <v>5687023</v>
      </c>
      <c r="CG46" s="201">
        <f t="shared" ca="1" si="175"/>
        <v>0.12372729985442296</v>
      </c>
      <c r="CH46" s="89">
        <f t="shared" ca="1" si="182"/>
        <v>5256742</v>
      </c>
      <c r="CI46" s="145">
        <f t="shared" ca="1" si="176"/>
        <v>0.92433985232695559</v>
      </c>
    </row>
    <row r="47" spans="1:87" s="105" customFormat="1" ht="13.15">
      <c r="A47" s="110" t="s">
        <v>43</v>
      </c>
      <c r="B47" s="285"/>
      <c r="C47" s="80">
        <v>660762</v>
      </c>
      <c r="D47" s="80">
        <f t="shared" ca="1" si="114"/>
        <v>710111</v>
      </c>
      <c r="E47" s="130">
        <f t="shared" ca="1" si="108"/>
        <v>0.93050523087235659</v>
      </c>
      <c r="F47" s="81">
        <f t="shared" ca="1" si="115"/>
        <v>697771</v>
      </c>
      <c r="G47" s="130">
        <f t="shared" ca="1" si="116"/>
        <v>0.98262243508409253</v>
      </c>
      <c r="H47" s="82">
        <v>811312</v>
      </c>
      <c r="I47" s="90">
        <f t="shared" ca="1" si="117"/>
        <v>828470</v>
      </c>
      <c r="J47" s="145">
        <f t="shared" ca="1" si="118"/>
        <v>0.9792895337187828</v>
      </c>
      <c r="K47" s="81">
        <f t="shared" ca="1" si="119"/>
        <v>834769</v>
      </c>
      <c r="L47" s="145">
        <f t="shared" ca="1" si="120"/>
        <v>1.0076031721124483</v>
      </c>
      <c r="M47" s="83">
        <v>786838</v>
      </c>
      <c r="N47" s="80">
        <f t="shared" ca="1" si="121"/>
        <v>801472</v>
      </c>
      <c r="O47" s="130">
        <f t="shared" ca="1" si="122"/>
        <v>0.98174109638265594</v>
      </c>
      <c r="P47" s="81">
        <f t="shared" ca="1" si="123"/>
        <v>818412</v>
      </c>
      <c r="Q47" s="130">
        <f t="shared" ca="1" si="124"/>
        <v>1.0211361095584126</v>
      </c>
      <c r="R47" s="96">
        <v>680946</v>
      </c>
      <c r="S47" s="85">
        <f t="shared" ca="1" si="183"/>
        <v>2340053</v>
      </c>
      <c r="T47" s="167">
        <f t="shared" ca="1" si="126"/>
        <v>0.29099597316812909</v>
      </c>
      <c r="U47" s="86">
        <f t="shared" ca="1" si="177"/>
        <v>2350952</v>
      </c>
      <c r="V47" s="167">
        <f t="shared" ca="1" si="128"/>
        <v>1.0046575868153413</v>
      </c>
      <c r="W47" s="80">
        <v>347260</v>
      </c>
      <c r="X47" s="80">
        <f t="shared" ca="1" si="129"/>
        <v>417532</v>
      </c>
      <c r="Y47" s="130">
        <f t="shared" ca="1" si="109"/>
        <v>0.83169673222651197</v>
      </c>
      <c r="Z47" s="81">
        <f t="shared" ca="1" si="130"/>
        <v>376435</v>
      </c>
      <c r="AA47" s="130">
        <f t="shared" ca="1" si="131"/>
        <v>0.90157161606775049</v>
      </c>
      <c r="AB47" s="82">
        <v>789341</v>
      </c>
      <c r="AC47" s="90">
        <f t="shared" ca="1" si="132"/>
        <v>839900</v>
      </c>
      <c r="AD47" s="145">
        <f t="shared" ca="1" si="133"/>
        <v>0.93980354804143351</v>
      </c>
      <c r="AE47" s="81">
        <f t="shared" ca="1" si="134"/>
        <v>822076</v>
      </c>
      <c r="AF47" s="145">
        <f t="shared" ca="1" si="135"/>
        <v>0.97877842600309561</v>
      </c>
      <c r="AG47" s="83">
        <v>395111</v>
      </c>
      <c r="AH47" s="80">
        <f t="shared" ca="1" si="136"/>
        <v>408320</v>
      </c>
      <c r="AI47" s="130">
        <f t="shared" ca="1" si="137"/>
        <v>0.9676503722570533</v>
      </c>
      <c r="AJ47" s="81">
        <f t="shared" ca="1" si="138"/>
        <v>409724</v>
      </c>
      <c r="AK47" s="130">
        <f t="shared" ca="1" si="139"/>
        <v>1.0034384796238245</v>
      </c>
      <c r="AL47" s="96">
        <v>230987</v>
      </c>
      <c r="AM47" s="85">
        <f t="shared" ca="1" si="184"/>
        <v>1665752</v>
      </c>
      <c r="AN47" s="429">
        <f t="shared" ca="1" si="141"/>
        <v>0.13866830116367862</v>
      </c>
      <c r="AO47" s="86">
        <f t="shared" ca="1" si="178"/>
        <v>1608235</v>
      </c>
      <c r="AP47" s="167">
        <f t="shared" ca="1" si="143"/>
        <v>0.96547085040270098</v>
      </c>
      <c r="AQ47" s="80">
        <v>510904</v>
      </c>
      <c r="AR47" s="80">
        <f t="shared" ca="1" si="144"/>
        <v>568022</v>
      </c>
      <c r="AS47" s="130">
        <f t="shared" ca="1" si="110"/>
        <v>0.89944403561833874</v>
      </c>
      <c r="AT47" s="81">
        <f t="shared" ca="1" si="145"/>
        <v>543234</v>
      </c>
      <c r="AU47" s="130">
        <f t="shared" ca="1" si="146"/>
        <v>0.95636084517853182</v>
      </c>
      <c r="AV47" s="82">
        <v>508634</v>
      </c>
      <c r="AW47" s="90">
        <f t="shared" ca="1" si="147"/>
        <v>542328</v>
      </c>
      <c r="AX47" s="145">
        <f t="shared" ca="1" si="148"/>
        <v>0.93787154637046211</v>
      </c>
      <c r="AY47" s="81">
        <f t="shared" ca="1" si="149"/>
        <v>531995</v>
      </c>
      <c r="AZ47" s="145">
        <f t="shared" ca="1" si="150"/>
        <v>0.98094695461049397</v>
      </c>
      <c r="BA47" s="83">
        <v>440914</v>
      </c>
      <c r="BB47" s="80">
        <f t="shared" ca="1" si="151"/>
        <v>525512</v>
      </c>
      <c r="BC47" s="130">
        <f t="shared" ca="1" si="152"/>
        <v>0.83901794821050713</v>
      </c>
      <c r="BD47" s="81">
        <f t="shared" ca="1" si="153"/>
        <v>475100</v>
      </c>
      <c r="BE47" s="130">
        <f t="shared" ca="1" si="154"/>
        <v>0.90407069676810425</v>
      </c>
      <c r="BF47" s="91">
        <v>580772</v>
      </c>
      <c r="BG47" s="92">
        <f t="shared" ca="1" si="185"/>
        <v>1635862</v>
      </c>
      <c r="BH47" s="167">
        <f t="shared" ca="1" si="156"/>
        <v>0.35502505712584559</v>
      </c>
      <c r="BI47" s="86">
        <f t="shared" ca="1" si="179"/>
        <v>1550329</v>
      </c>
      <c r="BJ47" s="145">
        <f t="shared" ca="1" si="158"/>
        <v>0.94771380470968825</v>
      </c>
      <c r="BK47" s="80">
        <v>305532</v>
      </c>
      <c r="BL47" s="80">
        <f t="shared" ca="1" si="159"/>
        <v>399888</v>
      </c>
      <c r="BM47" s="130">
        <f t="shared" ca="1" si="111"/>
        <v>0.76404393230104428</v>
      </c>
      <c r="BN47" s="81">
        <f t="shared" ca="1" si="160"/>
        <v>342909</v>
      </c>
      <c r="BO47" s="130">
        <f t="shared" ca="1" si="161"/>
        <v>0.85751260352898817</v>
      </c>
      <c r="BP47" s="82">
        <v>247623</v>
      </c>
      <c r="BQ47" s="90">
        <f t="shared" ca="1" si="162"/>
        <v>291769</v>
      </c>
      <c r="BR47" s="145">
        <f t="shared" ca="1" si="163"/>
        <v>0.84869537202375855</v>
      </c>
      <c r="BS47" s="81">
        <f t="shared" ca="1" si="164"/>
        <v>273562</v>
      </c>
      <c r="BT47" s="145">
        <f t="shared" ca="1" si="165"/>
        <v>0.93759789422454065</v>
      </c>
      <c r="BU47" s="83">
        <v>405832</v>
      </c>
      <c r="BV47" s="80">
        <f t="shared" ca="1" si="166"/>
        <v>490278</v>
      </c>
      <c r="BW47" s="130">
        <f t="shared" ca="1" si="167"/>
        <v>0.82775894492512414</v>
      </c>
      <c r="BX47" s="81">
        <f t="shared" ca="1" si="168"/>
        <v>415974</v>
      </c>
      <c r="BY47" s="130">
        <f t="shared" ca="1" si="169"/>
        <v>0.84844516784354995</v>
      </c>
      <c r="BZ47" s="91">
        <v>643422</v>
      </c>
      <c r="CA47" s="85">
        <f t="shared" ca="1" si="186"/>
        <v>1181935</v>
      </c>
      <c r="CB47" s="167">
        <f t="shared" ca="1" si="171"/>
        <v>0.54438019011197736</v>
      </c>
      <c r="CC47" s="86">
        <f t="shared" ca="1" si="180"/>
        <v>1032445</v>
      </c>
      <c r="CD47" s="145">
        <f t="shared" ca="1" si="173"/>
        <v>0.87352096350476127</v>
      </c>
      <c r="CE47" s="97">
        <v>699504</v>
      </c>
      <c r="CF47" s="206">
        <f t="shared" ca="1" si="181"/>
        <v>6823602</v>
      </c>
      <c r="CG47" s="201">
        <f t="shared" ca="1" si="175"/>
        <v>0.10251242672125367</v>
      </c>
      <c r="CH47" s="89">
        <f t="shared" ca="1" si="182"/>
        <v>6541961</v>
      </c>
      <c r="CI47" s="145">
        <f t="shared" ca="1" si="176"/>
        <v>0.95872546493772648</v>
      </c>
    </row>
    <row r="48" spans="1:87" s="105" customFormat="1" ht="13.15">
      <c r="A48" s="34" t="s">
        <v>44</v>
      </c>
      <c r="B48" s="285"/>
      <c r="C48" s="83">
        <v>957101</v>
      </c>
      <c r="D48" s="80">
        <f t="shared" ca="1" si="114"/>
        <v>1016524</v>
      </c>
      <c r="E48" s="130">
        <f t="shared" ca="1" si="108"/>
        <v>0.94154294438695008</v>
      </c>
      <c r="F48" s="81">
        <f t="shared" ca="1" si="115"/>
        <v>1002135</v>
      </c>
      <c r="G48" s="130">
        <f t="shared" ca="1" si="116"/>
        <v>0.98584489889072957</v>
      </c>
      <c r="H48" s="82">
        <v>854339</v>
      </c>
      <c r="I48" s="90">
        <f t="shared" ca="1" si="117"/>
        <v>867422</v>
      </c>
      <c r="J48" s="145">
        <f t="shared" ca="1" si="118"/>
        <v>0.98491737585627293</v>
      </c>
      <c r="K48" s="81">
        <f t="shared" ca="1" si="119"/>
        <v>880951</v>
      </c>
      <c r="L48" s="145">
        <f t="shared" ca="1" si="120"/>
        <v>1.0155967914117927</v>
      </c>
      <c r="M48" s="83">
        <v>272132</v>
      </c>
      <c r="N48" s="80">
        <f t="shared" ca="1" si="121"/>
        <v>327433</v>
      </c>
      <c r="O48" s="130">
        <f t="shared" ca="1" si="122"/>
        <v>0.83110743266561404</v>
      </c>
      <c r="P48" s="81">
        <f t="shared" ca="1" si="123"/>
        <v>308692</v>
      </c>
      <c r="Q48" s="130">
        <f t="shared" ca="1" si="124"/>
        <v>0.9427638631414671</v>
      </c>
      <c r="R48" s="96">
        <v>119529</v>
      </c>
      <c r="S48" s="85">
        <f t="shared" ca="1" si="183"/>
        <v>2211379</v>
      </c>
      <c r="T48" s="167">
        <f t="shared" ca="1" si="126"/>
        <v>5.4051793021458558E-2</v>
      </c>
      <c r="U48" s="86">
        <f t="shared" ca="1" si="177"/>
        <v>2191778</v>
      </c>
      <c r="V48" s="167">
        <f t="shared" ca="1" si="128"/>
        <v>0.99113630001912834</v>
      </c>
      <c r="W48" s="83">
        <v>426041</v>
      </c>
      <c r="X48" s="80">
        <f t="shared" ca="1" si="129"/>
        <v>512914</v>
      </c>
      <c r="Y48" s="130">
        <f t="shared" ca="1" si="109"/>
        <v>0.83062852641963369</v>
      </c>
      <c r="Z48" s="81">
        <f t="shared" ca="1" si="130"/>
        <v>436035</v>
      </c>
      <c r="AA48" s="130">
        <f t="shared" ca="1" si="131"/>
        <v>0.85011327435008599</v>
      </c>
      <c r="AB48" s="82">
        <v>673496</v>
      </c>
      <c r="AC48" s="90">
        <f t="shared" ca="1" si="132"/>
        <v>753832</v>
      </c>
      <c r="AD48" s="145">
        <f t="shared" ca="1" si="133"/>
        <v>0.89342983582548896</v>
      </c>
      <c r="AE48" s="81">
        <f t="shared" ca="1" si="134"/>
        <v>716485</v>
      </c>
      <c r="AF48" s="145">
        <f t="shared" ca="1" si="135"/>
        <v>0.95045713103184792</v>
      </c>
      <c r="AG48" s="83">
        <v>754180</v>
      </c>
      <c r="AH48" s="80">
        <f t="shared" ca="1" si="136"/>
        <v>829427</v>
      </c>
      <c r="AI48" s="130">
        <f t="shared" ca="1" si="137"/>
        <v>0.90927833311430661</v>
      </c>
      <c r="AJ48" s="81">
        <f t="shared" ca="1" si="138"/>
        <v>767627</v>
      </c>
      <c r="AK48" s="130">
        <f t="shared" ca="1" si="139"/>
        <v>0.92549073034757734</v>
      </c>
      <c r="AL48" s="96">
        <v>534716</v>
      </c>
      <c r="AM48" s="85">
        <f t="shared" ca="1" si="184"/>
        <v>2096173</v>
      </c>
      <c r="AN48" s="429">
        <f t="shared" ca="1" si="141"/>
        <v>0.25509154063142692</v>
      </c>
      <c r="AO48" s="86">
        <f t="shared" ca="1" si="178"/>
        <v>1920147</v>
      </c>
      <c r="AP48" s="167">
        <f t="shared" ca="1" si="143"/>
        <v>0.91602506090861779</v>
      </c>
      <c r="AQ48" s="83">
        <v>622837</v>
      </c>
      <c r="AR48" s="80">
        <f t="shared" ca="1" si="144"/>
        <v>657694</v>
      </c>
      <c r="AS48" s="130">
        <f t="shared" ca="1" si="110"/>
        <v>0.94700118900278851</v>
      </c>
      <c r="AT48" s="81">
        <f t="shared" ca="1" si="145"/>
        <v>636247</v>
      </c>
      <c r="AU48" s="130">
        <f t="shared" ca="1" si="146"/>
        <v>0.96739061022299122</v>
      </c>
      <c r="AV48" s="82">
        <v>234464</v>
      </c>
      <c r="AW48" s="90">
        <f t="shared" ca="1" si="147"/>
        <v>323566</v>
      </c>
      <c r="AX48" s="145">
        <f t="shared" ca="1" si="148"/>
        <v>0.72462496059536541</v>
      </c>
      <c r="AY48" s="81">
        <f t="shared" ca="1" si="149"/>
        <v>263036</v>
      </c>
      <c r="AZ48" s="145">
        <f t="shared" ca="1" si="150"/>
        <v>0.81292842882132244</v>
      </c>
      <c r="BA48" s="83">
        <v>861365</v>
      </c>
      <c r="BB48" s="80">
        <f t="shared" ca="1" si="151"/>
        <v>929708</v>
      </c>
      <c r="BC48" s="130">
        <f t="shared" ca="1" si="152"/>
        <v>0.92648982261097035</v>
      </c>
      <c r="BD48" s="81">
        <f t="shared" ca="1" si="153"/>
        <v>898717</v>
      </c>
      <c r="BE48" s="130">
        <f t="shared" ca="1" si="154"/>
        <v>0.9666658778885413</v>
      </c>
      <c r="BF48" s="91">
        <v>851162</v>
      </c>
      <c r="BG48" s="92">
        <f t="shared" ca="1" si="185"/>
        <v>1910968</v>
      </c>
      <c r="BH48" s="167">
        <f t="shared" ca="1" si="156"/>
        <v>0.44540881898597989</v>
      </c>
      <c r="BI48" s="86">
        <f t="shared" ca="1" si="179"/>
        <v>1798000</v>
      </c>
      <c r="BJ48" s="145">
        <f t="shared" ca="1" si="158"/>
        <v>0.94088441041398918</v>
      </c>
      <c r="BK48" s="83">
        <v>104998</v>
      </c>
      <c r="BL48" s="80">
        <f t="shared" ca="1" si="159"/>
        <v>190942</v>
      </c>
      <c r="BM48" s="130">
        <f t="shared" ca="1" si="111"/>
        <v>0.54989473243183795</v>
      </c>
      <c r="BN48" s="81">
        <f t="shared" ca="1" si="160"/>
        <v>127193</v>
      </c>
      <c r="BO48" s="130">
        <f t="shared" ca="1" si="161"/>
        <v>0.66613421876800283</v>
      </c>
      <c r="BP48" s="82">
        <v>861284</v>
      </c>
      <c r="BQ48" s="90">
        <f t="shared" ca="1" si="162"/>
        <v>875932</v>
      </c>
      <c r="BR48" s="145">
        <f t="shared" ca="1" si="163"/>
        <v>0.98327724069904965</v>
      </c>
      <c r="BS48" s="81">
        <f t="shared" ca="1" si="164"/>
        <v>898646</v>
      </c>
      <c r="BT48" s="145">
        <f t="shared" ca="1" si="165"/>
        <v>1.0259312366713398</v>
      </c>
      <c r="BU48" s="83">
        <v>653447</v>
      </c>
      <c r="BV48" s="80">
        <f t="shared" ca="1" si="166"/>
        <v>673666</v>
      </c>
      <c r="BW48" s="130">
        <f t="shared" ca="1" si="167"/>
        <v>0.96998661057556712</v>
      </c>
      <c r="BX48" s="81">
        <f t="shared" ca="1" si="168"/>
        <v>660085</v>
      </c>
      <c r="BY48" s="130">
        <f t="shared" ca="1" si="169"/>
        <v>0.97984015817927583</v>
      </c>
      <c r="BZ48" s="91">
        <v>222207</v>
      </c>
      <c r="CA48" s="85">
        <f t="shared" ca="1" si="186"/>
        <v>1740540</v>
      </c>
      <c r="CB48" s="167">
        <f t="shared" ca="1" si="171"/>
        <v>0.12766555207004723</v>
      </c>
      <c r="CC48" s="86">
        <f t="shared" ca="1" si="180"/>
        <v>1685924</v>
      </c>
      <c r="CD48" s="145">
        <f t="shared" ca="1" si="173"/>
        <v>0.96862123249106602</v>
      </c>
      <c r="CE48" s="97">
        <v>322840</v>
      </c>
      <c r="CF48" s="206">
        <f t="shared" ca="1" si="181"/>
        <v>7959060</v>
      </c>
      <c r="CG48" s="201">
        <f t="shared" ca="1" si="175"/>
        <v>4.0562578998022382E-2</v>
      </c>
      <c r="CH48" s="89">
        <f t="shared" ca="1" si="182"/>
        <v>7595849</v>
      </c>
      <c r="CI48" s="145">
        <f t="shared" ca="1" si="176"/>
        <v>0.95436508833957778</v>
      </c>
    </row>
    <row r="49" spans="1:88" s="105" customFormat="1" ht="13.15">
      <c r="A49" s="30" t="s">
        <v>45</v>
      </c>
      <c r="B49" s="285"/>
      <c r="C49" s="83">
        <v>515620</v>
      </c>
      <c r="D49" s="80">
        <f t="shared" ca="1" si="114"/>
        <v>587018</v>
      </c>
      <c r="E49" s="130">
        <f t="shared" ca="1" si="108"/>
        <v>0.87837170240094853</v>
      </c>
      <c r="F49" s="81">
        <f t="shared" ca="1" si="115"/>
        <v>540629</v>
      </c>
      <c r="G49" s="130">
        <f t="shared" ca="1" si="116"/>
        <v>0.92097516600853802</v>
      </c>
      <c r="H49" s="82">
        <v>187921</v>
      </c>
      <c r="I49" s="90">
        <f t="shared" ca="1" si="117"/>
        <v>269707</v>
      </c>
      <c r="J49" s="145">
        <f t="shared" ca="1" si="118"/>
        <v>0.69675981713489088</v>
      </c>
      <c r="K49" s="81">
        <f t="shared" ca="1" si="119"/>
        <v>234472</v>
      </c>
      <c r="L49" s="145">
        <f t="shared" ca="1" si="120"/>
        <v>0.86935822948607189</v>
      </c>
      <c r="M49" s="83">
        <v>134155</v>
      </c>
      <c r="N49" s="80">
        <f t="shared" ca="1" si="121"/>
        <v>196263</v>
      </c>
      <c r="O49" s="130">
        <f t="shared" ca="1" si="122"/>
        <v>0.68354707713629159</v>
      </c>
      <c r="P49" s="81">
        <f t="shared" ca="1" si="123"/>
        <v>170373</v>
      </c>
      <c r="Q49" s="130">
        <f t="shared" ca="1" si="124"/>
        <v>0.86808517142813468</v>
      </c>
      <c r="R49" s="96">
        <v>309452</v>
      </c>
      <c r="S49" s="85">
        <f t="shared" ca="1" si="183"/>
        <v>1052988</v>
      </c>
      <c r="T49" s="167">
        <f t="shared" ca="1" si="126"/>
        <v>0.29387989226847788</v>
      </c>
      <c r="U49" s="86">
        <f t="shared" ca="1" si="177"/>
        <v>945474</v>
      </c>
      <c r="V49" s="167">
        <f t="shared" ca="1" si="128"/>
        <v>0.89789627232219171</v>
      </c>
      <c r="W49" s="83">
        <v>561643</v>
      </c>
      <c r="X49" s="80">
        <f t="shared" ca="1" si="129"/>
        <v>658707</v>
      </c>
      <c r="Y49" s="130">
        <f t="shared" ca="1" si="109"/>
        <v>0.85264465080832597</v>
      </c>
      <c r="Z49" s="81">
        <f t="shared" ca="1" si="130"/>
        <v>572241</v>
      </c>
      <c r="AA49" s="130">
        <f t="shared" ca="1" si="131"/>
        <v>0.86873374656713831</v>
      </c>
      <c r="AB49" s="82">
        <v>667016</v>
      </c>
      <c r="AC49" s="90">
        <f t="shared" ca="1" si="132"/>
        <v>714435</v>
      </c>
      <c r="AD49" s="145">
        <f t="shared" ca="1" si="133"/>
        <v>0.93362727190017292</v>
      </c>
      <c r="AE49" s="81">
        <f t="shared" ca="1" si="134"/>
        <v>711603</v>
      </c>
      <c r="AF49" s="145">
        <f t="shared" ca="1" si="135"/>
        <v>0.99603602847004979</v>
      </c>
      <c r="AG49" s="83">
        <v>538073</v>
      </c>
      <c r="AH49" s="80">
        <f t="shared" ca="1" si="136"/>
        <v>625380</v>
      </c>
      <c r="AI49" s="130">
        <f t="shared" ca="1" si="137"/>
        <v>0.86039368064216959</v>
      </c>
      <c r="AJ49" s="81">
        <f t="shared" ca="1" si="138"/>
        <v>570317</v>
      </c>
      <c r="AK49" s="130">
        <f t="shared" ca="1" si="139"/>
        <v>0.91195273273849498</v>
      </c>
      <c r="AL49" s="96">
        <v>452294</v>
      </c>
      <c r="AM49" s="85">
        <f t="shared" ca="1" si="184"/>
        <v>1998522</v>
      </c>
      <c r="AN49" s="429">
        <f t="shared" ca="1" si="141"/>
        <v>0.22631424622796245</v>
      </c>
      <c r="AO49" s="86">
        <f t="shared" ca="1" si="178"/>
        <v>1854161</v>
      </c>
      <c r="AP49" s="167">
        <f t="shared" ca="1" si="143"/>
        <v>0.92776611916206075</v>
      </c>
      <c r="AQ49" s="83">
        <v>707688</v>
      </c>
      <c r="AR49" s="80">
        <f t="shared" ca="1" si="144"/>
        <v>726760</v>
      </c>
      <c r="AS49" s="130">
        <f t="shared" ca="1" si="110"/>
        <v>0.97375749903682096</v>
      </c>
      <c r="AT49" s="81">
        <f t="shared" ca="1" si="145"/>
        <v>722948</v>
      </c>
      <c r="AU49" s="130">
        <f t="shared" ca="1" si="146"/>
        <v>0.99475480213550549</v>
      </c>
      <c r="AV49" s="82">
        <v>113145</v>
      </c>
      <c r="AW49" s="90">
        <f t="shared" ca="1" si="147"/>
        <v>123496</v>
      </c>
      <c r="AX49" s="145">
        <f t="shared" ca="1" si="148"/>
        <v>0.91618352011401183</v>
      </c>
      <c r="AY49" s="81">
        <f t="shared" ca="1" si="149"/>
        <v>153144</v>
      </c>
      <c r="AZ49" s="145">
        <f t="shared" ca="1" si="150"/>
        <v>1.2400725529571808</v>
      </c>
      <c r="BA49" s="83">
        <v>723071</v>
      </c>
      <c r="BB49" s="80">
        <f t="shared" ca="1" si="151"/>
        <v>771800</v>
      </c>
      <c r="BC49" s="130">
        <f t="shared" ca="1" si="152"/>
        <v>0.93686317698885724</v>
      </c>
      <c r="BD49" s="81">
        <f t="shared" ca="1" si="153"/>
        <v>746145</v>
      </c>
      <c r="BE49" s="130">
        <f t="shared" ca="1" si="154"/>
        <v>0.96675952319253688</v>
      </c>
      <c r="BF49" s="91">
        <v>733414</v>
      </c>
      <c r="BG49" s="92">
        <f t="shared" ca="1" si="185"/>
        <v>1622056</v>
      </c>
      <c r="BH49" s="167">
        <f t="shared" ca="1" si="156"/>
        <v>0.45215085052550591</v>
      </c>
      <c r="BI49" s="86">
        <f t="shared" ca="1" si="179"/>
        <v>1622237</v>
      </c>
      <c r="BJ49" s="145">
        <f t="shared" ca="1" si="158"/>
        <v>1.0001115867762889</v>
      </c>
      <c r="BK49" s="83">
        <v>784692</v>
      </c>
      <c r="BL49" s="80">
        <f t="shared" ca="1" si="159"/>
        <v>818072</v>
      </c>
      <c r="BM49" s="130">
        <f t="shared" ca="1" si="111"/>
        <v>0.9591967455187318</v>
      </c>
      <c r="BN49" s="81">
        <f t="shared" ca="1" si="160"/>
        <v>810381</v>
      </c>
      <c r="BO49" s="130">
        <f t="shared" ca="1" si="161"/>
        <v>0.99059862701571499</v>
      </c>
      <c r="BP49" s="82">
        <v>832221</v>
      </c>
      <c r="BQ49" s="90">
        <f t="shared" ca="1" si="162"/>
        <v>921838</v>
      </c>
      <c r="BR49" s="145">
        <f t="shared" ca="1" si="163"/>
        <v>0.90278443717876677</v>
      </c>
      <c r="BS49" s="81">
        <f t="shared" ca="1" si="164"/>
        <v>880246</v>
      </c>
      <c r="BT49" s="145">
        <f t="shared" ca="1" si="165"/>
        <v>0.95488144337725278</v>
      </c>
      <c r="BU49" s="83">
        <v>939668</v>
      </c>
      <c r="BV49" s="80">
        <f t="shared" ca="1" si="166"/>
        <v>993979</v>
      </c>
      <c r="BW49" s="130">
        <f t="shared" ca="1" si="167"/>
        <v>0.94536001263608183</v>
      </c>
      <c r="BX49" s="81">
        <f t="shared" ca="1" si="168"/>
        <v>971282</v>
      </c>
      <c r="BY49" s="130">
        <f t="shared" ca="1" si="169"/>
        <v>0.97716551355712744</v>
      </c>
      <c r="BZ49" s="91">
        <v>661724</v>
      </c>
      <c r="CA49" s="85">
        <f t="shared" ca="1" si="186"/>
        <v>2733889</v>
      </c>
      <c r="CB49" s="167">
        <f t="shared" ca="1" si="171"/>
        <v>0.24204494037614549</v>
      </c>
      <c r="CC49" s="86">
        <f t="shared" ca="1" si="180"/>
        <v>2661909</v>
      </c>
      <c r="CD49" s="145">
        <f t="shared" ca="1" si="173"/>
        <v>0.97367120610968483</v>
      </c>
      <c r="CE49" s="97">
        <v>969306</v>
      </c>
      <c r="CF49" s="206">
        <f t="shared" ca="1" si="181"/>
        <v>7407455</v>
      </c>
      <c r="CG49" s="201">
        <f t="shared" ca="1" si="175"/>
        <v>0.13085546925361005</v>
      </c>
      <c r="CH49" s="89">
        <f t="shared" ca="1" si="182"/>
        <v>7083781</v>
      </c>
      <c r="CI49" s="145">
        <f t="shared" ca="1" si="176"/>
        <v>0.95630429074493195</v>
      </c>
    </row>
    <row r="50" spans="1:88" s="105" customFormat="1" ht="13.15">
      <c r="A50" s="30" t="s">
        <v>46</v>
      </c>
      <c r="B50" s="285"/>
      <c r="C50" s="83">
        <v>173502</v>
      </c>
      <c r="D50" s="80">
        <f t="shared" ca="1" si="114"/>
        <v>241279</v>
      </c>
      <c r="E50" s="130">
        <f t="shared" ca="1" si="108"/>
        <v>0.7190928344364822</v>
      </c>
      <c r="F50" s="81">
        <f t="shared" ca="1" si="115"/>
        <v>212794</v>
      </c>
      <c r="G50" s="130">
        <f t="shared" ca="1" si="116"/>
        <v>0.88194165260963453</v>
      </c>
      <c r="H50" s="82">
        <v>878096</v>
      </c>
      <c r="I50" s="90">
        <f t="shared" ca="1" si="117"/>
        <v>902447</v>
      </c>
      <c r="J50" s="145">
        <f t="shared" ca="1" si="118"/>
        <v>0.97301669793350742</v>
      </c>
      <c r="K50" s="81">
        <f t="shared" ca="1" si="119"/>
        <v>908073</v>
      </c>
      <c r="L50" s="145">
        <f t="shared" ca="1" si="120"/>
        <v>1.0062341611197112</v>
      </c>
      <c r="M50" s="83">
        <v>508242</v>
      </c>
      <c r="N50" s="80">
        <f t="shared" ca="1" si="121"/>
        <v>525508</v>
      </c>
      <c r="O50" s="130">
        <f t="shared" ca="1" si="122"/>
        <v>0.96714417287653087</v>
      </c>
      <c r="P50" s="81">
        <f t="shared" ca="1" si="123"/>
        <v>526897</v>
      </c>
      <c r="Q50" s="130">
        <f t="shared" ca="1" si="124"/>
        <v>1.0026431567169292</v>
      </c>
      <c r="R50" s="96">
        <v>929162</v>
      </c>
      <c r="S50" s="85">
        <f t="shared" ca="1" si="183"/>
        <v>1669234</v>
      </c>
      <c r="T50" s="167">
        <f t="shared" ca="1" si="126"/>
        <v>0.55663975212582539</v>
      </c>
      <c r="U50" s="86">
        <f t="shared" ca="1" si="177"/>
        <v>1647764</v>
      </c>
      <c r="V50" s="167">
        <f t="shared" ca="1" si="128"/>
        <v>0.98713781291298885</v>
      </c>
      <c r="W50" s="83">
        <v>117370</v>
      </c>
      <c r="X50" s="80">
        <f t="shared" ca="1" si="129"/>
        <v>181104</v>
      </c>
      <c r="Y50" s="130">
        <f t="shared" ca="1" si="109"/>
        <v>0.64808066083576288</v>
      </c>
      <c r="Z50" s="81">
        <f t="shared" ca="1" si="130"/>
        <v>165621</v>
      </c>
      <c r="AA50" s="130">
        <f t="shared" ca="1" si="131"/>
        <v>0.91450768619135969</v>
      </c>
      <c r="AB50" s="82">
        <v>522697</v>
      </c>
      <c r="AC50" s="90">
        <f t="shared" ca="1" si="132"/>
        <v>572030</v>
      </c>
      <c r="AD50" s="145">
        <f t="shared" ca="1" si="133"/>
        <v>0.91375801968428227</v>
      </c>
      <c r="AE50" s="81">
        <f t="shared" ca="1" si="134"/>
        <v>556328</v>
      </c>
      <c r="AF50" s="145">
        <f t="shared" ca="1" si="135"/>
        <v>0.9725503907137738</v>
      </c>
      <c r="AG50" s="83">
        <v>936104</v>
      </c>
      <c r="AH50" s="80">
        <f t="shared" ca="1" si="136"/>
        <v>951128</v>
      </c>
      <c r="AI50" s="130">
        <f t="shared" ca="1" si="137"/>
        <v>0.9842040188071427</v>
      </c>
      <c r="AJ50" s="81">
        <f t="shared" ca="1" si="138"/>
        <v>979843</v>
      </c>
      <c r="AK50" s="130">
        <f t="shared" ca="1" si="139"/>
        <v>1.0301904685804644</v>
      </c>
      <c r="AL50" s="96">
        <v>386726</v>
      </c>
      <c r="AM50" s="85">
        <f t="shared" ca="1" si="184"/>
        <v>1704262</v>
      </c>
      <c r="AN50" s="429">
        <f t="shared" ca="1" si="141"/>
        <v>0.22691698811567704</v>
      </c>
      <c r="AO50" s="86">
        <f t="shared" ca="1" si="178"/>
        <v>1701792</v>
      </c>
      <c r="AP50" s="167">
        <f t="shared" ca="1" si="143"/>
        <v>0.99855069232312876</v>
      </c>
      <c r="AQ50" s="83">
        <v>374810</v>
      </c>
      <c r="AR50" s="80">
        <f t="shared" ca="1" si="144"/>
        <v>394011</v>
      </c>
      <c r="AS50" s="130">
        <f t="shared" ca="1" si="110"/>
        <v>0.95126785800396441</v>
      </c>
      <c r="AT50" s="81">
        <f t="shared" ca="1" si="145"/>
        <v>389022</v>
      </c>
      <c r="AU50" s="130">
        <f t="shared" ca="1" si="146"/>
        <v>0.98733791696170914</v>
      </c>
      <c r="AV50" s="82">
        <v>338281</v>
      </c>
      <c r="AW50" s="90">
        <f t="shared" ca="1" si="147"/>
        <v>416218</v>
      </c>
      <c r="AX50" s="145">
        <f t="shared" ca="1" si="148"/>
        <v>0.81274956873561455</v>
      </c>
      <c r="AY50" s="81">
        <f t="shared" ca="1" si="149"/>
        <v>359120</v>
      </c>
      <c r="AZ50" s="145">
        <f t="shared" ca="1" si="150"/>
        <v>0.86281708143328739</v>
      </c>
      <c r="BA50" s="83">
        <v>138563</v>
      </c>
      <c r="BB50" s="80">
        <f t="shared" ca="1" si="151"/>
        <v>163393</v>
      </c>
      <c r="BC50" s="130">
        <f t="shared" ca="1" si="152"/>
        <v>0.84803510554307715</v>
      </c>
      <c r="BD50" s="81">
        <f t="shared" ca="1" si="153"/>
        <v>149519</v>
      </c>
      <c r="BE50" s="130">
        <f t="shared" ca="1" si="154"/>
        <v>0.9150881616715526</v>
      </c>
      <c r="BF50" s="91">
        <v>238170</v>
      </c>
      <c r="BG50" s="92">
        <f t="shared" ca="1" si="185"/>
        <v>973622</v>
      </c>
      <c r="BH50" s="167">
        <f t="shared" ca="1" si="156"/>
        <v>0.24462265643134604</v>
      </c>
      <c r="BI50" s="86">
        <f t="shared" ca="1" si="179"/>
        <v>897661</v>
      </c>
      <c r="BJ50" s="145">
        <f t="shared" ca="1" si="158"/>
        <v>0.92198101521945885</v>
      </c>
      <c r="BK50" s="83">
        <v>892273</v>
      </c>
      <c r="BL50" s="80">
        <f t="shared" ca="1" si="159"/>
        <v>937877</v>
      </c>
      <c r="BM50" s="130">
        <f t="shared" ca="1" si="111"/>
        <v>0.95137528695127405</v>
      </c>
      <c r="BN50" s="81">
        <f t="shared" ca="1" si="160"/>
        <v>900744</v>
      </c>
      <c r="BO50" s="130">
        <f t="shared" ca="1" si="161"/>
        <v>0.96040738817563498</v>
      </c>
      <c r="BP50" s="82">
        <v>412633</v>
      </c>
      <c r="BQ50" s="90">
        <f t="shared" ca="1" si="162"/>
        <v>461934</v>
      </c>
      <c r="BR50" s="145">
        <f t="shared" ca="1" si="163"/>
        <v>0.89327263202102469</v>
      </c>
      <c r="BS50" s="81">
        <f t="shared" ca="1" si="164"/>
        <v>424766</v>
      </c>
      <c r="BT50" s="145">
        <f t="shared" ca="1" si="165"/>
        <v>0.91953828901964352</v>
      </c>
      <c r="BU50" s="83">
        <v>135041</v>
      </c>
      <c r="BV50" s="80">
        <f t="shared" ca="1" si="166"/>
        <v>153046</v>
      </c>
      <c r="BW50" s="130">
        <f t="shared" ca="1" si="167"/>
        <v>0.88235563164016051</v>
      </c>
      <c r="BX50" s="81">
        <f t="shared" ca="1" si="168"/>
        <v>178242</v>
      </c>
      <c r="BY50" s="130">
        <f t="shared" ca="1" si="169"/>
        <v>1.1646302418880599</v>
      </c>
      <c r="BZ50" s="91">
        <v>851642</v>
      </c>
      <c r="CA50" s="85">
        <f t="shared" ca="1" si="186"/>
        <v>1552857</v>
      </c>
      <c r="CB50" s="167">
        <f t="shared" ca="1" si="171"/>
        <v>0.54843556103363023</v>
      </c>
      <c r="CC50" s="86">
        <f t="shared" ca="1" si="180"/>
        <v>1503752</v>
      </c>
      <c r="CD50" s="145">
        <f t="shared" ca="1" si="173"/>
        <v>0.96837764198506371</v>
      </c>
      <c r="CE50" s="97">
        <v>983378</v>
      </c>
      <c r="CF50" s="206">
        <f t="shared" ca="1" si="181"/>
        <v>5899975</v>
      </c>
      <c r="CG50" s="201">
        <f t="shared" ca="1" si="175"/>
        <v>0.16667494353789636</v>
      </c>
      <c r="CH50" s="89">
        <f t="shared" ca="1" si="182"/>
        <v>5750969</v>
      </c>
      <c r="CI50" s="145">
        <f t="shared" ca="1" si="176"/>
        <v>0.97474463874846928</v>
      </c>
    </row>
    <row r="51" spans="1:88" s="105" customFormat="1" ht="13.15">
      <c r="A51" s="30" t="s">
        <v>48</v>
      </c>
      <c r="B51" s="285"/>
      <c r="C51" s="83">
        <v>479201</v>
      </c>
      <c r="D51" s="80">
        <f t="shared" ca="1" si="114"/>
        <v>544386</v>
      </c>
      <c r="E51" s="130">
        <f t="shared" ca="1" si="108"/>
        <v>0.88025959521369024</v>
      </c>
      <c r="F51" s="81">
        <f t="shared" ca="1" si="115"/>
        <v>516446</v>
      </c>
      <c r="G51" s="130">
        <f t="shared" ca="1" si="116"/>
        <v>0.94867612319199979</v>
      </c>
      <c r="H51" s="82">
        <v>628234</v>
      </c>
      <c r="I51" s="90">
        <f t="shared" ca="1" si="117"/>
        <v>643850</v>
      </c>
      <c r="J51" s="145">
        <f t="shared" ca="1" si="118"/>
        <v>0.97574590354896329</v>
      </c>
      <c r="K51" s="81">
        <f t="shared" ca="1" si="119"/>
        <v>665418</v>
      </c>
      <c r="L51" s="145">
        <f t="shared" ca="1" si="120"/>
        <v>1.0334984856721285</v>
      </c>
      <c r="M51" s="83">
        <v>901527</v>
      </c>
      <c r="N51" s="80">
        <f t="shared" ca="1" si="121"/>
        <v>981180</v>
      </c>
      <c r="O51" s="130">
        <f t="shared" ca="1" si="122"/>
        <v>0.9188191769094356</v>
      </c>
      <c r="P51" s="81">
        <f t="shared" ca="1" si="123"/>
        <v>920594</v>
      </c>
      <c r="Q51" s="130">
        <f t="shared" ca="1" si="124"/>
        <v>0.93825190077253917</v>
      </c>
      <c r="R51" s="96">
        <v>888025</v>
      </c>
      <c r="S51" s="85">
        <f t="shared" ca="1" si="183"/>
        <v>2169416</v>
      </c>
      <c r="T51" s="167">
        <f t="shared" ca="1" si="126"/>
        <v>0.40933827352614716</v>
      </c>
      <c r="U51" s="86">
        <f t="shared" ca="1" si="177"/>
        <v>2102458</v>
      </c>
      <c r="V51" s="167">
        <f t="shared" ca="1" si="128"/>
        <v>0.96913547240363307</v>
      </c>
      <c r="W51" s="83">
        <v>338448</v>
      </c>
      <c r="X51" s="80">
        <f t="shared" ca="1" si="129"/>
        <v>367757</v>
      </c>
      <c r="Y51" s="130">
        <f t="shared" ca="1" si="109"/>
        <v>0.92030335248547279</v>
      </c>
      <c r="Z51" s="81">
        <f t="shared" ca="1" si="130"/>
        <v>355625</v>
      </c>
      <c r="AA51" s="130">
        <f t="shared" ca="1" si="131"/>
        <v>0.96701082508286718</v>
      </c>
      <c r="AB51" s="82">
        <v>492849</v>
      </c>
      <c r="AC51" s="90">
        <f t="shared" ca="1" si="132"/>
        <v>523127</v>
      </c>
      <c r="AD51" s="145">
        <f t="shared" ca="1" si="133"/>
        <v>0.94212112928600511</v>
      </c>
      <c r="AE51" s="81">
        <f t="shared" ca="1" si="134"/>
        <v>514672</v>
      </c>
      <c r="AF51" s="145">
        <f t="shared" ca="1" si="135"/>
        <v>0.9838375767261105</v>
      </c>
      <c r="AG51" s="83">
        <v>309416</v>
      </c>
      <c r="AH51" s="80">
        <f t="shared" ca="1" si="136"/>
        <v>360161</v>
      </c>
      <c r="AI51" s="130">
        <f t="shared" ca="1" si="137"/>
        <v>0.85910467818558922</v>
      </c>
      <c r="AJ51" s="81">
        <f t="shared" ca="1" si="138"/>
        <v>352231</v>
      </c>
      <c r="AK51" s="130">
        <f t="shared" ca="1" si="139"/>
        <v>0.97798206913019459</v>
      </c>
      <c r="AL51" s="96">
        <v>357930</v>
      </c>
      <c r="AM51" s="85">
        <f t="shared" ca="1" si="184"/>
        <v>1251045</v>
      </c>
      <c r="AN51" s="429">
        <f t="shared" ca="1" si="141"/>
        <v>0.28610481637351176</v>
      </c>
      <c r="AO51" s="86">
        <f t="shared" ca="1" si="178"/>
        <v>1222528</v>
      </c>
      <c r="AP51" s="167">
        <f t="shared" ca="1" si="143"/>
        <v>0.97720545623858457</v>
      </c>
      <c r="AQ51" s="83">
        <v>809959</v>
      </c>
      <c r="AR51" s="80">
        <f t="shared" ca="1" si="144"/>
        <v>845895</v>
      </c>
      <c r="AS51" s="130">
        <f t="shared" ca="1" si="110"/>
        <v>0.95751718593915325</v>
      </c>
      <c r="AT51" s="81">
        <f t="shared" ca="1" si="145"/>
        <v>819656</v>
      </c>
      <c r="AU51" s="130">
        <f t="shared" ca="1" si="146"/>
        <v>0.96898078366700358</v>
      </c>
      <c r="AV51" s="82">
        <v>912392</v>
      </c>
      <c r="AW51" s="90">
        <f t="shared" ca="1" si="147"/>
        <v>999372</v>
      </c>
      <c r="AX51" s="145">
        <f t="shared" ca="1" si="148"/>
        <v>0.91296534223492354</v>
      </c>
      <c r="AY51" s="81">
        <f t="shared" ca="1" si="149"/>
        <v>956937</v>
      </c>
      <c r="AZ51" s="145">
        <f t="shared" ca="1" si="150"/>
        <v>0.95753833407379829</v>
      </c>
      <c r="BA51" s="83">
        <v>235085</v>
      </c>
      <c r="BB51" s="80">
        <f t="shared" ca="1" si="151"/>
        <v>273459</v>
      </c>
      <c r="BC51" s="130">
        <f t="shared" ca="1" si="152"/>
        <v>0.85967183380323919</v>
      </c>
      <c r="BD51" s="81">
        <f t="shared" ca="1" si="153"/>
        <v>242034</v>
      </c>
      <c r="BE51" s="130">
        <f t="shared" ca="1" si="154"/>
        <v>0.88508332144855351</v>
      </c>
      <c r="BF51" s="91">
        <v>276035</v>
      </c>
      <c r="BG51" s="92">
        <f t="shared" ca="1" si="185"/>
        <v>2118726</v>
      </c>
      <c r="BH51" s="167">
        <f t="shared" ca="1" si="156"/>
        <v>0.13028348167719658</v>
      </c>
      <c r="BI51" s="86">
        <f t="shared" ca="1" si="179"/>
        <v>2018627</v>
      </c>
      <c r="BJ51" s="145">
        <f t="shared" ca="1" si="158"/>
        <v>0.95275509905480937</v>
      </c>
      <c r="BK51" s="83">
        <v>700307</v>
      </c>
      <c r="BL51" s="80">
        <f t="shared" ca="1" si="159"/>
        <v>736168</v>
      </c>
      <c r="BM51" s="130">
        <f t="shared" ca="1" si="111"/>
        <v>0.95128693450408064</v>
      </c>
      <c r="BN51" s="81">
        <f t="shared" ca="1" si="160"/>
        <v>741920</v>
      </c>
      <c r="BO51" s="130">
        <f t="shared" ca="1" si="161"/>
        <v>1.0078134338900904</v>
      </c>
      <c r="BP51" s="82">
        <v>507301</v>
      </c>
      <c r="BQ51" s="90">
        <f t="shared" ca="1" si="162"/>
        <v>541126</v>
      </c>
      <c r="BR51" s="145">
        <f t="shared" ca="1" si="163"/>
        <v>0.9374914530072479</v>
      </c>
      <c r="BS51" s="81">
        <f t="shared" ca="1" si="164"/>
        <v>530669</v>
      </c>
      <c r="BT51" s="145">
        <f t="shared" ca="1" si="165"/>
        <v>0.98067548038719266</v>
      </c>
      <c r="BU51" s="83">
        <v>762585</v>
      </c>
      <c r="BV51" s="80">
        <f t="shared" ca="1" si="166"/>
        <v>790739</v>
      </c>
      <c r="BW51" s="130">
        <f t="shared" ca="1" si="167"/>
        <v>0.96439533145576484</v>
      </c>
      <c r="BX51" s="81">
        <f t="shared" ca="1" si="168"/>
        <v>804168</v>
      </c>
      <c r="BY51" s="130">
        <f t="shared" ca="1" si="169"/>
        <v>1.016982847690578</v>
      </c>
      <c r="BZ51" s="91">
        <v>960994</v>
      </c>
      <c r="CA51" s="85">
        <f t="shared" ca="1" si="186"/>
        <v>2068033</v>
      </c>
      <c r="CB51" s="167">
        <f t="shared" ca="1" si="171"/>
        <v>0.46468987680564089</v>
      </c>
      <c r="CC51" s="86">
        <f t="shared" ca="1" si="180"/>
        <v>2076757</v>
      </c>
      <c r="CD51" s="145">
        <f t="shared" ca="1" si="173"/>
        <v>1.0042185013488663</v>
      </c>
      <c r="CE51" s="97">
        <v>947584</v>
      </c>
      <c r="CF51" s="206">
        <f t="shared" ca="1" si="181"/>
        <v>7607220</v>
      </c>
      <c r="CG51" s="201">
        <f t="shared" ca="1" si="175"/>
        <v>0.12456376968196003</v>
      </c>
      <c r="CH51" s="89">
        <f t="shared" ca="1" si="182"/>
        <v>7420370</v>
      </c>
      <c r="CI51" s="145">
        <f t="shared" ca="1" si="176"/>
        <v>0.97543780776683209</v>
      </c>
    </row>
    <row r="52" spans="1:88" s="7" customFormat="1" ht="13.15">
      <c r="A52" s="591" t="s">
        <v>49</v>
      </c>
      <c r="B52" s="573"/>
      <c r="C52" s="592">
        <v>442616</v>
      </c>
      <c r="D52" s="80">
        <f t="shared" ca="1" si="114"/>
        <v>536847</v>
      </c>
      <c r="E52" s="593">
        <f t="shared" ca="1" si="108"/>
        <v>0.82447326705746704</v>
      </c>
      <c r="F52" s="81">
        <f t="shared" ca="1" si="115"/>
        <v>466930</v>
      </c>
      <c r="G52" s="593">
        <f t="shared" ca="1" si="116"/>
        <v>0.86976363842957116</v>
      </c>
      <c r="H52" s="594">
        <v>670041</v>
      </c>
      <c r="I52" s="90">
        <f t="shared" ca="1" si="117"/>
        <v>740439</v>
      </c>
      <c r="J52" s="578">
        <f t="shared" ca="1" si="118"/>
        <v>0.90492397077949704</v>
      </c>
      <c r="K52" s="81">
        <f t="shared" ca="1" si="119"/>
        <v>703858</v>
      </c>
      <c r="L52" s="578">
        <f t="shared" ca="1" si="120"/>
        <v>0.95059552508714429</v>
      </c>
      <c r="M52" s="592">
        <v>900639</v>
      </c>
      <c r="N52" s="80">
        <f t="shared" ca="1" si="121"/>
        <v>997325</v>
      </c>
      <c r="O52" s="593">
        <f t="shared" ca="1" si="122"/>
        <v>0.90305467124558192</v>
      </c>
      <c r="P52" s="81">
        <f t="shared" ca="1" si="123"/>
        <v>940360</v>
      </c>
      <c r="Q52" s="593">
        <f t="shared" ca="1" si="124"/>
        <v>0.94288220991151328</v>
      </c>
      <c r="R52" s="37">
        <v>556426</v>
      </c>
      <c r="S52" s="595">
        <f t="shared" ca="1" si="183"/>
        <v>2274611</v>
      </c>
      <c r="T52" s="585">
        <f t="shared" ca="1" si="126"/>
        <v>0.24462468527585596</v>
      </c>
      <c r="U52" s="584">
        <f t="shared" ref="U52:U53" ca="1" si="187">F52+K52+P52</f>
        <v>2111148</v>
      </c>
      <c r="V52" s="585">
        <f t="shared" ca="1" si="128"/>
        <v>0.92813584388715253</v>
      </c>
      <c r="W52" s="592">
        <v>864699</v>
      </c>
      <c r="X52" s="80">
        <f t="shared" ca="1" si="129"/>
        <v>921146</v>
      </c>
      <c r="Y52" s="593">
        <f t="shared" ca="1" si="109"/>
        <v>0.93872089766443101</v>
      </c>
      <c r="Z52" s="81">
        <f t="shared" ca="1" si="130"/>
        <v>879147</v>
      </c>
      <c r="AA52" s="593">
        <f t="shared" ca="1" si="131"/>
        <v>0.95440570767283361</v>
      </c>
      <c r="AB52" s="594">
        <v>755781</v>
      </c>
      <c r="AC52" s="90">
        <f t="shared" ca="1" si="132"/>
        <v>767577</v>
      </c>
      <c r="AD52" s="578">
        <f t="shared" ca="1" si="133"/>
        <v>0.98463216068225079</v>
      </c>
      <c r="AE52" s="81">
        <f t="shared" ca="1" si="134"/>
        <v>786655</v>
      </c>
      <c r="AF52" s="578">
        <f t="shared" ca="1" si="135"/>
        <v>1.0248548354106493</v>
      </c>
      <c r="AG52" s="592">
        <v>132508</v>
      </c>
      <c r="AH52" s="80">
        <f t="shared" ca="1" si="136"/>
        <v>148379</v>
      </c>
      <c r="AI52" s="593">
        <f t="shared" ca="1" si="137"/>
        <v>0.89303742443337664</v>
      </c>
      <c r="AJ52" s="81">
        <f t="shared" ca="1" si="138"/>
        <v>138922</v>
      </c>
      <c r="AK52" s="593">
        <f t="shared" ca="1" si="139"/>
        <v>0.93626456574043493</v>
      </c>
      <c r="AL52" s="37">
        <v>515379</v>
      </c>
      <c r="AM52" s="595">
        <f t="shared" ca="1" si="184"/>
        <v>1837102</v>
      </c>
      <c r="AN52" s="596">
        <f t="shared" ca="1" si="141"/>
        <v>0.280539131741188</v>
      </c>
      <c r="AO52" s="584">
        <f t="shared" ref="AO52:AO53" ca="1" si="188">Z52+AE52+AJ52</f>
        <v>1804724</v>
      </c>
      <c r="AP52" s="585">
        <f t="shared" ca="1" si="143"/>
        <v>0.98237550228566517</v>
      </c>
      <c r="AQ52" s="592">
        <v>123358</v>
      </c>
      <c r="AR52" s="80">
        <f t="shared" ca="1" si="144"/>
        <v>218782</v>
      </c>
      <c r="AS52" s="593">
        <f t="shared" ca="1" si="110"/>
        <v>0.56383980400581402</v>
      </c>
      <c r="AT52" s="81">
        <f t="shared" ca="1" si="145"/>
        <v>143084</v>
      </c>
      <c r="AU52" s="593">
        <f t="shared" ca="1" si="146"/>
        <v>0.65400261447468255</v>
      </c>
      <c r="AV52" s="594">
        <v>181374</v>
      </c>
      <c r="AW52" s="90">
        <f t="shared" ca="1" si="147"/>
        <v>273098</v>
      </c>
      <c r="AX52" s="578">
        <f t="shared" ca="1" si="148"/>
        <v>0.66413521885916416</v>
      </c>
      <c r="AY52" s="81">
        <f t="shared" ca="1" si="149"/>
        <v>196852</v>
      </c>
      <c r="AZ52" s="578">
        <f t="shared" ca="1" si="150"/>
        <v>0.72081084445876575</v>
      </c>
      <c r="BA52" s="592">
        <v>110786</v>
      </c>
      <c r="BB52" s="80">
        <f t="shared" ca="1" si="151"/>
        <v>135315</v>
      </c>
      <c r="BC52" s="593">
        <f t="shared" ca="1" si="152"/>
        <v>0.81872667479584671</v>
      </c>
      <c r="BD52" s="81">
        <f t="shared" ca="1" si="153"/>
        <v>158674</v>
      </c>
      <c r="BE52" s="593">
        <f t="shared" ca="1" si="154"/>
        <v>1.1726268336843662</v>
      </c>
      <c r="BF52" s="597">
        <v>902656</v>
      </c>
      <c r="BG52" s="598">
        <f t="shared" ca="1" si="185"/>
        <v>627195</v>
      </c>
      <c r="BH52" s="585">
        <f t="shared" ca="1" si="156"/>
        <v>1.4391951466449828</v>
      </c>
      <c r="BI52" s="584">
        <f t="shared" ref="BI52:BI53" ca="1" si="189">AT52+AY52+BD52</f>
        <v>498610</v>
      </c>
      <c r="BJ52" s="578">
        <f t="shared" ca="1" si="158"/>
        <v>0.79498401613533276</v>
      </c>
      <c r="BK52" s="592">
        <v>151015</v>
      </c>
      <c r="BL52" s="80">
        <f t="shared" ca="1" si="159"/>
        <v>205985</v>
      </c>
      <c r="BM52" s="593">
        <f t="shared" ca="1" si="111"/>
        <v>0.73313590795446271</v>
      </c>
      <c r="BN52" s="81">
        <f t="shared" ca="1" si="160"/>
        <v>186204</v>
      </c>
      <c r="BO52" s="593">
        <f t="shared" ca="1" si="161"/>
        <v>0.90396873558754276</v>
      </c>
      <c r="BP52" s="594">
        <v>301144</v>
      </c>
      <c r="BQ52" s="90">
        <f t="shared" ca="1" si="162"/>
        <v>389925</v>
      </c>
      <c r="BR52" s="578">
        <f t="shared" ca="1" si="163"/>
        <v>0.77231262422260694</v>
      </c>
      <c r="BS52" s="81">
        <f t="shared" ca="1" si="164"/>
        <v>328949</v>
      </c>
      <c r="BT52" s="578">
        <f t="shared" ca="1" si="165"/>
        <v>0.84362120920689876</v>
      </c>
      <c r="BU52" s="592">
        <v>955212</v>
      </c>
      <c r="BV52" s="80">
        <f t="shared" ca="1" si="166"/>
        <v>1031941</v>
      </c>
      <c r="BW52" s="593">
        <f t="shared" ca="1" si="167"/>
        <v>0.92564594293666014</v>
      </c>
      <c r="BX52" s="81">
        <f t="shared" ca="1" si="168"/>
        <v>969189</v>
      </c>
      <c r="BY52" s="593">
        <f t="shared" ca="1" si="169"/>
        <v>0.93919032192731944</v>
      </c>
      <c r="BZ52" s="597">
        <v>278822</v>
      </c>
      <c r="CA52" s="595">
        <f t="shared" ca="1" si="186"/>
        <v>1627851</v>
      </c>
      <c r="CB52" s="585">
        <f t="shared" ca="1" si="171"/>
        <v>0.17128226109146352</v>
      </c>
      <c r="CC52" s="46">
        <f t="shared" ref="CC52:CC53" ca="1" si="190">BN52+BS52+BX52</f>
        <v>1484342</v>
      </c>
      <c r="CD52" s="578">
        <f t="shared" ca="1" si="173"/>
        <v>0.91184144003351653</v>
      </c>
      <c r="CE52" s="600">
        <v>402394</v>
      </c>
      <c r="CF52" s="601">
        <f t="shared" ca="1" si="181"/>
        <v>6366759</v>
      </c>
      <c r="CG52" s="599">
        <f t="shared" ca="1" si="175"/>
        <v>6.3202329474069938E-2</v>
      </c>
      <c r="CH52" s="622">
        <f t="shared" ref="CH52:CH53" ca="1" si="191">AO52+BI52+CC52+U52</f>
        <v>5898824</v>
      </c>
      <c r="CI52" s="578">
        <f t="shared" ca="1" si="176"/>
        <v>0.92650342191372403</v>
      </c>
    </row>
    <row r="53" spans="1:88" s="7" customFormat="1" ht="13.15">
      <c r="A53" s="590" t="s">
        <v>52</v>
      </c>
      <c r="B53" s="573"/>
      <c r="C53" s="602">
        <v>475266</v>
      </c>
      <c r="D53" s="80">
        <f t="shared" ca="1" si="114"/>
        <v>502042</v>
      </c>
      <c r="E53" s="593">
        <f t="shared" ca="1" si="108"/>
        <v>0.94666581680417172</v>
      </c>
      <c r="F53" s="81">
        <f t="shared" ca="1" si="115"/>
        <v>502028</v>
      </c>
      <c r="G53" s="593">
        <f t="shared" ca="1" si="116"/>
        <v>0.999972113886886</v>
      </c>
      <c r="H53" s="603">
        <v>399410</v>
      </c>
      <c r="I53" s="90">
        <f t="shared" ca="1" si="117"/>
        <v>452036</v>
      </c>
      <c r="J53" s="578">
        <f t="shared" ca="1" si="118"/>
        <v>0.88358006884407436</v>
      </c>
      <c r="K53" s="81">
        <f t="shared" ca="1" si="119"/>
        <v>423072</v>
      </c>
      <c r="L53" s="578">
        <f t="shared" ca="1" si="120"/>
        <v>0.93592545726446563</v>
      </c>
      <c r="M53" s="602">
        <v>769378</v>
      </c>
      <c r="N53" s="80">
        <f t="shared" ca="1" si="121"/>
        <v>779615</v>
      </c>
      <c r="O53" s="593">
        <f t="shared" ca="1" si="122"/>
        <v>0.98686915977758249</v>
      </c>
      <c r="P53" s="81">
        <f t="shared" ca="1" si="123"/>
        <v>786165</v>
      </c>
      <c r="Q53" s="593">
        <f t="shared" ca="1" si="124"/>
        <v>1.0084015828325519</v>
      </c>
      <c r="R53" s="37">
        <v>486059</v>
      </c>
      <c r="S53" s="595">
        <f t="shared" ref="S53" ca="1" si="192">D53+I53+N53</f>
        <v>1733693</v>
      </c>
      <c r="T53" s="585">
        <f t="shared" ca="1" si="126"/>
        <v>0.28036047904675165</v>
      </c>
      <c r="U53" s="584">
        <f t="shared" ca="1" si="187"/>
        <v>1711265</v>
      </c>
      <c r="V53" s="585">
        <f t="shared" ca="1" si="128"/>
        <v>0.9870634535641547</v>
      </c>
      <c r="W53" s="602">
        <v>853330</v>
      </c>
      <c r="X53" s="80">
        <f t="shared" ca="1" si="129"/>
        <v>902113</v>
      </c>
      <c r="Y53" s="593">
        <f t="shared" ca="1" si="109"/>
        <v>0.94592362597590329</v>
      </c>
      <c r="Z53" s="81">
        <f t="shared" ca="1" si="130"/>
        <v>858711</v>
      </c>
      <c r="AA53" s="593">
        <f t="shared" ca="1" si="131"/>
        <v>0.95188851064112812</v>
      </c>
      <c r="AB53" s="603"/>
      <c r="AC53" s="90">
        <f t="shared" ca="1" si="132"/>
        <v>14645</v>
      </c>
      <c r="AD53" s="578">
        <f t="shared" ca="1" si="133"/>
        <v>0</v>
      </c>
      <c r="AE53" s="81">
        <f t="shared" ca="1" si="134"/>
        <v>42001</v>
      </c>
      <c r="AF53" s="578">
        <f t="shared" ca="1" si="135"/>
        <v>2.8679412768863095</v>
      </c>
      <c r="AG53" s="602"/>
      <c r="AH53" s="80">
        <f t="shared" ca="1" si="136"/>
        <v>68625</v>
      </c>
      <c r="AI53" s="593">
        <f t="shared" ca="1" si="137"/>
        <v>0</v>
      </c>
      <c r="AJ53" s="81">
        <f t="shared" ca="1" si="138"/>
        <v>45615</v>
      </c>
      <c r="AK53" s="593">
        <f t="shared" ca="1" si="139"/>
        <v>0.66469945355191262</v>
      </c>
      <c r="AL53" s="37">
        <v>611740</v>
      </c>
      <c r="AM53" s="595">
        <f t="shared" ca="1" si="184"/>
        <v>985383</v>
      </c>
      <c r="AN53" s="596">
        <f t="shared" ca="1" si="141"/>
        <v>0.62081444473874625</v>
      </c>
      <c r="AO53" s="584">
        <f t="shared" ca="1" si="188"/>
        <v>946327</v>
      </c>
      <c r="AP53" s="585">
        <f t="shared" ca="1" si="143"/>
        <v>0.96036465009037097</v>
      </c>
      <c r="AQ53" s="602"/>
      <c r="AR53" s="80">
        <f t="shared" ca="1" si="144"/>
        <v>54954</v>
      </c>
      <c r="AS53" s="593">
        <f t="shared" ca="1" si="110"/>
        <v>0</v>
      </c>
      <c r="AT53" s="81">
        <f t="shared" ca="1" si="145"/>
        <v>25511</v>
      </c>
      <c r="AU53" s="593">
        <f t="shared" ca="1" si="146"/>
        <v>0.46422462423117516</v>
      </c>
      <c r="AV53" s="603"/>
      <c r="AW53" s="90">
        <f t="shared" ca="1" si="147"/>
        <v>44773</v>
      </c>
      <c r="AX53" s="578">
        <f t="shared" ca="1" si="148"/>
        <v>0</v>
      </c>
      <c r="AY53" s="81">
        <f t="shared" ca="1" si="149"/>
        <v>13888</v>
      </c>
      <c r="AZ53" s="578">
        <f t="shared" ca="1" si="150"/>
        <v>0.31018694302369731</v>
      </c>
      <c r="BA53" s="602"/>
      <c r="BB53" s="80">
        <f t="shared" ca="1" si="151"/>
        <v>15132</v>
      </c>
      <c r="BC53" s="593">
        <f t="shared" ca="1" si="152"/>
        <v>0</v>
      </c>
      <c r="BD53" s="81">
        <f t="shared" ca="1" si="153"/>
        <v>16881</v>
      </c>
      <c r="BE53" s="593">
        <f t="shared" ca="1" si="154"/>
        <v>1.1155828707375099</v>
      </c>
      <c r="BF53" s="597"/>
      <c r="BG53" s="598">
        <f t="shared" ca="1" si="185"/>
        <v>114859</v>
      </c>
      <c r="BH53" s="585">
        <f t="shared" ca="1" si="156"/>
        <v>0</v>
      </c>
      <c r="BI53" s="584">
        <f t="shared" ca="1" si="189"/>
        <v>56280</v>
      </c>
      <c r="BJ53" s="578">
        <f t="shared" ca="1" si="158"/>
        <v>0.48999207724253213</v>
      </c>
      <c r="BK53" s="602"/>
      <c r="BL53" s="80">
        <f t="shared" ca="1" si="159"/>
        <v>73490</v>
      </c>
      <c r="BM53" s="593">
        <f t="shared" ca="1" si="111"/>
        <v>0</v>
      </c>
      <c r="BN53" s="81">
        <f t="shared" ca="1" si="160"/>
        <v>11738</v>
      </c>
      <c r="BO53" s="593">
        <f t="shared" ca="1" si="161"/>
        <v>0.15972241121240985</v>
      </c>
      <c r="BP53" s="603"/>
      <c r="BQ53" s="90">
        <f t="shared" ca="1" si="162"/>
        <v>69842</v>
      </c>
      <c r="BR53" s="578">
        <f t="shared" ca="1" si="163"/>
        <v>0</v>
      </c>
      <c r="BS53" s="81">
        <f t="shared" ca="1" si="164"/>
        <v>43744</v>
      </c>
      <c r="BT53" s="578">
        <f t="shared" ca="1" si="165"/>
        <v>0.62632799748002632</v>
      </c>
      <c r="BU53" s="602"/>
      <c r="BV53" s="80">
        <f t="shared" ca="1" si="166"/>
        <v>79531</v>
      </c>
      <c r="BW53" s="593">
        <f t="shared" ca="1" si="167"/>
        <v>0</v>
      </c>
      <c r="BX53" s="81">
        <f t="shared" ca="1" si="168"/>
        <v>10590</v>
      </c>
      <c r="BY53" s="593">
        <f t="shared" ca="1" si="169"/>
        <v>0.13315562485068716</v>
      </c>
      <c r="BZ53" s="597"/>
      <c r="CA53" s="595">
        <f t="shared" ca="1" si="186"/>
        <v>222863</v>
      </c>
      <c r="CB53" s="585">
        <f t="shared" ca="1" si="171"/>
        <v>0</v>
      </c>
      <c r="CC53" s="46">
        <f t="shared" ca="1" si="190"/>
        <v>66072</v>
      </c>
      <c r="CD53" s="578">
        <f t="shared" ca="1" si="173"/>
        <v>0.29646913126001173</v>
      </c>
      <c r="CE53" s="600">
        <v>165312</v>
      </c>
      <c r="CF53" s="601">
        <f t="shared" ca="1" si="181"/>
        <v>3056798</v>
      </c>
      <c r="CG53" s="599">
        <f t="shared" ca="1" si="175"/>
        <v>5.4080119131195453E-2</v>
      </c>
      <c r="CH53" s="622">
        <f t="shared" ca="1" si="191"/>
        <v>2779944</v>
      </c>
      <c r="CI53" s="578">
        <f t="shared" ca="1" si="176"/>
        <v>0.9094300637464432</v>
      </c>
    </row>
    <row r="54" spans="1:88" s="272" customFormat="1" ht="13.5" thickBot="1">
      <c r="A54" s="266"/>
      <c r="B54" s="286"/>
      <c r="C54" s="265">
        <f>IFERROR(SUM(C41,C45:C53),0)</f>
        <v>6853953</v>
      </c>
      <c r="D54" s="265">
        <f ca="1">IFERROR(SUM(D41,D45:D53),0)</f>
        <v>7516038</v>
      </c>
      <c r="E54" s="267">
        <f ca="1">IFERROR(C54/D54,"")</f>
        <v>0.91191037086294668</v>
      </c>
      <c r="F54" s="268">
        <f ca="1">SUM(F41,F45:F53)</f>
        <v>7166311</v>
      </c>
      <c r="G54" s="269">
        <f ca="1">IFERROR(F54/D54,"")</f>
        <v>0.95346923472180423</v>
      </c>
      <c r="H54" s="264">
        <f>IFERROR(SUM(H41,H45:H53),0)</f>
        <v>8304615</v>
      </c>
      <c r="I54" s="265">
        <f ca="1">IFERROR(SUM(I41,I45:I53),0)</f>
        <v>8733774</v>
      </c>
      <c r="J54" s="267">
        <f ca="1">IFERROR(H54/I54,0)</f>
        <v>0.95086213588764723</v>
      </c>
      <c r="K54" s="268">
        <f ca="1">IFERROR(SUM(K41,K45:K53),0)</f>
        <v>8615884</v>
      </c>
      <c r="L54" s="269">
        <f ca="1">IFERROR(K54/I54,0)</f>
        <v>0.98650182612923121</v>
      </c>
      <c r="M54" s="264">
        <f>IFERROR(SUM(M41,M45:M53),0)</f>
        <v>8226785</v>
      </c>
      <c r="N54" s="265">
        <f ca="1">IFERROR(SUM(N41,N45:N53),0)</f>
        <v>8758485</v>
      </c>
      <c r="O54" s="267">
        <f ca="1">IFERROR(M54/N54,0)</f>
        <v>0.93929315401008284</v>
      </c>
      <c r="P54" s="268">
        <f ca="1">IFERROR(SUM(P41,P45:P53),0)</f>
        <v>8497705</v>
      </c>
      <c r="Q54" s="269">
        <f ca="1">IFERROR(P54/N54,0)</f>
        <v>0.97022544424064205</v>
      </c>
      <c r="R54" s="264">
        <f>SUM(R41,(R45:R53))</f>
        <v>7187950</v>
      </c>
      <c r="S54" s="265">
        <f ca="1">SUM(S41,S45:S53)</f>
        <v>25008297</v>
      </c>
      <c r="T54" s="267">
        <f ca="1">IFERROR(R54/S54,0)</f>
        <v>0.28742261018413207</v>
      </c>
      <c r="U54" s="268">
        <f ca="1">SUM(U41,U45:U53)</f>
        <v>24279900</v>
      </c>
      <c r="V54" s="269">
        <f ca="1">IFERROR(U54/S54,0)</f>
        <v>0.970873786407767</v>
      </c>
      <c r="W54" s="264">
        <f>IFERROR(SUM(W41,W45:W53),0)</f>
        <v>5632132</v>
      </c>
      <c r="X54" s="265">
        <f ca="1">SUM(X41,X45:X53)</f>
        <v>6274624</v>
      </c>
      <c r="Y54" s="426">
        <f ca="1">IFERROR(W54/X54,0)</f>
        <v>0.89760470109444013</v>
      </c>
      <c r="Z54" s="268">
        <f ca="1">SUM(Z41,Z45:Z53)</f>
        <v>5896560</v>
      </c>
      <c r="AA54" s="270">
        <f ca="1">IFERROR(Z54/X54,0)</f>
        <v>0.93974714660193182</v>
      </c>
      <c r="AB54" s="264">
        <f>IFERROR(SUM(AB41,AB45:AB53),0)</f>
        <v>5628302</v>
      </c>
      <c r="AC54" s="265">
        <f ca="1">SUM(AC41,AC45:AC53)</f>
        <v>6018463</v>
      </c>
      <c r="AD54" s="426">
        <f ca="1">IFERROR(AB54/AC54,0)</f>
        <v>0.93517265122341031</v>
      </c>
      <c r="AE54" s="268">
        <f ca="1">IFERROR(SUM(AE41,AE45:AE53),0)</f>
        <v>5961251</v>
      </c>
      <c r="AF54" s="270">
        <f ca="1">IFERROR(AE54/AC54,0)</f>
        <v>0.99049391846390011</v>
      </c>
      <c r="AG54" s="264">
        <f>IFERROR(SUM(AG41,AG45:AG53),0)</f>
        <v>5206123</v>
      </c>
      <c r="AH54" s="265">
        <f ca="1">SUM(AH41,AH45:AH53)</f>
        <v>5777349</v>
      </c>
      <c r="AI54" s="426">
        <f ca="1">IFERROR(AG54/AH54,0)</f>
        <v>0.90112662399311516</v>
      </c>
      <c r="AJ54" s="268">
        <f ca="1">SUM(AJ41,AJ45:AJ53)</f>
        <v>5495318</v>
      </c>
      <c r="AK54" s="270">
        <f ca="1">IFERROR(AJ54/AH54,0)</f>
        <v>0.9511833195467333</v>
      </c>
      <c r="AL54" s="264">
        <f>SUM(AL41,(AL45:AL53))</f>
        <v>7880672</v>
      </c>
      <c r="AM54" s="265">
        <f ca="1">SUM(AM41,AM45:AM53)</f>
        <v>18070436</v>
      </c>
      <c r="AN54" s="426">
        <f ca="1">IFERROR(AL54/AM54,0)</f>
        <v>0.43610856982089419</v>
      </c>
      <c r="AO54" s="268">
        <f ca="1">SUM(AO41,AO45:AO53)</f>
        <v>17353129</v>
      </c>
      <c r="AP54" s="270">
        <f ca="1">IFERROR(AO54/AM54,0)</f>
        <v>0.96030494228252161</v>
      </c>
      <c r="AQ54" s="264">
        <f>IFERROR(SUM(AQ41,AQ45:AQ53),0)</f>
        <v>4473398</v>
      </c>
      <c r="AR54" s="265">
        <f ca="1">SUM(AR41,AR45:AR53)</f>
        <v>4933775</v>
      </c>
      <c r="AS54" s="267">
        <f ca="1">IFERROR(AQ54/AR54,0)</f>
        <v>0.90668869172185595</v>
      </c>
      <c r="AT54" s="268">
        <f ca="1">SUM(AT41,AT45:AT53)</f>
        <v>4645866</v>
      </c>
      <c r="AU54" s="269">
        <f ca="1">IFERROR(AT54/AR54,0)</f>
        <v>0.94164529189109758</v>
      </c>
      <c r="AV54" s="264">
        <f>IFERROR(SUM(AV41,AV45:AV53),0)</f>
        <v>4449868</v>
      </c>
      <c r="AW54" s="265">
        <f ca="1">SUM(AW41,AW45:AW53)</f>
        <v>5017994</v>
      </c>
      <c r="AX54" s="267">
        <f ca="1">IFERROR(AV54/AW54,0)</f>
        <v>0.88678224804573302</v>
      </c>
      <c r="AY54" s="268">
        <f ca="1">SUM(AY41,AY45:AY53)</f>
        <v>4723621</v>
      </c>
      <c r="AZ54" s="269">
        <f ca="1">IFERROR(AY54/AW54,0)</f>
        <v>0.94133651813852304</v>
      </c>
      <c r="BA54" s="264">
        <f>IFERROR(SUM(BA41,BA45:BA53),0)</f>
        <v>4415685</v>
      </c>
      <c r="BB54" s="265">
        <f ca="1">SUM(BB41,BB45:BB53)</f>
        <v>4952665</v>
      </c>
      <c r="BC54" s="267">
        <f ca="1">IFERROR(BA54/BB54,0)</f>
        <v>0.89157756480601857</v>
      </c>
      <c r="BD54" s="268">
        <f ca="1">SUM(BD41,BD45:BD53)</f>
        <v>4680572</v>
      </c>
      <c r="BE54" s="269">
        <f ca="1">IFERROR(BD54/BB54,0)</f>
        <v>0.94506129528243887</v>
      </c>
      <c r="BF54" s="264">
        <f>SUM(BF41,(BF45:BF53))</f>
        <v>5878085</v>
      </c>
      <c r="BG54" s="265">
        <f ca="1">SUM(BG41,BG45:BG53)</f>
        <v>14904434</v>
      </c>
      <c r="BH54" s="267">
        <f ca="1">IFERROR(BF54/BG54,0)</f>
        <v>0.39438498637385355</v>
      </c>
      <c r="BI54" s="268">
        <f ca="1">SUM(BI41,BI45:BI53)</f>
        <v>14050059</v>
      </c>
      <c r="BJ54" s="269">
        <f ca="1">IFERROR(BI54/BG54,0)</f>
        <v>0.94267645453695192</v>
      </c>
      <c r="BK54" s="264">
        <f>IFERROR(SUM(BK41,BK45:BK53),0)</f>
        <v>4685297</v>
      </c>
      <c r="BL54" s="265">
        <f ca="1">SUM(BL41,BL45:BL53)</f>
        <v>5315307</v>
      </c>
      <c r="BM54" s="267">
        <f ca="1">IFERROR(BK54/BL54,0)</f>
        <v>0.88147250949004452</v>
      </c>
      <c r="BN54" s="268">
        <f ca="1">SUM(BN41,BN45:BN53)</f>
        <v>4978897</v>
      </c>
      <c r="BO54" s="269">
        <f ca="1">IFERROR(BN54/BL54,0)</f>
        <v>0.93670920607219865</v>
      </c>
      <c r="BP54" s="264">
        <f>IFERROR(SUM(BP41,BP45:BP53),0)</f>
        <v>6108320</v>
      </c>
      <c r="BQ54" s="265">
        <f ca="1">SUM(BQ41,BQ45:BQ53)</f>
        <v>6621172</v>
      </c>
      <c r="BR54" s="267">
        <f ca="1">IFERROR(BP54/BQ54,0)</f>
        <v>0.9225436221865253</v>
      </c>
      <c r="BS54" s="268">
        <f ca="1">SUM(BS41,BS45:BS53)</f>
        <v>6382859</v>
      </c>
      <c r="BT54" s="269">
        <f ca="1">IFERROR(BS54/BQ54,0)</f>
        <v>0.96400742950039664</v>
      </c>
      <c r="BU54" s="264">
        <f>IFERROR(SUM(BU41,BU45:BU53),0)</f>
        <v>6055351</v>
      </c>
      <c r="BV54" s="265">
        <f ca="1">SUM(BV41,BV45:BV53)</f>
        <v>6636214</v>
      </c>
      <c r="BW54" s="267">
        <f ca="1">IFERROR(BU54/BV54,0)</f>
        <v>0.91247072502484095</v>
      </c>
      <c r="BX54" s="268">
        <f ca="1">SUM(BX41,BX45:BX53)</f>
        <v>6236763</v>
      </c>
      <c r="BY54" s="269">
        <f ca="1">IFERROR(BX54/BV54,0)</f>
        <v>0.93980739620512543</v>
      </c>
      <c r="BZ54" s="264">
        <f>SUM(BZ41,(BZ45:BZ53))</f>
        <v>5955860</v>
      </c>
      <c r="CA54" s="265">
        <f ca="1">SUM(CA41,CA45:CA53)</f>
        <v>18572693</v>
      </c>
      <c r="CB54" s="267">
        <f ca="1">IFERROR(BZ54/CA54,0)</f>
        <v>0.32067832058603457</v>
      </c>
      <c r="CC54" s="268">
        <f ca="1">SUM(CC41,CC45:CC53)</f>
        <v>17598519</v>
      </c>
      <c r="CD54" s="270">
        <f ca="1">IFERROR(CC54/CA54,0)</f>
        <v>0.94754804809404858</v>
      </c>
      <c r="CE54" s="264">
        <f>SUM(CE41,(CE45:CE53))</f>
        <v>7805682</v>
      </c>
      <c r="CF54" s="265">
        <f ca="1">SUM(CF41,CF45:CF53)</f>
        <v>76555860</v>
      </c>
      <c r="CG54" s="267">
        <f ca="1">IFERROR(CE54/CF54,0)</f>
        <v>0.10196060758771439</v>
      </c>
      <c r="CH54" s="268">
        <f ca="1">SUM(CH41,CH45:CH53)</f>
        <v>73281607</v>
      </c>
      <c r="CI54" s="271">
        <f ca="1">IFERROR(CH54/CF54,0)</f>
        <v>0.95723053728349472</v>
      </c>
      <c r="CJ54" s="263"/>
    </row>
    <row r="55" spans="1:88" ht="14.65" thickTop="1">
      <c r="C55" s="367"/>
    </row>
    <row r="57" spans="1:88" s="7" customFormat="1" ht="29.25" customHeight="1" thickBot="1">
      <c r="A57" s="8" t="s">
        <v>61</v>
      </c>
      <c r="B57" s="274"/>
      <c r="C57" s="510" t="s">
        <v>16</v>
      </c>
      <c r="D57" s="496"/>
      <c r="E57" s="496"/>
      <c r="F57" s="496"/>
      <c r="G57" s="497"/>
      <c r="H57" s="498" t="s">
        <v>22</v>
      </c>
      <c r="I57" s="499"/>
      <c r="J57" s="499"/>
      <c r="K57" s="499"/>
      <c r="L57" s="511"/>
      <c r="M57" s="510" t="s">
        <v>23</v>
      </c>
      <c r="N57" s="496"/>
      <c r="O57" s="496"/>
      <c r="P57" s="496"/>
      <c r="Q57" s="497"/>
      <c r="R57" s="501" t="s">
        <v>24</v>
      </c>
      <c r="S57" s="502"/>
      <c r="T57" s="502"/>
      <c r="U57" s="502"/>
      <c r="V57" s="503"/>
      <c r="W57" s="495" t="s">
        <v>10</v>
      </c>
      <c r="X57" s="496"/>
      <c r="Y57" s="496"/>
      <c r="Z57" s="496"/>
      <c r="AA57" s="497"/>
      <c r="AB57" s="498" t="s">
        <v>9</v>
      </c>
      <c r="AC57" s="499"/>
      <c r="AD57" s="499"/>
      <c r="AE57" s="499"/>
      <c r="AF57" s="500"/>
      <c r="AG57" s="495" t="s">
        <v>15</v>
      </c>
      <c r="AH57" s="496"/>
      <c r="AI57" s="496"/>
      <c r="AJ57" s="496"/>
      <c r="AK57" s="497"/>
      <c r="AL57" s="501" t="s">
        <v>25</v>
      </c>
      <c r="AM57" s="502"/>
      <c r="AN57" s="502"/>
      <c r="AO57" s="502"/>
      <c r="AP57" s="503"/>
      <c r="AQ57" s="495" t="s">
        <v>8</v>
      </c>
      <c r="AR57" s="496"/>
      <c r="AS57" s="496"/>
      <c r="AT57" s="496"/>
      <c r="AU57" s="497"/>
      <c r="AV57" s="498" t="s">
        <v>12</v>
      </c>
      <c r="AW57" s="499"/>
      <c r="AX57" s="499"/>
      <c r="AY57" s="499"/>
      <c r="AZ57" s="500"/>
      <c r="BA57" s="495" t="s">
        <v>14</v>
      </c>
      <c r="BB57" s="496"/>
      <c r="BC57" s="496"/>
      <c r="BD57" s="496"/>
      <c r="BE57" s="497"/>
      <c r="BF57" s="501" t="s">
        <v>26</v>
      </c>
      <c r="BG57" s="502"/>
      <c r="BH57" s="502"/>
      <c r="BI57" s="502"/>
      <c r="BJ57" s="503"/>
      <c r="BK57" s="495" t="s">
        <v>27</v>
      </c>
      <c r="BL57" s="496"/>
      <c r="BM57" s="496"/>
      <c r="BN57" s="496"/>
      <c r="BO57" s="497"/>
      <c r="BP57" s="498" t="s">
        <v>17</v>
      </c>
      <c r="BQ57" s="499"/>
      <c r="BR57" s="499"/>
      <c r="BS57" s="499"/>
      <c r="BT57" s="500"/>
      <c r="BU57" s="495" t="s">
        <v>28</v>
      </c>
      <c r="BV57" s="496"/>
      <c r="BW57" s="496"/>
      <c r="BX57" s="496"/>
      <c r="BY57" s="497"/>
      <c r="BZ57" s="501" t="s">
        <v>29</v>
      </c>
      <c r="CA57" s="502"/>
      <c r="CB57" s="502"/>
      <c r="CC57" s="502"/>
      <c r="CD57" s="503"/>
      <c r="CE57" s="493">
        <v>2021</v>
      </c>
      <c r="CF57" s="494"/>
      <c r="CG57" s="494"/>
      <c r="CH57" s="494"/>
      <c r="CI57" s="494"/>
    </row>
    <row r="58" spans="1:88" s="59" customFormat="1" ht="13.15">
      <c r="A58" s="58" t="s">
        <v>30</v>
      </c>
      <c r="B58" s="278"/>
      <c r="C58" s="121" t="s">
        <v>62</v>
      </c>
      <c r="D58" s="122" t="s">
        <v>63</v>
      </c>
      <c r="E58" s="132" t="s">
        <v>33</v>
      </c>
      <c r="F58" s="126" t="s">
        <v>34</v>
      </c>
      <c r="G58" s="133" t="s">
        <v>35</v>
      </c>
      <c r="H58" s="139" t="s">
        <v>62</v>
      </c>
      <c r="I58" s="122" t="s">
        <v>63</v>
      </c>
      <c r="J58" s="132" t="s">
        <v>33</v>
      </c>
      <c r="K58" s="126" t="s">
        <v>34</v>
      </c>
      <c r="L58" s="133" t="s">
        <v>35</v>
      </c>
      <c r="M58" s="126" t="s">
        <v>62</v>
      </c>
      <c r="N58" s="122" t="s">
        <v>63</v>
      </c>
      <c r="O58" s="132" t="s">
        <v>33</v>
      </c>
      <c r="P58" s="126" t="s">
        <v>34</v>
      </c>
      <c r="Q58" s="133" t="s">
        <v>35</v>
      </c>
      <c r="R58" s="126" t="s">
        <v>62</v>
      </c>
      <c r="S58" s="122" t="s">
        <v>63</v>
      </c>
      <c r="T58" s="170" t="s">
        <v>33</v>
      </c>
      <c r="U58" s="160" t="s">
        <v>34</v>
      </c>
      <c r="V58" s="133" t="s">
        <v>35</v>
      </c>
      <c r="W58" s="126" t="s">
        <v>62</v>
      </c>
      <c r="X58" s="122" t="s">
        <v>63</v>
      </c>
      <c r="Y58" s="132" t="s">
        <v>33</v>
      </c>
      <c r="Z58" s="126" t="s">
        <v>34</v>
      </c>
      <c r="AA58" s="136" t="s">
        <v>35</v>
      </c>
      <c r="AB58" s="126" t="s">
        <v>62</v>
      </c>
      <c r="AC58" s="122" t="s">
        <v>63</v>
      </c>
      <c r="AD58" s="170" t="s">
        <v>33</v>
      </c>
      <c r="AE58" s="122" t="s">
        <v>34</v>
      </c>
      <c r="AF58" s="136" t="s">
        <v>35</v>
      </c>
      <c r="AG58" s="126" t="s">
        <v>62</v>
      </c>
      <c r="AH58" s="122" t="s">
        <v>63</v>
      </c>
      <c r="AI58" s="170" t="s">
        <v>33</v>
      </c>
      <c r="AJ58" s="122" t="s">
        <v>34</v>
      </c>
      <c r="AK58" s="136" t="s">
        <v>35</v>
      </c>
      <c r="AL58" s="126" t="s">
        <v>62</v>
      </c>
      <c r="AM58" s="122" t="s">
        <v>63</v>
      </c>
      <c r="AN58" s="170" t="s">
        <v>33</v>
      </c>
      <c r="AO58" s="122" t="s">
        <v>34</v>
      </c>
      <c r="AP58" s="136" t="s">
        <v>35</v>
      </c>
      <c r="AQ58" s="126" t="s">
        <v>62</v>
      </c>
      <c r="AR58" s="122" t="s">
        <v>63</v>
      </c>
      <c r="AS58" s="170" t="s">
        <v>33</v>
      </c>
      <c r="AT58" s="122" t="s">
        <v>34</v>
      </c>
      <c r="AU58" s="136" t="s">
        <v>35</v>
      </c>
      <c r="AV58" s="126" t="s">
        <v>62</v>
      </c>
      <c r="AW58" s="122" t="s">
        <v>63</v>
      </c>
      <c r="AX58" s="170" t="s">
        <v>33</v>
      </c>
      <c r="AY58" s="122" t="s">
        <v>34</v>
      </c>
      <c r="AZ58" s="136" t="s">
        <v>35</v>
      </c>
      <c r="BA58" s="126" t="s">
        <v>62</v>
      </c>
      <c r="BB58" s="122" t="s">
        <v>63</v>
      </c>
      <c r="BC58" s="170" t="s">
        <v>33</v>
      </c>
      <c r="BD58" s="122" t="s">
        <v>34</v>
      </c>
      <c r="BE58" s="136" t="s">
        <v>35</v>
      </c>
      <c r="BF58" s="126" t="s">
        <v>62</v>
      </c>
      <c r="BG58" s="120" t="s">
        <v>63</v>
      </c>
      <c r="BH58" s="170" t="s">
        <v>33</v>
      </c>
      <c r="BI58" s="122" t="s">
        <v>34</v>
      </c>
      <c r="BJ58" s="136" t="s">
        <v>35</v>
      </c>
      <c r="BK58" s="126" t="s">
        <v>62</v>
      </c>
      <c r="BL58" s="122" t="s">
        <v>63</v>
      </c>
      <c r="BM58" s="170" t="s">
        <v>33</v>
      </c>
      <c r="BN58" s="122" t="s">
        <v>34</v>
      </c>
      <c r="BO58" s="136" t="s">
        <v>35</v>
      </c>
      <c r="BP58" s="126" t="s">
        <v>62</v>
      </c>
      <c r="BQ58" s="122" t="s">
        <v>63</v>
      </c>
      <c r="BR58" s="170" t="s">
        <v>33</v>
      </c>
      <c r="BS58" s="122" t="s">
        <v>34</v>
      </c>
      <c r="BT58" s="136" t="s">
        <v>35</v>
      </c>
      <c r="BU58" s="126" t="s">
        <v>62</v>
      </c>
      <c r="BV58" s="122" t="s">
        <v>63</v>
      </c>
      <c r="BW58" s="170" t="s">
        <v>33</v>
      </c>
      <c r="BX58" s="122" t="s">
        <v>34</v>
      </c>
      <c r="BY58" s="136" t="s">
        <v>35</v>
      </c>
      <c r="BZ58" s="126" t="s">
        <v>62</v>
      </c>
      <c r="CA58" s="122" t="s">
        <v>63</v>
      </c>
      <c r="CB58" s="170" t="s">
        <v>33</v>
      </c>
      <c r="CC58" s="122" t="s">
        <v>34</v>
      </c>
      <c r="CD58" s="136" t="s">
        <v>35</v>
      </c>
      <c r="CE58" s="126" t="s">
        <v>62</v>
      </c>
      <c r="CF58" s="120" t="s">
        <v>63</v>
      </c>
      <c r="CG58" s="170" t="s">
        <v>33</v>
      </c>
      <c r="CH58" s="122" t="s">
        <v>34</v>
      </c>
      <c r="CI58" s="136" t="s">
        <v>35</v>
      </c>
    </row>
    <row r="59" spans="1:88" s="105" customFormat="1" ht="13.15">
      <c r="A59" s="106" t="s">
        <v>36</v>
      </c>
      <c r="B59" s="285"/>
      <c r="C59" s="396"/>
      <c r="D59" s="80">
        <f ca="1">C59+RANDBETWEEN(10000,100000)</f>
        <v>80289</v>
      </c>
      <c r="E59" s="130">
        <f ca="1">IFERROR(C59/D59,"")</f>
        <v>0</v>
      </c>
      <c r="F59" s="81">
        <f t="shared" ref="F59:F76" ca="1" si="193">C59+RANDBETWEEN(5000,50000)</f>
        <v>34138</v>
      </c>
      <c r="G59" s="130">
        <f ca="1">IFERROR(F59/D59,"")</f>
        <v>0.42518900472044741</v>
      </c>
      <c r="H59" s="397"/>
      <c r="I59" s="98">
        <f ca="1">H59+RANDBETWEEN(10000,100000)</f>
        <v>73696</v>
      </c>
      <c r="J59" s="148">
        <f ca="1">IFERROR(H59/I59,"")</f>
        <v>0</v>
      </c>
      <c r="K59" s="81">
        <f t="shared" ref="K59:K76" ca="1" si="194">H59+RANDBETWEEN(5000,50000)</f>
        <v>23304</v>
      </c>
      <c r="L59" s="145">
        <f ca="1">IFERROR(K59/I59,"")</f>
        <v>0.31621797655232303</v>
      </c>
      <c r="M59" s="396"/>
      <c r="N59" s="80">
        <f ca="1">M59+RANDBETWEEN(10000,100000)</f>
        <v>50378</v>
      </c>
      <c r="O59" s="115">
        <f ca="1">IFERROR(M59/N59,"")</f>
        <v>0</v>
      </c>
      <c r="P59" s="81">
        <f t="shared" ref="P59:P76" ca="1" si="195">M59+RANDBETWEEN(5000,50000)</f>
        <v>16847</v>
      </c>
      <c r="Q59" s="130">
        <f ca="1">IFERROR(P59/N59,"")</f>
        <v>0.33441184644090677</v>
      </c>
      <c r="R59" s="96"/>
      <c r="S59" s="96">
        <f ca="1">N59+I59+D59</f>
        <v>204363</v>
      </c>
      <c r="T59" s="167">
        <f ca="1">IFERROR(R59/S59,"")</f>
        <v>0</v>
      </c>
      <c r="U59" s="163">
        <f ca="1">P59+K59+F59</f>
        <v>74289</v>
      </c>
      <c r="V59" s="167">
        <f ca="1">IFERROR(U59/S59,"")</f>
        <v>0.36351492197707019</v>
      </c>
      <c r="W59" s="396"/>
      <c r="X59" s="80">
        <f ca="1">W59+RANDBETWEEN(10000,100000)</f>
        <v>55196</v>
      </c>
      <c r="Y59" s="130">
        <f ca="1">IFERROR(W59/X59,"")</f>
        <v>0</v>
      </c>
      <c r="Z59" s="81">
        <f t="shared" ref="Z59:Z76" ca="1" si="196">W59+RANDBETWEEN(5000,50000)</f>
        <v>7378</v>
      </c>
      <c r="AA59" s="130">
        <f ca="1">IFERROR(Z59/X59,"")</f>
        <v>0.13366910645698965</v>
      </c>
      <c r="AB59" s="397"/>
      <c r="AC59" s="98">
        <f ca="1">AB59+RANDBETWEEN(10000,100000)</f>
        <v>41972</v>
      </c>
      <c r="AD59" s="148">
        <f ca="1">IFERROR(AB59/AC59,"")</f>
        <v>0</v>
      </c>
      <c r="AE59" s="81">
        <f t="shared" ref="AE59:AE76" ca="1" si="197">AB59+RANDBETWEEN(5000,50000)</f>
        <v>30063</v>
      </c>
      <c r="AF59" s="145">
        <f ca="1">IFERROR(AE59/AC59,"")</f>
        <v>0.71626322310111501</v>
      </c>
      <c r="AG59" s="396"/>
      <c r="AH59" s="80">
        <f ca="1">AG59+RANDBETWEEN(10000,100000)</f>
        <v>11182</v>
      </c>
      <c r="AI59" s="115">
        <f ca="1">IFERROR(AG59/AH59,"")</f>
        <v>0</v>
      </c>
      <c r="AJ59" s="81">
        <f t="shared" ref="AJ59:AJ76" ca="1" si="198">AG59+RANDBETWEEN(5000,50000)</f>
        <v>14635</v>
      </c>
      <c r="AK59" s="130">
        <f ca="1">IFERROR(AJ59/AH59,"")</f>
        <v>1.3087998569128958</v>
      </c>
      <c r="AL59" s="156"/>
      <c r="AM59" s="176">
        <f ca="1">AH59+AC59+X59</f>
        <v>108350</v>
      </c>
      <c r="AN59" s="167">
        <f ca="1">IFERROR(AL59/AM59,"")</f>
        <v>0</v>
      </c>
      <c r="AO59" s="163">
        <f ca="1">AJ59+AE59+Z59</f>
        <v>52076</v>
      </c>
      <c r="AP59" s="167">
        <f ca="1">IFERROR(AO59/AM59,"")</f>
        <v>0.48062759575449931</v>
      </c>
      <c r="AQ59" s="396"/>
      <c r="AR59" s="80">
        <f ca="1">AQ59+RANDBETWEEN(10000,100000)</f>
        <v>13077</v>
      </c>
      <c r="AS59" s="130">
        <f ca="1">IFERROR(AQ59/AR59,"")</f>
        <v>0</v>
      </c>
      <c r="AT59" s="81">
        <f t="shared" ref="AT59:AT76" ca="1" si="199">AQ59+RANDBETWEEN(5000,50000)</f>
        <v>30422</v>
      </c>
      <c r="AU59" s="130">
        <f ca="1">IFERROR(AT59/AR59,"")</f>
        <v>2.326374550737937</v>
      </c>
      <c r="AV59" s="397"/>
      <c r="AW59" s="98">
        <f ca="1">AV59+RANDBETWEEN(10000,100000)</f>
        <v>53853</v>
      </c>
      <c r="AX59" s="148">
        <f ca="1">IFERROR(AV59/AW59,"")</f>
        <v>0</v>
      </c>
      <c r="AY59" s="81">
        <f t="shared" ref="AY59:AY76" ca="1" si="200">AV59+RANDBETWEEN(5000,50000)</f>
        <v>43506</v>
      </c>
      <c r="AZ59" s="145">
        <f ca="1">IFERROR(AY59/AW59,"")</f>
        <v>0.80786585705531722</v>
      </c>
      <c r="BA59" s="396"/>
      <c r="BB59" s="80">
        <f ca="1">BA59+RANDBETWEEN(10000,100000)</f>
        <v>88826</v>
      </c>
      <c r="BC59" s="115">
        <f ca="1">IFERROR(BA59/BB59,"")</f>
        <v>0</v>
      </c>
      <c r="BD59" s="81">
        <f t="shared" ref="BD59:BD76" ca="1" si="201">BA59+RANDBETWEEN(5000,50000)</f>
        <v>32290</v>
      </c>
      <c r="BE59" s="130">
        <f ca="1">IFERROR(BD59/BB59,"")</f>
        <v>0.36351969018080293</v>
      </c>
      <c r="BF59" s="156"/>
      <c r="BG59" s="183">
        <f t="shared" ref="BG59:BG64" ca="1" si="202">AR59+AW59+BB59</f>
        <v>155756</v>
      </c>
      <c r="BH59" s="167">
        <f ca="1">IFERROR(BF59/BG59,"")</f>
        <v>0</v>
      </c>
      <c r="BI59" s="186">
        <f ca="1">AT59+AY59+BD59</f>
        <v>106218</v>
      </c>
      <c r="BJ59" s="167">
        <f ca="1">IFERROR(BI59/BG59,"")</f>
        <v>0.68195125709442972</v>
      </c>
      <c r="BK59" s="396"/>
      <c r="BL59" s="80">
        <f ca="1">BK59+RANDBETWEEN(10000,100000)</f>
        <v>57692</v>
      </c>
      <c r="BM59" s="130">
        <f ca="1">IFERROR(BK59/BL59,"")</f>
        <v>0</v>
      </c>
      <c r="BN59" s="81">
        <f t="shared" ref="BN59:BN76" ca="1" si="203">BK59+RANDBETWEEN(5000,50000)</f>
        <v>33586</v>
      </c>
      <c r="BO59" s="130">
        <f ca="1">IFERROR(BN59/BL59,"")</f>
        <v>0.58216043818900365</v>
      </c>
      <c r="BP59" s="397"/>
      <c r="BQ59" s="98">
        <f ca="1">BP59+RANDBETWEEN(10000,100000)</f>
        <v>39885</v>
      </c>
      <c r="BR59" s="148">
        <f ca="1">IFERROR(BP59/BQ59,"")</f>
        <v>0</v>
      </c>
      <c r="BS59" s="81">
        <f t="shared" ref="BS59:BS76" ca="1" si="204">BP59+RANDBETWEEN(5000,50000)</f>
        <v>31269</v>
      </c>
      <c r="BT59" s="145">
        <f ca="1">IFERROR(BS59/BQ59,"")</f>
        <v>0.78397893945092145</v>
      </c>
      <c r="BU59" s="396"/>
      <c r="BV59" s="80">
        <f ca="1">BU59+RANDBETWEEN(10000,100000)</f>
        <v>87492</v>
      </c>
      <c r="BW59" s="115">
        <f ca="1">IFERROR(BU59/BV59,"")</f>
        <v>0</v>
      </c>
      <c r="BX59" s="81">
        <f t="shared" ref="BX59:BX76" ca="1" si="205">BU59+RANDBETWEEN(5000,50000)</f>
        <v>27854</v>
      </c>
      <c r="BY59" s="130">
        <f ca="1">IFERROR(BX59/BV59,"")</f>
        <v>0.31836053582041784</v>
      </c>
      <c r="BZ59" s="96"/>
      <c r="CA59" s="85">
        <f ca="1">BL59+BQ59+BV59</f>
        <v>185069</v>
      </c>
      <c r="CB59" s="167">
        <f ca="1">IFERROR(BZ59/CA59,"")</f>
        <v>0</v>
      </c>
      <c r="CC59" s="198">
        <f t="shared" ref="CC59:CC63" ca="1" si="206">BN59+BS59+BX59</f>
        <v>92709</v>
      </c>
      <c r="CD59" s="167">
        <f ca="1">IFERROR(CC59/CA59,"")</f>
        <v>0.50094289157017113</v>
      </c>
      <c r="CE59" s="87"/>
      <c r="CF59" s="208">
        <f t="shared" ref="CF59:CF76" ca="1" si="207">S59+AM59+BG59+CA59</f>
        <v>653538</v>
      </c>
      <c r="CG59" s="213">
        <f ca="1">IFERROR(CE59/CF59,"")</f>
        <v>0</v>
      </c>
      <c r="CH59" s="89">
        <f t="shared" ref="CH59:CH74" ca="1" si="208">U59+AO59+BI59+CC59</f>
        <v>325292</v>
      </c>
      <c r="CI59" s="167">
        <f ca="1">IFERROR(CH59/CF59,"")</f>
        <v>0.49773999369585242</v>
      </c>
    </row>
    <row r="60" spans="1:88" s="105" customFormat="1" ht="13.15">
      <c r="A60" s="104" t="s">
        <v>37</v>
      </c>
      <c r="B60" s="285"/>
      <c r="C60" s="107">
        <v>954269</v>
      </c>
      <c r="D60" s="80">
        <f t="shared" ref="D60:D76" ca="1" si="209">C60+RANDBETWEEN(10000,100000)</f>
        <v>971610</v>
      </c>
      <c r="E60" s="130">
        <f t="shared" ref="E60:E76" ca="1" si="210">IFERROR(C60/D60,"")</f>
        <v>0.98215230390794661</v>
      </c>
      <c r="F60" s="81">
        <f t="shared" ca="1" si="193"/>
        <v>981072</v>
      </c>
      <c r="G60" s="130">
        <f t="shared" ref="G60:G76" ca="1" si="211">IFERROR(F60/D60,"")</f>
        <v>1.0097384753141692</v>
      </c>
      <c r="H60" s="108">
        <v>132490</v>
      </c>
      <c r="I60" s="98">
        <f t="shared" ref="I60:I76" ca="1" si="212">H60+RANDBETWEEN(10000,100000)</f>
        <v>212567</v>
      </c>
      <c r="J60" s="149">
        <f t="shared" ref="J60:J76" ca="1" si="213">IFERROR(H60/I60,"")</f>
        <v>0.6232858345839194</v>
      </c>
      <c r="K60" s="81">
        <f t="shared" ca="1" si="194"/>
        <v>173184</v>
      </c>
      <c r="L60" s="145">
        <f t="shared" ref="L60:L76" ca="1" si="214">IFERROR(K60/I60,"")</f>
        <v>0.81472665089124841</v>
      </c>
      <c r="M60" s="107">
        <v>161941</v>
      </c>
      <c r="N60" s="80">
        <f t="shared" ref="N60:N76" ca="1" si="215">M60+RANDBETWEEN(10000,100000)</f>
        <v>257968</v>
      </c>
      <c r="O60" s="115">
        <f t="shared" ref="O60:O76" ca="1" si="216">IFERROR(M60/N60,"")</f>
        <v>0.62775615580227007</v>
      </c>
      <c r="P60" s="81">
        <f t="shared" ca="1" si="195"/>
        <v>205588</v>
      </c>
      <c r="Q60" s="130">
        <f t="shared" ref="Q60:Q76" ca="1" si="217">IFERROR(P60/N60,"")</f>
        <v>0.79695155988339639</v>
      </c>
      <c r="R60" s="96">
        <v>869085</v>
      </c>
      <c r="S60" s="96">
        <f t="shared" ref="S60:S63" ca="1" si="218">N60+I60+D60</f>
        <v>1442145</v>
      </c>
      <c r="T60" s="167">
        <f t="shared" ref="T60:T76" ca="1" si="219">IFERROR(R60/S60,"")</f>
        <v>0.60263357706749321</v>
      </c>
      <c r="U60" s="163">
        <f t="shared" ref="U60:U63" ca="1" si="220">P60+K60+F60</f>
        <v>1359844</v>
      </c>
      <c r="V60" s="167">
        <f t="shared" ref="V60:V76" ca="1" si="221">IFERROR(U60/S60,"")</f>
        <v>0.94293153601059532</v>
      </c>
      <c r="W60" s="107">
        <v>643918</v>
      </c>
      <c r="X60" s="80">
        <f t="shared" ref="X60:X76" ca="1" si="222">W60+RANDBETWEEN(10000,100000)</f>
        <v>731921</v>
      </c>
      <c r="Y60" s="130">
        <f t="shared" ref="Y60:Y76" ca="1" si="223">IFERROR(W60/X60,"")</f>
        <v>0.87976434615211208</v>
      </c>
      <c r="Z60" s="81">
        <f t="shared" ca="1" si="196"/>
        <v>666293</v>
      </c>
      <c r="AA60" s="130">
        <f t="shared" ref="AA60:AA76" ca="1" si="224">IFERROR(Z60/X60,"")</f>
        <v>0.91033458528994249</v>
      </c>
      <c r="AB60" s="108">
        <v>401351</v>
      </c>
      <c r="AC60" s="98">
        <f t="shared" ref="AC60:AC76" ca="1" si="225">AB60+RANDBETWEEN(10000,100000)</f>
        <v>498864</v>
      </c>
      <c r="AD60" s="149">
        <f t="shared" ref="AD60:AD76" ca="1" si="226">IFERROR(AB60/AC60,"")</f>
        <v>0.80452989191442958</v>
      </c>
      <c r="AE60" s="81">
        <f t="shared" ca="1" si="197"/>
        <v>412199</v>
      </c>
      <c r="AF60" s="145">
        <f t="shared" ref="AF60:AF76" ca="1" si="227">IFERROR(AE60/AC60,"")</f>
        <v>0.82627529747586514</v>
      </c>
      <c r="AG60" s="107">
        <v>515735</v>
      </c>
      <c r="AH60" s="80">
        <f t="shared" ref="AH60:AH76" ca="1" si="228">AG60+RANDBETWEEN(10000,100000)</f>
        <v>572342</v>
      </c>
      <c r="AI60" s="115">
        <f t="shared" ref="AI60:AI76" ca="1" si="229">IFERROR(AG60/AH60,"")</f>
        <v>0.90109584828651401</v>
      </c>
      <c r="AJ60" s="81">
        <f t="shared" ca="1" si="198"/>
        <v>544222</v>
      </c>
      <c r="AK60" s="130">
        <f t="shared" ref="AK60:AK76" ca="1" si="230">IFERROR(AJ60/AH60,"")</f>
        <v>0.95086853664417426</v>
      </c>
      <c r="AL60" s="156">
        <v>431242</v>
      </c>
      <c r="AM60" s="176">
        <f t="shared" ref="AM60:AO76" ca="1" si="231">AH60+AC60+X60</f>
        <v>1803127</v>
      </c>
      <c r="AN60" s="167">
        <f t="shared" ref="AN60:AN76" ca="1" si="232">IFERROR(AL60/AM60,"")</f>
        <v>0.23916340890020504</v>
      </c>
      <c r="AO60" s="163">
        <f t="shared" ca="1" si="231"/>
        <v>1622714</v>
      </c>
      <c r="AP60" s="167">
        <f t="shared" ref="AP60:AP76" ca="1" si="233">IFERROR(AO60/AM60,"")</f>
        <v>0.89994437441178576</v>
      </c>
      <c r="AQ60" s="107">
        <v>444428</v>
      </c>
      <c r="AR60" s="80">
        <f t="shared" ref="AR60:AR76" ca="1" si="234">AQ60+RANDBETWEEN(10000,100000)</f>
        <v>465600</v>
      </c>
      <c r="AS60" s="130">
        <f t="shared" ref="AS60:AS76" ca="1" si="235">IFERROR(AQ60/AR60,"")</f>
        <v>0.95452749140893467</v>
      </c>
      <c r="AT60" s="81">
        <f t="shared" ca="1" si="199"/>
        <v>457563</v>
      </c>
      <c r="AU60" s="130">
        <f t="shared" ref="AU60:AU76" ca="1" si="236">IFERROR(AT60/AR60,"")</f>
        <v>0.9827384020618557</v>
      </c>
      <c r="AV60" s="108">
        <v>720237</v>
      </c>
      <c r="AW60" s="98">
        <f t="shared" ref="AW60:AW76" ca="1" si="237">AV60+RANDBETWEEN(10000,100000)</f>
        <v>780000</v>
      </c>
      <c r="AX60" s="149">
        <f t="shared" ref="AX60:AX76" ca="1" si="238">IFERROR(AV60/AW60,"")</f>
        <v>0.92338076923076928</v>
      </c>
      <c r="AY60" s="81">
        <f t="shared" ca="1" si="200"/>
        <v>750486</v>
      </c>
      <c r="AZ60" s="145">
        <f t="shared" ref="AZ60:AZ76" ca="1" si="239">IFERROR(AY60/AW60,"")</f>
        <v>0.96216153846153851</v>
      </c>
      <c r="BA60" s="107">
        <v>445312</v>
      </c>
      <c r="BB60" s="80">
        <f t="shared" ref="BB60:BB76" ca="1" si="240">BA60+RANDBETWEEN(10000,100000)</f>
        <v>498975</v>
      </c>
      <c r="BC60" s="115">
        <f t="shared" ref="BC60:BC76" ca="1" si="241">IFERROR(BA60/BB60,"")</f>
        <v>0.89245352973595871</v>
      </c>
      <c r="BD60" s="81">
        <f t="shared" ca="1" si="201"/>
        <v>484518</v>
      </c>
      <c r="BE60" s="130">
        <f t="shared" ref="BE60:BE76" ca="1" si="242">IFERROR(BD60/BB60,"")</f>
        <v>0.97102660453930556</v>
      </c>
      <c r="BF60" s="156">
        <v>504960</v>
      </c>
      <c r="BG60" s="183">
        <f t="shared" ca="1" si="202"/>
        <v>1744575</v>
      </c>
      <c r="BH60" s="167">
        <f t="shared" ref="BH60:BH76" ca="1" si="243">IFERROR(BF60/BG60,"")</f>
        <v>0.28944585357465286</v>
      </c>
      <c r="BI60" s="186">
        <f ca="1">AT60+AY60+BD60</f>
        <v>1692567</v>
      </c>
      <c r="BJ60" s="167">
        <f t="shared" ref="BJ60:BJ76" ca="1" si="244">IFERROR(BI60/BG60,"")</f>
        <v>0.97018872791367528</v>
      </c>
      <c r="BK60" s="107">
        <v>936170</v>
      </c>
      <c r="BL60" s="80">
        <f t="shared" ref="BL60:BL76" ca="1" si="245">BK60+RANDBETWEEN(10000,100000)</f>
        <v>988914</v>
      </c>
      <c r="BM60" s="130">
        <f t="shared" ref="BM60:BM76" ca="1" si="246">IFERROR(BK60/BL60,"")</f>
        <v>0.94666472514293454</v>
      </c>
      <c r="BN60" s="81">
        <f t="shared" ca="1" si="203"/>
        <v>973407</v>
      </c>
      <c r="BO60" s="130">
        <f t="shared" ref="BO60:BO76" ca="1" si="247">IFERROR(BN60/BL60,"")</f>
        <v>0.98431916223250959</v>
      </c>
      <c r="BP60" s="108">
        <v>449794</v>
      </c>
      <c r="BQ60" s="98">
        <f t="shared" ref="BQ60:BQ76" ca="1" si="248">BP60+RANDBETWEEN(10000,100000)</f>
        <v>541508</v>
      </c>
      <c r="BR60" s="149">
        <f t="shared" ref="BR60:BR76" ca="1" si="249">IFERROR(BP60/BQ60,"")</f>
        <v>0.83063223442682288</v>
      </c>
      <c r="BS60" s="81">
        <f t="shared" ca="1" si="204"/>
        <v>463568</v>
      </c>
      <c r="BT60" s="145">
        <f t="shared" ref="BT60:BT76" ca="1" si="250">IFERROR(BS60/BQ60,"")</f>
        <v>0.85606860840467736</v>
      </c>
      <c r="BU60" s="107">
        <v>929649</v>
      </c>
      <c r="BV60" s="80">
        <f t="shared" ref="BV60:BV76" ca="1" si="251">BU60+RANDBETWEEN(10000,100000)</f>
        <v>988524</v>
      </c>
      <c r="BW60" s="115">
        <f t="shared" ref="BW60:BW76" ca="1" si="252">IFERROR(BU60/BV60,"")</f>
        <v>0.94044150673124782</v>
      </c>
      <c r="BX60" s="81">
        <f t="shared" ca="1" si="205"/>
        <v>960429</v>
      </c>
      <c r="BY60" s="130">
        <f t="shared" ref="BY60:BY76" ca="1" si="253">IFERROR(BX60/BV60,"")</f>
        <v>0.97157883875353557</v>
      </c>
      <c r="BZ60" s="96">
        <v>229614</v>
      </c>
      <c r="CA60" s="85">
        <f t="shared" ref="CA60:CA74" ca="1" si="254">BL60+BQ60+BV60</f>
        <v>2518946</v>
      </c>
      <c r="CB60" s="167">
        <f t="shared" ref="CB60:CB76" ca="1" si="255">IFERROR(BZ60/CA60,"")</f>
        <v>9.1154792520363681E-2</v>
      </c>
      <c r="CC60" s="198">
        <f t="shared" ca="1" si="206"/>
        <v>2397404</v>
      </c>
      <c r="CD60" s="167">
        <f t="shared" ref="CD60:CD76" ca="1" si="256">IFERROR(CC60/CA60,"")</f>
        <v>0.95174886639094292</v>
      </c>
      <c r="CE60" s="87">
        <v>614355</v>
      </c>
      <c r="CF60" s="208">
        <f t="shared" ca="1" si="207"/>
        <v>7508793</v>
      </c>
      <c r="CG60" s="213">
        <f t="shared" ref="CG60:CG76" ca="1" si="257">IFERROR(CE60/CF60,"")</f>
        <v>8.1818076487126495E-2</v>
      </c>
      <c r="CH60" s="89">
        <f t="shared" ca="1" si="208"/>
        <v>7072529</v>
      </c>
      <c r="CI60" s="167">
        <f t="shared" ref="CI60:CI76" ca="1" si="258">IFERROR(CH60/CF60,"")</f>
        <v>0.94189958359486003</v>
      </c>
    </row>
    <row r="61" spans="1:88" s="105" customFormat="1" ht="13.15">
      <c r="A61" s="104" t="s">
        <v>59</v>
      </c>
      <c r="B61" s="285"/>
      <c r="C61" s="107"/>
      <c r="D61" s="80">
        <f t="shared" ca="1" si="209"/>
        <v>25368</v>
      </c>
      <c r="E61" s="130">
        <f t="shared" ca="1" si="210"/>
        <v>0</v>
      </c>
      <c r="F61" s="81">
        <f t="shared" ca="1" si="193"/>
        <v>35299</v>
      </c>
      <c r="G61" s="130">
        <f t="shared" ca="1" si="211"/>
        <v>1.3914774519079154</v>
      </c>
      <c r="H61" s="108"/>
      <c r="I61" s="98">
        <f t="shared" ca="1" si="212"/>
        <v>81587</v>
      </c>
      <c r="J61" s="149">
        <f t="shared" ca="1" si="213"/>
        <v>0</v>
      </c>
      <c r="K61" s="81">
        <f t="shared" ca="1" si="194"/>
        <v>42519</v>
      </c>
      <c r="L61" s="145">
        <f t="shared" ca="1" si="214"/>
        <v>0.52114920269160525</v>
      </c>
      <c r="M61" s="107"/>
      <c r="N61" s="80">
        <f t="shared" ca="1" si="215"/>
        <v>10078</v>
      </c>
      <c r="O61" s="115">
        <f t="shared" ca="1" si="216"/>
        <v>0</v>
      </c>
      <c r="P61" s="81">
        <f t="shared" ca="1" si="195"/>
        <v>28410</v>
      </c>
      <c r="Q61" s="130">
        <f t="shared" ca="1" si="217"/>
        <v>2.8190117086723556</v>
      </c>
      <c r="R61" s="96"/>
      <c r="S61" s="96">
        <f t="shared" ca="1" si="218"/>
        <v>117033</v>
      </c>
      <c r="T61" s="167">
        <f t="shared" ca="1" si="219"/>
        <v>0</v>
      </c>
      <c r="U61" s="163">
        <f t="shared" ca="1" si="220"/>
        <v>106228</v>
      </c>
      <c r="V61" s="167">
        <f t="shared" ca="1" si="221"/>
        <v>0.90767561286132969</v>
      </c>
      <c r="W61" s="107"/>
      <c r="X61" s="80">
        <f t="shared" ca="1" si="222"/>
        <v>98995</v>
      </c>
      <c r="Y61" s="130">
        <f t="shared" ca="1" si="223"/>
        <v>0</v>
      </c>
      <c r="Z61" s="81">
        <f t="shared" ca="1" si="196"/>
        <v>21057</v>
      </c>
      <c r="AA61" s="130">
        <f t="shared" ca="1" si="224"/>
        <v>0.21270771251073287</v>
      </c>
      <c r="AB61" s="108"/>
      <c r="AC61" s="98">
        <f t="shared" ca="1" si="225"/>
        <v>91528</v>
      </c>
      <c r="AD61" s="149">
        <f t="shared" ca="1" si="226"/>
        <v>0</v>
      </c>
      <c r="AE61" s="81">
        <f t="shared" ca="1" si="197"/>
        <v>34444</v>
      </c>
      <c r="AF61" s="145">
        <f t="shared" ca="1" si="227"/>
        <v>0.3763219998251901</v>
      </c>
      <c r="AG61" s="107"/>
      <c r="AH61" s="80">
        <f t="shared" ca="1" si="228"/>
        <v>70925</v>
      </c>
      <c r="AI61" s="115">
        <f t="shared" ca="1" si="229"/>
        <v>0</v>
      </c>
      <c r="AJ61" s="81">
        <f t="shared" ca="1" si="198"/>
        <v>40255</v>
      </c>
      <c r="AK61" s="130">
        <f t="shared" ca="1" si="230"/>
        <v>0.56757137821642578</v>
      </c>
      <c r="AL61" s="156"/>
      <c r="AM61" s="176">
        <f t="shared" ca="1" si="231"/>
        <v>261448</v>
      </c>
      <c r="AN61" s="167">
        <f t="shared" ca="1" si="232"/>
        <v>0</v>
      </c>
      <c r="AO61" s="163">
        <f t="shared" ca="1" si="231"/>
        <v>95756</v>
      </c>
      <c r="AP61" s="167">
        <f t="shared" ca="1" si="233"/>
        <v>0.36625256265108169</v>
      </c>
      <c r="AQ61" s="107"/>
      <c r="AR61" s="80">
        <f t="shared" ca="1" si="234"/>
        <v>68935</v>
      </c>
      <c r="AS61" s="130">
        <f t="shared" ca="1" si="235"/>
        <v>0</v>
      </c>
      <c r="AT61" s="81">
        <f t="shared" ca="1" si="199"/>
        <v>8356</v>
      </c>
      <c r="AU61" s="130">
        <f t="shared" ca="1" si="236"/>
        <v>0.1212156379197795</v>
      </c>
      <c r="AV61" s="108"/>
      <c r="AW61" s="98">
        <f t="shared" ca="1" si="237"/>
        <v>54654</v>
      </c>
      <c r="AX61" s="149">
        <f t="shared" ca="1" si="238"/>
        <v>0</v>
      </c>
      <c r="AY61" s="81">
        <f t="shared" ca="1" si="200"/>
        <v>10991</v>
      </c>
      <c r="AZ61" s="145">
        <f t="shared" ca="1" si="239"/>
        <v>0.20110147473195009</v>
      </c>
      <c r="BA61" s="107"/>
      <c r="BB61" s="80">
        <f t="shared" ca="1" si="240"/>
        <v>80912</v>
      </c>
      <c r="BC61" s="115">
        <f t="shared" ca="1" si="241"/>
        <v>0</v>
      </c>
      <c r="BD61" s="81">
        <f t="shared" ca="1" si="201"/>
        <v>36298</v>
      </c>
      <c r="BE61" s="130">
        <f t="shared" ca="1" si="242"/>
        <v>0.44861083646430688</v>
      </c>
      <c r="BF61" s="156"/>
      <c r="BG61" s="183">
        <f t="shared" ca="1" si="202"/>
        <v>204501</v>
      </c>
      <c r="BH61" s="167">
        <f t="shared" ca="1" si="243"/>
        <v>0</v>
      </c>
      <c r="BI61" s="186">
        <f ca="1">AT61+AY61+BD61</f>
        <v>55645</v>
      </c>
      <c r="BJ61" s="167">
        <f t="shared" ca="1" si="244"/>
        <v>0.27210135891756032</v>
      </c>
      <c r="BK61" s="107"/>
      <c r="BL61" s="80">
        <f t="shared" ca="1" si="245"/>
        <v>20522</v>
      </c>
      <c r="BM61" s="130">
        <f t="shared" ca="1" si="246"/>
        <v>0</v>
      </c>
      <c r="BN61" s="81">
        <f t="shared" ca="1" si="203"/>
        <v>39097</v>
      </c>
      <c r="BO61" s="130">
        <f t="shared" ca="1" si="247"/>
        <v>1.9051262060228047</v>
      </c>
      <c r="BP61" s="108"/>
      <c r="BQ61" s="98">
        <f t="shared" ca="1" si="248"/>
        <v>32313</v>
      </c>
      <c r="BR61" s="149">
        <f t="shared" ca="1" si="249"/>
        <v>0</v>
      </c>
      <c r="BS61" s="81">
        <f t="shared" ca="1" si="204"/>
        <v>49384</v>
      </c>
      <c r="BT61" s="145">
        <f t="shared" ca="1" si="250"/>
        <v>1.5283013028811934</v>
      </c>
      <c r="BU61" s="107"/>
      <c r="BV61" s="80">
        <f t="shared" ca="1" si="251"/>
        <v>86470</v>
      </c>
      <c r="BW61" s="115">
        <f t="shared" ca="1" si="252"/>
        <v>0</v>
      </c>
      <c r="BX61" s="81">
        <f t="shared" ca="1" si="205"/>
        <v>12092</v>
      </c>
      <c r="BY61" s="130">
        <f t="shared" ca="1" si="253"/>
        <v>0.13984040707759918</v>
      </c>
      <c r="BZ61" s="96"/>
      <c r="CA61" s="85">
        <f t="shared" ca="1" si="254"/>
        <v>139305</v>
      </c>
      <c r="CB61" s="167">
        <f t="shared" ca="1" si="255"/>
        <v>0</v>
      </c>
      <c r="CC61" s="198">
        <f t="shared" ca="1" si="206"/>
        <v>100573</v>
      </c>
      <c r="CD61" s="167">
        <f t="shared" ca="1" si="256"/>
        <v>0.72196260005024948</v>
      </c>
      <c r="CE61" s="87"/>
      <c r="CF61" s="208">
        <f t="shared" ca="1" si="207"/>
        <v>722287</v>
      </c>
      <c r="CG61" s="213">
        <f t="shared" ca="1" si="257"/>
        <v>0</v>
      </c>
      <c r="CH61" s="89">
        <f t="shared" ca="1" si="208"/>
        <v>358202</v>
      </c>
      <c r="CI61" s="167">
        <f t="shared" ca="1" si="258"/>
        <v>0.49592751911636235</v>
      </c>
    </row>
    <row r="62" spans="1:88" s="105" customFormat="1" ht="13.15">
      <c r="A62" s="104" t="s">
        <v>38</v>
      </c>
      <c r="B62" s="285"/>
      <c r="C62" s="107">
        <v>514817</v>
      </c>
      <c r="D62" s="80">
        <f t="shared" ca="1" si="209"/>
        <v>540810</v>
      </c>
      <c r="E62" s="130">
        <f t="shared" ca="1" si="210"/>
        <v>0.9519369094506388</v>
      </c>
      <c r="F62" s="81">
        <f t="shared" ca="1" si="193"/>
        <v>551137</v>
      </c>
      <c r="G62" s="130">
        <f t="shared" ca="1" si="211"/>
        <v>1.0190954309276825</v>
      </c>
      <c r="H62" s="108">
        <v>987409</v>
      </c>
      <c r="I62" s="98">
        <f t="shared" ca="1" si="212"/>
        <v>1006776</v>
      </c>
      <c r="J62" s="149">
        <f t="shared" ca="1" si="213"/>
        <v>0.98076334755695405</v>
      </c>
      <c r="K62" s="81">
        <f t="shared" ca="1" si="194"/>
        <v>1007422</v>
      </c>
      <c r="L62" s="145">
        <f t="shared" ca="1" si="214"/>
        <v>1.0006416521649304</v>
      </c>
      <c r="M62" s="107">
        <v>908940</v>
      </c>
      <c r="N62" s="80">
        <f t="shared" ca="1" si="215"/>
        <v>952931</v>
      </c>
      <c r="O62" s="115">
        <f t="shared" ca="1" si="216"/>
        <v>0.95383611195354123</v>
      </c>
      <c r="P62" s="81">
        <f t="shared" ca="1" si="195"/>
        <v>943962</v>
      </c>
      <c r="Q62" s="130">
        <f t="shared" ca="1" si="217"/>
        <v>0.99058798590873842</v>
      </c>
      <c r="R62" s="96">
        <v>469360</v>
      </c>
      <c r="S62" s="96">
        <f t="shared" ca="1" si="218"/>
        <v>2500517</v>
      </c>
      <c r="T62" s="167">
        <f t="shared" ca="1" si="219"/>
        <v>0.18770518256824489</v>
      </c>
      <c r="U62" s="163">
        <f t="shared" ca="1" si="220"/>
        <v>2502521</v>
      </c>
      <c r="V62" s="167">
        <f t="shared" ca="1" si="221"/>
        <v>1.0008014342633944</v>
      </c>
      <c r="W62" s="107">
        <v>707975</v>
      </c>
      <c r="X62" s="80">
        <f t="shared" ca="1" si="222"/>
        <v>745947</v>
      </c>
      <c r="Y62" s="130">
        <f t="shared" ca="1" si="223"/>
        <v>0.94909557917653664</v>
      </c>
      <c r="Z62" s="81">
        <f t="shared" ca="1" si="196"/>
        <v>739434</v>
      </c>
      <c r="AA62" s="130">
        <f t="shared" ca="1" si="224"/>
        <v>0.9912688166853677</v>
      </c>
      <c r="AB62" s="108">
        <v>425909</v>
      </c>
      <c r="AC62" s="98">
        <f t="shared" ca="1" si="225"/>
        <v>492206</v>
      </c>
      <c r="AD62" s="149">
        <f t="shared" ca="1" si="226"/>
        <v>0.86530639610244486</v>
      </c>
      <c r="AE62" s="81">
        <f t="shared" ca="1" si="197"/>
        <v>450231</v>
      </c>
      <c r="AF62" s="145">
        <f t="shared" ca="1" si="227"/>
        <v>0.91472066573751643</v>
      </c>
      <c r="AG62" s="107">
        <v>645581</v>
      </c>
      <c r="AH62" s="80">
        <f t="shared" ca="1" si="228"/>
        <v>722543</v>
      </c>
      <c r="AI62" s="115">
        <f t="shared" ca="1" si="229"/>
        <v>0.89348454002045552</v>
      </c>
      <c r="AJ62" s="81">
        <f t="shared" ca="1" si="198"/>
        <v>687170</v>
      </c>
      <c r="AK62" s="130">
        <f t="shared" ca="1" si="230"/>
        <v>0.95104374410934711</v>
      </c>
      <c r="AL62" s="156">
        <v>721263</v>
      </c>
      <c r="AM62" s="176">
        <f t="shared" ca="1" si="231"/>
        <v>1960696</v>
      </c>
      <c r="AN62" s="167">
        <f t="shared" ca="1" si="232"/>
        <v>0.367860698445858</v>
      </c>
      <c r="AO62" s="163">
        <f t="shared" ca="1" si="231"/>
        <v>1876835</v>
      </c>
      <c r="AP62" s="167">
        <f t="shared" ca="1" si="233"/>
        <v>0.95722896359252019</v>
      </c>
      <c r="AQ62" s="107">
        <v>970570</v>
      </c>
      <c r="AR62" s="80">
        <f t="shared" ca="1" si="234"/>
        <v>1038265</v>
      </c>
      <c r="AS62" s="130">
        <f t="shared" ca="1" si="235"/>
        <v>0.93479988249627988</v>
      </c>
      <c r="AT62" s="81">
        <f t="shared" ca="1" si="199"/>
        <v>1000147</v>
      </c>
      <c r="AU62" s="130">
        <f t="shared" ca="1" si="236"/>
        <v>0.9632868294703183</v>
      </c>
      <c r="AV62" s="108">
        <v>897781</v>
      </c>
      <c r="AW62" s="98">
        <f t="shared" ca="1" si="237"/>
        <v>919356</v>
      </c>
      <c r="AX62" s="149">
        <f t="shared" ca="1" si="238"/>
        <v>0.97653248578352669</v>
      </c>
      <c r="AY62" s="81">
        <f t="shared" ca="1" si="200"/>
        <v>943816</v>
      </c>
      <c r="AZ62" s="145">
        <f t="shared" ca="1" si="239"/>
        <v>1.0266055804280387</v>
      </c>
      <c r="BA62" s="107">
        <v>583848</v>
      </c>
      <c r="BB62" s="80">
        <f t="shared" ca="1" si="240"/>
        <v>613770</v>
      </c>
      <c r="BC62" s="115">
        <f t="shared" ca="1" si="241"/>
        <v>0.951248839141698</v>
      </c>
      <c r="BD62" s="81">
        <f t="shared" ca="1" si="201"/>
        <v>616771</v>
      </c>
      <c r="BE62" s="130">
        <f t="shared" ca="1" si="242"/>
        <v>1.0048894537041564</v>
      </c>
      <c r="BF62" s="156">
        <v>622136</v>
      </c>
      <c r="BG62" s="183">
        <f t="shared" ca="1" si="202"/>
        <v>2571391</v>
      </c>
      <c r="BH62" s="167">
        <f t="shared" ca="1" si="243"/>
        <v>0.24194531286762691</v>
      </c>
      <c r="BI62" s="186">
        <f t="shared" ref="BI62:BI76" ca="1" si="259">AT62+AY62+BD62</f>
        <v>2560734</v>
      </c>
      <c r="BJ62" s="167">
        <f t="shared" ca="1" si="244"/>
        <v>0.99585555055609976</v>
      </c>
      <c r="BK62" s="107">
        <v>235010</v>
      </c>
      <c r="BL62" s="80">
        <f t="shared" ca="1" si="245"/>
        <v>325351</v>
      </c>
      <c r="BM62" s="130">
        <f t="shared" ca="1" si="246"/>
        <v>0.72232757852288754</v>
      </c>
      <c r="BN62" s="81">
        <f t="shared" ca="1" si="203"/>
        <v>266492</v>
      </c>
      <c r="BO62" s="130">
        <f t="shared" ca="1" si="247"/>
        <v>0.81909076658747015</v>
      </c>
      <c r="BP62" s="108">
        <v>825497</v>
      </c>
      <c r="BQ62" s="98">
        <f t="shared" ca="1" si="248"/>
        <v>837460</v>
      </c>
      <c r="BR62" s="149">
        <f t="shared" ca="1" si="249"/>
        <v>0.98571513863348692</v>
      </c>
      <c r="BS62" s="81">
        <f t="shared" ca="1" si="204"/>
        <v>870783</v>
      </c>
      <c r="BT62" s="145">
        <f t="shared" ca="1" si="250"/>
        <v>1.0397905571609389</v>
      </c>
      <c r="BU62" s="107">
        <v>548707</v>
      </c>
      <c r="BV62" s="80">
        <f t="shared" ca="1" si="251"/>
        <v>601044</v>
      </c>
      <c r="BW62" s="115">
        <f t="shared" ca="1" si="252"/>
        <v>0.91292318033288744</v>
      </c>
      <c r="BX62" s="81">
        <f t="shared" ca="1" si="205"/>
        <v>561126</v>
      </c>
      <c r="BY62" s="130">
        <f t="shared" ca="1" si="253"/>
        <v>0.93358556112364488</v>
      </c>
      <c r="BZ62" s="96">
        <v>929284</v>
      </c>
      <c r="CA62" s="85">
        <f t="shared" ca="1" si="254"/>
        <v>1763855</v>
      </c>
      <c r="CB62" s="167">
        <f t="shared" ca="1" si="255"/>
        <v>0.52684829535307609</v>
      </c>
      <c r="CC62" s="198">
        <f t="shared" ca="1" si="206"/>
        <v>1698401</v>
      </c>
      <c r="CD62" s="167">
        <f t="shared" ca="1" si="256"/>
        <v>0.9628915075218768</v>
      </c>
      <c r="CE62" s="87">
        <v>734953</v>
      </c>
      <c r="CF62" s="208">
        <f ca="1">S62+AM62+BG62+CA62</f>
        <v>8796459</v>
      </c>
      <c r="CG62" s="213">
        <f t="shared" ca="1" si="257"/>
        <v>8.3551006149178889E-2</v>
      </c>
      <c r="CH62" s="89">
        <f t="shared" ca="1" si="208"/>
        <v>8638491</v>
      </c>
      <c r="CI62" s="167">
        <f t="shared" ca="1" si="258"/>
        <v>0.98204186480037026</v>
      </c>
    </row>
    <row r="63" spans="1:88" s="105" customFormat="1" ht="13.15">
      <c r="A63" s="104" t="s">
        <v>39</v>
      </c>
      <c r="B63" s="285"/>
      <c r="C63" s="107"/>
      <c r="D63" s="80">
        <f t="shared" ca="1" si="209"/>
        <v>17901</v>
      </c>
      <c r="E63" s="130">
        <f t="shared" ca="1" si="210"/>
        <v>0</v>
      </c>
      <c r="F63" s="81">
        <f t="shared" ca="1" si="193"/>
        <v>34848</v>
      </c>
      <c r="G63" s="130">
        <f t="shared" ca="1" si="211"/>
        <v>1.9467068878833584</v>
      </c>
      <c r="H63" s="108">
        <v>548731</v>
      </c>
      <c r="I63" s="98">
        <f t="shared" ca="1" si="212"/>
        <v>606009</v>
      </c>
      <c r="J63" s="149">
        <f t="shared" ca="1" si="213"/>
        <v>0.90548325189889922</v>
      </c>
      <c r="K63" s="81">
        <f t="shared" ca="1" si="194"/>
        <v>585946</v>
      </c>
      <c r="L63" s="145">
        <f t="shared" ca="1" si="214"/>
        <v>0.96689323095861612</v>
      </c>
      <c r="M63" s="107">
        <v>861101</v>
      </c>
      <c r="N63" s="80">
        <f t="shared" ca="1" si="215"/>
        <v>924672</v>
      </c>
      <c r="O63" s="115">
        <f t="shared" ca="1" si="216"/>
        <v>0.93125021629291249</v>
      </c>
      <c r="P63" s="81">
        <f t="shared" ca="1" si="195"/>
        <v>889405</v>
      </c>
      <c r="Q63" s="130">
        <f t="shared" ca="1" si="217"/>
        <v>0.96185998927187155</v>
      </c>
      <c r="R63" s="96">
        <v>628079</v>
      </c>
      <c r="S63" s="96">
        <f t="shared" ca="1" si="218"/>
        <v>1548582</v>
      </c>
      <c r="T63" s="167">
        <f t="shared" ca="1" si="219"/>
        <v>0.40558330136860687</v>
      </c>
      <c r="U63" s="163">
        <f t="shared" ca="1" si="220"/>
        <v>1510199</v>
      </c>
      <c r="V63" s="167">
        <f t="shared" ca="1" si="221"/>
        <v>0.97521409909194345</v>
      </c>
      <c r="W63" s="107">
        <v>580169</v>
      </c>
      <c r="X63" s="80">
        <f t="shared" ca="1" si="222"/>
        <v>648454</v>
      </c>
      <c r="Y63" s="130">
        <f t="shared" ca="1" si="223"/>
        <v>0.89469569159878726</v>
      </c>
      <c r="Z63" s="81">
        <f t="shared" ca="1" si="196"/>
        <v>619147</v>
      </c>
      <c r="AA63" s="130">
        <f t="shared" ca="1" si="224"/>
        <v>0.9548048126775377</v>
      </c>
      <c r="AB63" s="108"/>
      <c r="AC63" s="98">
        <f t="shared" ca="1" si="225"/>
        <v>24237</v>
      </c>
      <c r="AD63" s="149">
        <f t="shared" ca="1" si="226"/>
        <v>0</v>
      </c>
      <c r="AE63" s="81">
        <f t="shared" ca="1" si="197"/>
        <v>6277</v>
      </c>
      <c r="AF63" s="145">
        <f t="shared" ca="1" si="227"/>
        <v>0.25898419771423858</v>
      </c>
      <c r="AG63" s="107"/>
      <c r="AH63" s="80">
        <f t="shared" ca="1" si="228"/>
        <v>14181</v>
      </c>
      <c r="AI63" s="115">
        <f t="shared" ca="1" si="229"/>
        <v>0</v>
      </c>
      <c r="AJ63" s="81">
        <f t="shared" ca="1" si="198"/>
        <v>32014</v>
      </c>
      <c r="AK63" s="130">
        <f t="shared" ca="1" si="230"/>
        <v>2.2575276778788518</v>
      </c>
      <c r="AL63" s="156">
        <v>790101</v>
      </c>
      <c r="AM63" s="176">
        <f t="shared" ca="1" si="231"/>
        <v>686872</v>
      </c>
      <c r="AN63" s="167">
        <f t="shared" ca="1" si="232"/>
        <v>1.1502885544905019</v>
      </c>
      <c r="AO63" s="163">
        <f t="shared" ca="1" si="231"/>
        <v>657438</v>
      </c>
      <c r="AP63" s="167">
        <f t="shared" ca="1" si="233"/>
        <v>0.95714776552254277</v>
      </c>
      <c r="AQ63" s="107"/>
      <c r="AR63" s="80">
        <f t="shared" ca="1" si="234"/>
        <v>72812</v>
      </c>
      <c r="AS63" s="130">
        <f t="shared" ca="1" si="235"/>
        <v>0</v>
      </c>
      <c r="AT63" s="81">
        <f t="shared" ca="1" si="199"/>
        <v>48350</v>
      </c>
      <c r="AU63" s="130">
        <f t="shared" ca="1" si="236"/>
        <v>0.66403889468768884</v>
      </c>
      <c r="AV63" s="108"/>
      <c r="AW63" s="98">
        <f t="shared" ca="1" si="237"/>
        <v>68592</v>
      </c>
      <c r="AX63" s="149">
        <f t="shared" ca="1" si="238"/>
        <v>0</v>
      </c>
      <c r="AY63" s="81">
        <f t="shared" ca="1" si="200"/>
        <v>39175</v>
      </c>
      <c r="AZ63" s="145">
        <f t="shared" ca="1" si="239"/>
        <v>0.57113074411010034</v>
      </c>
      <c r="BA63" s="107"/>
      <c r="BB63" s="80">
        <f t="shared" ca="1" si="240"/>
        <v>71582</v>
      </c>
      <c r="BC63" s="115">
        <f t="shared" ca="1" si="241"/>
        <v>0</v>
      </c>
      <c r="BD63" s="81">
        <f t="shared" ca="1" si="201"/>
        <v>39573</v>
      </c>
      <c r="BE63" s="130">
        <f t="shared" ca="1" si="242"/>
        <v>0.5528345114693638</v>
      </c>
      <c r="BF63" s="156"/>
      <c r="BG63" s="183">
        <f t="shared" ca="1" si="202"/>
        <v>212986</v>
      </c>
      <c r="BH63" s="167">
        <f t="shared" ca="1" si="243"/>
        <v>0</v>
      </c>
      <c r="BI63" s="186">
        <f t="shared" ca="1" si="259"/>
        <v>127098</v>
      </c>
      <c r="BJ63" s="167">
        <f t="shared" ca="1" si="244"/>
        <v>0.59674344792615475</v>
      </c>
      <c r="BK63" s="107"/>
      <c r="BL63" s="80">
        <f t="shared" ca="1" si="245"/>
        <v>71144</v>
      </c>
      <c r="BM63" s="130">
        <f t="shared" ca="1" si="246"/>
        <v>0</v>
      </c>
      <c r="BN63" s="81">
        <f t="shared" ca="1" si="203"/>
        <v>31900</v>
      </c>
      <c r="BO63" s="130">
        <f t="shared" ca="1" si="247"/>
        <v>0.44838637130327225</v>
      </c>
      <c r="BP63" s="108"/>
      <c r="BQ63" s="98">
        <f t="shared" ca="1" si="248"/>
        <v>86288</v>
      </c>
      <c r="BR63" s="149">
        <f t="shared" ca="1" si="249"/>
        <v>0</v>
      </c>
      <c r="BS63" s="81">
        <f t="shared" ca="1" si="204"/>
        <v>20694</v>
      </c>
      <c r="BT63" s="145">
        <f t="shared" ca="1" si="250"/>
        <v>0.23982477285369924</v>
      </c>
      <c r="BU63" s="107"/>
      <c r="BV63" s="80">
        <f t="shared" ca="1" si="251"/>
        <v>93165</v>
      </c>
      <c r="BW63" s="115">
        <f t="shared" ca="1" si="252"/>
        <v>0</v>
      </c>
      <c r="BX63" s="81">
        <f t="shared" ca="1" si="205"/>
        <v>18193</v>
      </c>
      <c r="BY63" s="130">
        <f t="shared" ca="1" si="253"/>
        <v>0.19527719637202812</v>
      </c>
      <c r="BZ63" s="96"/>
      <c r="CA63" s="85">
        <f t="shared" ca="1" si="254"/>
        <v>250597</v>
      </c>
      <c r="CB63" s="167">
        <f t="shared" ca="1" si="255"/>
        <v>0</v>
      </c>
      <c r="CC63" s="198">
        <f t="shared" ca="1" si="206"/>
        <v>70787</v>
      </c>
      <c r="CD63" s="167">
        <f t="shared" ca="1" si="256"/>
        <v>0.28247345339329683</v>
      </c>
      <c r="CE63" s="87">
        <v>994904</v>
      </c>
      <c r="CF63" s="208">
        <f ca="1">S63+AM63+BG63+CA63</f>
        <v>2699037</v>
      </c>
      <c r="CG63" s="213">
        <f t="shared" ca="1" si="257"/>
        <v>0.36861443544493833</v>
      </c>
      <c r="CH63" s="89">
        <f t="shared" ca="1" si="208"/>
        <v>2365522</v>
      </c>
      <c r="CI63" s="167">
        <f t="shared" ca="1" si="258"/>
        <v>0.87643185328693163</v>
      </c>
    </row>
    <row r="64" spans="1:88" s="33" customFormat="1" ht="13.15">
      <c r="A64" s="30" t="s">
        <v>50</v>
      </c>
      <c r="B64" s="285"/>
      <c r="C64" s="31">
        <f>SUM(C59:C63)</f>
        <v>1469086</v>
      </c>
      <c r="D64" s="80">
        <f t="shared" ca="1" si="209"/>
        <v>1497610</v>
      </c>
      <c r="E64" s="112">
        <f t="shared" ca="1" si="210"/>
        <v>0.98095365282016012</v>
      </c>
      <c r="F64" s="81">
        <f t="shared" ca="1" si="193"/>
        <v>1507161</v>
      </c>
      <c r="G64" s="131">
        <f t="shared" ca="1" si="211"/>
        <v>1.0063774948083948</v>
      </c>
      <c r="H64" s="32">
        <f>SUM(H59:H63)</f>
        <v>1668630</v>
      </c>
      <c r="I64" s="98">
        <f t="shared" ca="1" si="212"/>
        <v>1734507</v>
      </c>
      <c r="J64" s="150">
        <f t="shared" ca="1" si="213"/>
        <v>0.96201975546942153</v>
      </c>
      <c r="K64" s="81">
        <f t="shared" ca="1" si="194"/>
        <v>1685575</v>
      </c>
      <c r="L64" s="146">
        <f t="shared" ca="1" si="214"/>
        <v>0.97178910203302726</v>
      </c>
      <c r="M64" s="31">
        <f>SUM(M59:M63)</f>
        <v>1931982</v>
      </c>
      <c r="N64" s="80">
        <f t="shared" ca="1" si="215"/>
        <v>1984343</v>
      </c>
      <c r="O64" s="112">
        <f t="shared" ca="1" si="216"/>
        <v>0.97361292881321426</v>
      </c>
      <c r="P64" s="81">
        <f t="shared" ca="1" si="195"/>
        <v>1967752</v>
      </c>
      <c r="Q64" s="131">
        <f t="shared" ca="1" si="217"/>
        <v>0.9916390462737541</v>
      </c>
      <c r="R64" s="41">
        <f>SUM(R59:R63)</f>
        <v>1966524</v>
      </c>
      <c r="S64" s="41">
        <f t="shared" ref="S64:S76" ca="1" si="260">N64+I64+D64</f>
        <v>5216460</v>
      </c>
      <c r="T64" s="168">
        <f t="shared" ca="1" si="219"/>
        <v>0.37698439171392095</v>
      </c>
      <c r="U64" s="164">
        <f t="shared" ref="U64:U76" ca="1" si="261">P64+K64+F64</f>
        <v>5160488</v>
      </c>
      <c r="V64" s="168">
        <f t="shared" ca="1" si="221"/>
        <v>0.98927011804940512</v>
      </c>
      <c r="W64" s="31">
        <f>SUM(W59:W63)</f>
        <v>1932062</v>
      </c>
      <c r="X64" s="80">
        <f t="shared" ca="1" si="222"/>
        <v>1951644</v>
      </c>
      <c r="Y64" s="112">
        <f t="shared" ca="1" si="223"/>
        <v>0.9899664078079814</v>
      </c>
      <c r="Z64" s="81">
        <f t="shared" ca="1" si="196"/>
        <v>1947409</v>
      </c>
      <c r="AA64" s="131">
        <f t="shared" ca="1" si="224"/>
        <v>0.99783003457597796</v>
      </c>
      <c r="AB64" s="32">
        <f>SUM(AB59:AB63)</f>
        <v>827260</v>
      </c>
      <c r="AC64" s="98">
        <f t="shared" ca="1" si="225"/>
        <v>838148</v>
      </c>
      <c r="AD64" s="150">
        <f t="shared" ca="1" si="226"/>
        <v>0.98700945417754382</v>
      </c>
      <c r="AE64" s="81">
        <f t="shared" ca="1" si="197"/>
        <v>845458</v>
      </c>
      <c r="AF64" s="146">
        <f t="shared" ca="1" si="227"/>
        <v>1.0087216100259142</v>
      </c>
      <c r="AG64" s="31">
        <f>SUM(AG59:AG63)</f>
        <v>1161316</v>
      </c>
      <c r="AH64" s="80">
        <f t="shared" ca="1" si="228"/>
        <v>1179400</v>
      </c>
      <c r="AI64" s="112">
        <f t="shared" ca="1" si="229"/>
        <v>0.98466677971850092</v>
      </c>
      <c r="AJ64" s="81">
        <f t="shared" ca="1" si="198"/>
        <v>1183580</v>
      </c>
      <c r="AK64" s="131">
        <f t="shared" ca="1" si="230"/>
        <v>1.0035441750042395</v>
      </c>
      <c r="AL64" s="157">
        <f>SUM(AL59:AL63)</f>
        <v>1942606</v>
      </c>
      <c r="AM64" s="177">
        <f ca="1">AH64+AC64+X64</f>
        <v>3969192</v>
      </c>
      <c r="AN64" s="168">
        <f t="shared" ca="1" si="232"/>
        <v>0.4894210207014425</v>
      </c>
      <c r="AO64" s="164">
        <f t="shared" ca="1" si="231"/>
        <v>3976447</v>
      </c>
      <c r="AP64" s="168">
        <f t="shared" ca="1" si="233"/>
        <v>1.0018278279307224</v>
      </c>
      <c r="AQ64" s="31">
        <f>SUM(AQ59:AQ63)</f>
        <v>1414998</v>
      </c>
      <c r="AR64" s="80">
        <f t="shared" ca="1" si="234"/>
        <v>1484704</v>
      </c>
      <c r="AS64" s="112">
        <f t="shared" ca="1" si="235"/>
        <v>0.9530505743905856</v>
      </c>
      <c r="AT64" s="81">
        <f t="shared" ca="1" si="199"/>
        <v>1447906</v>
      </c>
      <c r="AU64" s="131">
        <f t="shared" ca="1" si="236"/>
        <v>0.97521526176261397</v>
      </c>
      <c r="AV64" s="32">
        <f>SUM(AV59:AV63)</f>
        <v>1618018</v>
      </c>
      <c r="AW64" s="98">
        <f t="shared" ca="1" si="237"/>
        <v>1693812</v>
      </c>
      <c r="AX64" s="150">
        <f t="shared" ca="1" si="238"/>
        <v>0.95525241290060525</v>
      </c>
      <c r="AY64" s="81">
        <f t="shared" ca="1" si="200"/>
        <v>1625924</v>
      </c>
      <c r="AZ64" s="146">
        <f t="shared" ca="1" si="239"/>
        <v>0.95991999112062021</v>
      </c>
      <c r="BA64" s="31">
        <f>SUM(BA59:BA63)</f>
        <v>1029160</v>
      </c>
      <c r="BB64" s="80">
        <f t="shared" ca="1" si="240"/>
        <v>1069533</v>
      </c>
      <c r="BC64" s="112">
        <f t="shared" ca="1" si="241"/>
        <v>0.96225174912789035</v>
      </c>
      <c r="BD64" s="81">
        <f t="shared" ca="1" si="201"/>
        <v>1044290</v>
      </c>
      <c r="BE64" s="131">
        <f t="shared" ca="1" si="242"/>
        <v>0.97639811020323819</v>
      </c>
      <c r="BF64" s="157">
        <f>SUM(BF59:BF63)</f>
        <v>1127096</v>
      </c>
      <c r="BG64" s="184">
        <f t="shared" ca="1" si="202"/>
        <v>4248049</v>
      </c>
      <c r="BH64" s="168">
        <f t="shared" ca="1" si="243"/>
        <v>0.26532085670386568</v>
      </c>
      <c r="BI64" s="187">
        <f t="shared" ca="1" si="259"/>
        <v>4118120</v>
      </c>
      <c r="BJ64" s="168">
        <f t="shared" ca="1" si="244"/>
        <v>0.96941443001245986</v>
      </c>
      <c r="BK64" s="31">
        <f>SUM(BK59:BK63)</f>
        <v>1171180</v>
      </c>
      <c r="BL64" s="80">
        <f t="shared" ca="1" si="245"/>
        <v>1250256</v>
      </c>
      <c r="BM64" s="112">
        <f t="shared" ca="1" si="246"/>
        <v>0.93675215315903304</v>
      </c>
      <c r="BN64" s="81">
        <f t="shared" ca="1" si="203"/>
        <v>1206527</v>
      </c>
      <c r="BO64" s="131">
        <f t="shared" ca="1" si="247"/>
        <v>0.96502396309235872</v>
      </c>
      <c r="BP64" s="32">
        <f>SUM(BP59:BP63)</f>
        <v>1275291</v>
      </c>
      <c r="BQ64" s="98">
        <f t="shared" ca="1" si="248"/>
        <v>1293286</v>
      </c>
      <c r="BR64" s="150">
        <f t="shared" ca="1" si="249"/>
        <v>0.98608583097628832</v>
      </c>
      <c r="BS64" s="81">
        <f t="shared" ca="1" si="204"/>
        <v>1323120</v>
      </c>
      <c r="BT64" s="146">
        <f t="shared" ca="1" si="250"/>
        <v>1.0230683700279752</v>
      </c>
      <c r="BU64" s="31">
        <f>SUM(BU59:BU63)</f>
        <v>1478356</v>
      </c>
      <c r="BV64" s="80">
        <f t="shared" ca="1" si="251"/>
        <v>1575703</v>
      </c>
      <c r="BW64" s="112">
        <f t="shared" ca="1" si="252"/>
        <v>0.93821995642579847</v>
      </c>
      <c r="BX64" s="81">
        <f t="shared" ca="1" si="205"/>
        <v>1516725</v>
      </c>
      <c r="BY64" s="131">
        <f t="shared" ca="1" si="253"/>
        <v>0.9625703574848814</v>
      </c>
      <c r="BZ64" s="41">
        <f>SUM(BZ59:BZ63)</f>
        <v>1158898</v>
      </c>
      <c r="CA64" s="42">
        <f t="shared" ca="1" si="254"/>
        <v>4119245</v>
      </c>
      <c r="CB64" s="168">
        <f t="shared" ca="1" si="255"/>
        <v>0.28133747810581794</v>
      </c>
      <c r="CC64" s="199">
        <f ca="1">BN64+BS64+BX64</f>
        <v>4046372</v>
      </c>
      <c r="CD64" s="168">
        <f t="shared" ca="1" si="256"/>
        <v>0.98230913674714659</v>
      </c>
      <c r="CE64" s="52">
        <f>SUM(CE59:CE63)</f>
        <v>2344212</v>
      </c>
      <c r="CF64" s="209">
        <f ca="1">S64+AM64+BG64+CA64</f>
        <v>17552946</v>
      </c>
      <c r="CG64" s="215">
        <f t="shared" ca="1" si="257"/>
        <v>0.13355091504297911</v>
      </c>
      <c r="CH64" s="78">
        <f t="shared" ca="1" si="208"/>
        <v>17301427</v>
      </c>
      <c r="CI64" s="168">
        <f t="shared" ca="1" si="258"/>
        <v>0.98567083838804037</v>
      </c>
    </row>
    <row r="65" spans="1:88" s="105" customFormat="1" ht="13.15">
      <c r="A65" s="104" t="s">
        <v>40</v>
      </c>
      <c r="B65" s="285"/>
      <c r="C65" s="107">
        <v>868040</v>
      </c>
      <c r="D65" s="80">
        <f t="shared" ca="1" si="209"/>
        <v>951573</v>
      </c>
      <c r="E65" s="130">
        <f t="shared" ca="1" si="210"/>
        <v>0.91221587834039009</v>
      </c>
      <c r="F65" s="81">
        <f t="shared" ca="1" si="193"/>
        <v>890009</v>
      </c>
      <c r="G65" s="130">
        <f t="shared" ca="1" si="211"/>
        <v>0.93530291422728473</v>
      </c>
      <c r="H65" s="108">
        <v>919574</v>
      </c>
      <c r="I65" s="98">
        <f t="shared" ca="1" si="212"/>
        <v>1004978</v>
      </c>
      <c r="J65" s="149">
        <f t="shared" ca="1" si="213"/>
        <v>0.91501903524256256</v>
      </c>
      <c r="K65" s="81">
        <f t="shared" ca="1" si="194"/>
        <v>951120</v>
      </c>
      <c r="L65" s="145">
        <f t="shared" ca="1" si="214"/>
        <v>0.94640877710755855</v>
      </c>
      <c r="M65" s="107">
        <v>392226</v>
      </c>
      <c r="N65" s="80">
        <f t="shared" ca="1" si="215"/>
        <v>481505</v>
      </c>
      <c r="O65" s="115">
        <f t="shared" ca="1" si="216"/>
        <v>0.81458344150112671</v>
      </c>
      <c r="P65" s="81">
        <f t="shared" ca="1" si="195"/>
        <v>438698</v>
      </c>
      <c r="Q65" s="130">
        <f t="shared" ca="1" si="217"/>
        <v>0.91109749639152238</v>
      </c>
      <c r="R65" s="96">
        <v>105123</v>
      </c>
      <c r="S65" s="96">
        <f t="shared" ca="1" si="260"/>
        <v>2438056</v>
      </c>
      <c r="T65" s="167">
        <f t="shared" ca="1" si="219"/>
        <v>4.3117549391810527E-2</v>
      </c>
      <c r="U65" s="163">
        <f t="shared" ca="1" si="261"/>
        <v>2279827</v>
      </c>
      <c r="V65" s="167">
        <f t="shared" ca="1" si="221"/>
        <v>0.93510034223988292</v>
      </c>
      <c r="W65" s="107">
        <v>855555</v>
      </c>
      <c r="X65" s="80">
        <f t="shared" ca="1" si="222"/>
        <v>890954</v>
      </c>
      <c r="Y65" s="130">
        <f t="shared" ca="1" si="223"/>
        <v>0.96026843136682705</v>
      </c>
      <c r="Z65" s="81">
        <f t="shared" ca="1" si="196"/>
        <v>901590</v>
      </c>
      <c r="AA65" s="130">
        <f t="shared" ca="1" si="224"/>
        <v>1.0119377655861022</v>
      </c>
      <c r="AB65" s="108">
        <v>720715</v>
      </c>
      <c r="AC65" s="98">
        <f t="shared" ca="1" si="225"/>
        <v>798418</v>
      </c>
      <c r="AD65" s="149">
        <f t="shared" ca="1" si="226"/>
        <v>0.90267879732170364</v>
      </c>
      <c r="AE65" s="81">
        <f t="shared" ca="1" si="197"/>
        <v>737854</v>
      </c>
      <c r="AF65" s="145">
        <f t="shared" ca="1" si="227"/>
        <v>0.92414499673103567</v>
      </c>
      <c r="AG65" s="107">
        <v>166312</v>
      </c>
      <c r="AH65" s="80">
        <f t="shared" ca="1" si="228"/>
        <v>208060</v>
      </c>
      <c r="AI65" s="115">
        <f t="shared" ca="1" si="229"/>
        <v>0.79934634240123037</v>
      </c>
      <c r="AJ65" s="81">
        <f t="shared" ca="1" si="198"/>
        <v>176311</v>
      </c>
      <c r="AK65" s="130">
        <f t="shared" ca="1" si="230"/>
        <v>0.8474045948284149</v>
      </c>
      <c r="AL65" s="156">
        <v>904606</v>
      </c>
      <c r="AM65" s="176">
        <f t="shared" ca="1" si="231"/>
        <v>1897432</v>
      </c>
      <c r="AN65" s="167">
        <f t="shared" ca="1" si="232"/>
        <v>0.47675279008681209</v>
      </c>
      <c r="AO65" s="163">
        <f t="shared" ca="1" si="231"/>
        <v>1815755</v>
      </c>
      <c r="AP65" s="167">
        <f t="shared" ca="1" si="233"/>
        <v>0.9569539250945488</v>
      </c>
      <c r="AQ65" s="107"/>
      <c r="AR65" s="80">
        <f t="shared" ca="1" si="234"/>
        <v>97969</v>
      </c>
      <c r="AS65" s="130">
        <f t="shared" ca="1" si="235"/>
        <v>0</v>
      </c>
      <c r="AT65" s="81">
        <f t="shared" ca="1" si="199"/>
        <v>9173</v>
      </c>
      <c r="AU65" s="130">
        <f t="shared" ca="1" si="236"/>
        <v>9.3631658994171627E-2</v>
      </c>
      <c r="AV65" s="108"/>
      <c r="AW65" s="98">
        <f t="shared" ca="1" si="237"/>
        <v>31721</v>
      </c>
      <c r="AX65" s="149">
        <f t="shared" ca="1" si="238"/>
        <v>0</v>
      </c>
      <c r="AY65" s="81">
        <f t="shared" ca="1" si="200"/>
        <v>25305</v>
      </c>
      <c r="AZ65" s="145">
        <f t="shared" ca="1" si="239"/>
        <v>0.79773651524226852</v>
      </c>
      <c r="BA65" s="107"/>
      <c r="BB65" s="80">
        <f t="shared" ca="1" si="240"/>
        <v>23007</v>
      </c>
      <c r="BC65" s="115">
        <f t="shared" ca="1" si="241"/>
        <v>0</v>
      </c>
      <c r="BD65" s="81">
        <f t="shared" ca="1" si="201"/>
        <v>43270</v>
      </c>
      <c r="BE65" s="130">
        <f t="shared" ca="1" si="242"/>
        <v>1.8807319511453036</v>
      </c>
      <c r="BF65" s="156"/>
      <c r="BG65" s="183">
        <f t="shared" ref="BG65:BG74" ca="1" si="262">AR65+AW65+BB65</f>
        <v>152697</v>
      </c>
      <c r="BH65" s="167">
        <f t="shared" ca="1" si="243"/>
        <v>0</v>
      </c>
      <c r="BI65" s="186">
        <f t="shared" ca="1" si="259"/>
        <v>77748</v>
      </c>
      <c r="BJ65" s="167">
        <f t="shared" ca="1" si="244"/>
        <v>0.5091652095326038</v>
      </c>
      <c r="BK65" s="107"/>
      <c r="BL65" s="80">
        <f t="shared" ca="1" si="245"/>
        <v>74924</v>
      </c>
      <c r="BM65" s="130">
        <f t="shared" ca="1" si="246"/>
        <v>0</v>
      </c>
      <c r="BN65" s="81">
        <f t="shared" ca="1" si="203"/>
        <v>10405</v>
      </c>
      <c r="BO65" s="130">
        <f t="shared" ca="1" si="247"/>
        <v>0.13887405904650046</v>
      </c>
      <c r="BP65" s="108"/>
      <c r="BQ65" s="98">
        <f t="shared" ca="1" si="248"/>
        <v>62279</v>
      </c>
      <c r="BR65" s="149">
        <f t="shared" ca="1" si="249"/>
        <v>0</v>
      </c>
      <c r="BS65" s="81">
        <f t="shared" ca="1" si="204"/>
        <v>45044</v>
      </c>
      <c r="BT65" s="145">
        <f t="shared" ca="1" si="250"/>
        <v>0.72326145249602591</v>
      </c>
      <c r="BU65" s="107"/>
      <c r="BV65" s="80">
        <f t="shared" ca="1" si="251"/>
        <v>24364</v>
      </c>
      <c r="BW65" s="115">
        <f t="shared" ca="1" si="252"/>
        <v>0</v>
      </c>
      <c r="BX65" s="81">
        <f t="shared" ca="1" si="205"/>
        <v>6147</v>
      </c>
      <c r="BY65" s="130">
        <f t="shared" ca="1" si="253"/>
        <v>0.25229847315711706</v>
      </c>
      <c r="BZ65" s="96"/>
      <c r="CA65" s="85">
        <f t="shared" ca="1" si="254"/>
        <v>161567</v>
      </c>
      <c r="CB65" s="167">
        <f t="shared" ca="1" si="255"/>
        <v>0</v>
      </c>
      <c r="CC65" s="198">
        <f t="shared" ref="CC65:CC76" ca="1" si="263">BN65+BS65+BX65</f>
        <v>61596</v>
      </c>
      <c r="CD65" s="167">
        <f t="shared" ca="1" si="256"/>
        <v>0.38124121881324774</v>
      </c>
      <c r="CE65" s="87">
        <v>144278</v>
      </c>
      <c r="CF65" s="208">
        <f t="shared" ca="1" si="207"/>
        <v>4649752</v>
      </c>
      <c r="CG65" s="213">
        <f t="shared" ca="1" si="257"/>
        <v>3.1029181771414907E-2</v>
      </c>
      <c r="CH65" s="89">
        <f t="shared" ca="1" si="208"/>
        <v>4234926</v>
      </c>
      <c r="CI65" s="167">
        <f t="shared" ca="1" si="258"/>
        <v>0.9107853494121837</v>
      </c>
    </row>
    <row r="66" spans="1:88" s="105" customFormat="1" ht="13.15">
      <c r="A66" s="104" t="s">
        <v>41</v>
      </c>
      <c r="B66" s="285"/>
      <c r="C66" s="107"/>
      <c r="D66" s="80">
        <f t="shared" ca="1" si="209"/>
        <v>94782</v>
      </c>
      <c r="E66" s="130">
        <f t="shared" ca="1" si="210"/>
        <v>0</v>
      </c>
      <c r="F66" s="81">
        <f t="shared" ca="1" si="193"/>
        <v>9359</v>
      </c>
      <c r="G66" s="130">
        <f t="shared" ca="1" si="211"/>
        <v>9.8742377244624507E-2</v>
      </c>
      <c r="H66" s="108"/>
      <c r="I66" s="98">
        <f t="shared" ca="1" si="212"/>
        <v>59094</v>
      </c>
      <c r="J66" s="149">
        <f t="shared" ca="1" si="213"/>
        <v>0</v>
      </c>
      <c r="K66" s="81">
        <f t="shared" ca="1" si="194"/>
        <v>47599</v>
      </c>
      <c r="L66" s="145">
        <f t="shared" ca="1" si="214"/>
        <v>0.80547940569262533</v>
      </c>
      <c r="M66" s="107"/>
      <c r="N66" s="80">
        <f t="shared" ca="1" si="215"/>
        <v>33590</v>
      </c>
      <c r="O66" s="115">
        <f t="shared" ca="1" si="216"/>
        <v>0</v>
      </c>
      <c r="P66" s="81">
        <f t="shared" ca="1" si="195"/>
        <v>27111</v>
      </c>
      <c r="Q66" s="130">
        <f t="shared" ca="1" si="217"/>
        <v>0.80711521286097054</v>
      </c>
      <c r="R66" s="96"/>
      <c r="S66" s="96">
        <f t="shared" ca="1" si="260"/>
        <v>187466</v>
      </c>
      <c r="T66" s="167">
        <f t="shared" ca="1" si="219"/>
        <v>0</v>
      </c>
      <c r="U66" s="163">
        <f t="shared" ca="1" si="261"/>
        <v>84069</v>
      </c>
      <c r="V66" s="167">
        <f t="shared" ca="1" si="221"/>
        <v>0.44844931880981087</v>
      </c>
      <c r="W66" s="107"/>
      <c r="X66" s="80">
        <f t="shared" ca="1" si="222"/>
        <v>77426</v>
      </c>
      <c r="Y66" s="130">
        <f t="shared" ca="1" si="223"/>
        <v>0</v>
      </c>
      <c r="Z66" s="81">
        <f t="shared" ca="1" si="196"/>
        <v>14775</v>
      </c>
      <c r="AA66" s="130">
        <f t="shared" ca="1" si="224"/>
        <v>0.19082737065068581</v>
      </c>
      <c r="AB66" s="108"/>
      <c r="AC66" s="98">
        <f t="shared" ca="1" si="225"/>
        <v>56503</v>
      </c>
      <c r="AD66" s="149">
        <f t="shared" ca="1" si="226"/>
        <v>0</v>
      </c>
      <c r="AE66" s="81">
        <f t="shared" ca="1" si="197"/>
        <v>18198</v>
      </c>
      <c r="AF66" s="145">
        <f t="shared" ca="1" si="227"/>
        <v>0.32207139443923333</v>
      </c>
      <c r="AG66" s="107"/>
      <c r="AH66" s="80">
        <f t="shared" ca="1" si="228"/>
        <v>31598</v>
      </c>
      <c r="AI66" s="115">
        <f t="shared" ca="1" si="229"/>
        <v>0</v>
      </c>
      <c r="AJ66" s="81">
        <f t="shared" ca="1" si="198"/>
        <v>31981</v>
      </c>
      <c r="AK66" s="130">
        <f t="shared" ca="1" si="230"/>
        <v>1.0121210203177415</v>
      </c>
      <c r="AL66" s="156"/>
      <c r="AM66" s="176">
        <f t="shared" ca="1" si="231"/>
        <v>165527</v>
      </c>
      <c r="AN66" s="167">
        <f t="shared" ca="1" si="232"/>
        <v>0</v>
      </c>
      <c r="AO66" s="163">
        <f t="shared" ca="1" si="231"/>
        <v>64954</v>
      </c>
      <c r="AP66" s="167">
        <f t="shared" ca="1" si="233"/>
        <v>0.3924072809873918</v>
      </c>
      <c r="AQ66" s="107"/>
      <c r="AR66" s="80">
        <f t="shared" ca="1" si="234"/>
        <v>63818</v>
      </c>
      <c r="AS66" s="130">
        <f t="shared" ca="1" si="235"/>
        <v>0</v>
      </c>
      <c r="AT66" s="81">
        <f t="shared" ca="1" si="199"/>
        <v>16530</v>
      </c>
      <c r="AU66" s="130">
        <f t="shared" ca="1" si="236"/>
        <v>0.25901783195963524</v>
      </c>
      <c r="AV66" s="108"/>
      <c r="AW66" s="98">
        <f t="shared" ca="1" si="237"/>
        <v>63038</v>
      </c>
      <c r="AX66" s="149">
        <f t="shared" ca="1" si="238"/>
        <v>0</v>
      </c>
      <c r="AY66" s="81">
        <f t="shared" ca="1" si="200"/>
        <v>10914</v>
      </c>
      <c r="AZ66" s="145">
        <f t="shared" ca="1" si="239"/>
        <v>0.17313366540816649</v>
      </c>
      <c r="BA66" s="107"/>
      <c r="BB66" s="80">
        <f t="shared" ca="1" si="240"/>
        <v>72354</v>
      </c>
      <c r="BC66" s="115">
        <f t="shared" ca="1" si="241"/>
        <v>0</v>
      </c>
      <c r="BD66" s="81">
        <f t="shared" ca="1" si="201"/>
        <v>5208</v>
      </c>
      <c r="BE66" s="130">
        <f t="shared" ca="1" si="242"/>
        <v>7.1979434447300775E-2</v>
      </c>
      <c r="BF66" s="156"/>
      <c r="BG66" s="183">
        <f t="shared" ca="1" si="262"/>
        <v>199210</v>
      </c>
      <c r="BH66" s="167">
        <f t="shared" ca="1" si="243"/>
        <v>0</v>
      </c>
      <c r="BI66" s="186">
        <f t="shared" ca="1" si="259"/>
        <v>32652</v>
      </c>
      <c r="BJ66" s="167">
        <f t="shared" ca="1" si="244"/>
        <v>0.1639074343657447</v>
      </c>
      <c r="BK66" s="107"/>
      <c r="BL66" s="80">
        <f t="shared" ca="1" si="245"/>
        <v>58613</v>
      </c>
      <c r="BM66" s="130">
        <f t="shared" ca="1" si="246"/>
        <v>0</v>
      </c>
      <c r="BN66" s="81">
        <f t="shared" ca="1" si="203"/>
        <v>5008</v>
      </c>
      <c r="BO66" s="130">
        <f t="shared" ca="1" si="247"/>
        <v>8.544179618855885E-2</v>
      </c>
      <c r="BP66" s="108"/>
      <c r="BQ66" s="98">
        <f t="shared" ca="1" si="248"/>
        <v>81486</v>
      </c>
      <c r="BR66" s="149">
        <f t="shared" ca="1" si="249"/>
        <v>0</v>
      </c>
      <c r="BS66" s="81">
        <f t="shared" ca="1" si="204"/>
        <v>24561</v>
      </c>
      <c r="BT66" s="145">
        <f t="shared" ca="1" si="250"/>
        <v>0.3014137397835211</v>
      </c>
      <c r="BU66" s="107"/>
      <c r="BV66" s="80">
        <f t="shared" ca="1" si="251"/>
        <v>74301</v>
      </c>
      <c r="BW66" s="115">
        <f t="shared" ca="1" si="252"/>
        <v>0</v>
      </c>
      <c r="BX66" s="81">
        <f t="shared" ca="1" si="205"/>
        <v>8813</v>
      </c>
      <c r="BY66" s="130">
        <f t="shared" ca="1" si="253"/>
        <v>0.11861213173443157</v>
      </c>
      <c r="BZ66" s="96"/>
      <c r="CA66" s="85">
        <f t="shared" ca="1" si="254"/>
        <v>214400</v>
      </c>
      <c r="CB66" s="167">
        <f t="shared" ca="1" si="255"/>
        <v>0</v>
      </c>
      <c r="CC66" s="198">
        <f t="shared" ca="1" si="263"/>
        <v>38382</v>
      </c>
      <c r="CD66" s="167">
        <f t="shared" ca="1" si="256"/>
        <v>0.17902052238805971</v>
      </c>
      <c r="CE66" s="87"/>
      <c r="CF66" s="208">
        <f t="shared" ca="1" si="207"/>
        <v>766603</v>
      </c>
      <c r="CG66" s="213">
        <f t="shared" ca="1" si="257"/>
        <v>0</v>
      </c>
      <c r="CH66" s="89">
        <f t="shared" ca="1" si="208"/>
        <v>220057</v>
      </c>
      <c r="CI66" s="167">
        <f t="shared" ca="1" si="258"/>
        <v>0.28705470758658652</v>
      </c>
    </row>
    <row r="67" spans="1:88" s="105" customFormat="1" ht="12" customHeight="1">
      <c r="A67" s="104" t="s">
        <v>42</v>
      </c>
      <c r="B67" s="285"/>
      <c r="C67" s="107">
        <v>315827</v>
      </c>
      <c r="D67" s="80">
        <f t="shared" ca="1" si="209"/>
        <v>380574</v>
      </c>
      <c r="E67" s="130">
        <f t="shared" ca="1" si="210"/>
        <v>0.82987014352005128</v>
      </c>
      <c r="F67" s="81">
        <f t="shared" ca="1" si="193"/>
        <v>330950</v>
      </c>
      <c r="G67" s="130">
        <f t="shared" ca="1" si="211"/>
        <v>0.8696074876370955</v>
      </c>
      <c r="H67" s="108">
        <v>517475</v>
      </c>
      <c r="I67" s="98">
        <f t="shared" ca="1" si="212"/>
        <v>601683</v>
      </c>
      <c r="J67" s="149">
        <f t="shared" ca="1" si="213"/>
        <v>0.8600459045710116</v>
      </c>
      <c r="K67" s="81">
        <f t="shared" ca="1" si="194"/>
        <v>533869</v>
      </c>
      <c r="L67" s="145">
        <f t="shared" ca="1" si="214"/>
        <v>0.88729281033368068</v>
      </c>
      <c r="M67" s="107">
        <v>846983</v>
      </c>
      <c r="N67" s="80">
        <f t="shared" ca="1" si="215"/>
        <v>918569</v>
      </c>
      <c r="O67" s="115">
        <f t="shared" ca="1" si="216"/>
        <v>0.92206791215466666</v>
      </c>
      <c r="P67" s="81">
        <f t="shared" ca="1" si="195"/>
        <v>875723</v>
      </c>
      <c r="Q67" s="130">
        <f t="shared" ca="1" si="217"/>
        <v>0.95335570871649267</v>
      </c>
      <c r="R67" s="96">
        <v>112535</v>
      </c>
      <c r="S67" s="96">
        <f t="shared" ca="1" si="260"/>
        <v>1900826</v>
      </c>
      <c r="T67" s="167">
        <f t="shared" ca="1" si="219"/>
        <v>5.9203209552057892E-2</v>
      </c>
      <c r="U67" s="163">
        <f t="shared" ca="1" si="261"/>
        <v>1740542</v>
      </c>
      <c r="V67" s="167">
        <f t="shared" ca="1" si="221"/>
        <v>0.91567665846321544</v>
      </c>
      <c r="W67" s="107">
        <v>999366</v>
      </c>
      <c r="X67" s="80">
        <f t="shared" ca="1" si="222"/>
        <v>1081261</v>
      </c>
      <c r="Y67" s="130">
        <f t="shared" ca="1" si="223"/>
        <v>0.92425973007442241</v>
      </c>
      <c r="Z67" s="81">
        <f t="shared" ca="1" si="196"/>
        <v>1031688</v>
      </c>
      <c r="AA67" s="130">
        <f t="shared" ca="1" si="224"/>
        <v>0.95415260515268752</v>
      </c>
      <c r="AB67" s="108">
        <v>257039</v>
      </c>
      <c r="AC67" s="98">
        <f t="shared" ca="1" si="225"/>
        <v>333436</v>
      </c>
      <c r="AD67" s="149">
        <f t="shared" ca="1" si="226"/>
        <v>0.77087956909271949</v>
      </c>
      <c r="AE67" s="81">
        <f t="shared" ca="1" si="197"/>
        <v>272862</v>
      </c>
      <c r="AF67" s="145">
        <f t="shared" ca="1" si="227"/>
        <v>0.81833395314243218</v>
      </c>
      <c r="AG67" s="107">
        <v>410821</v>
      </c>
      <c r="AH67" s="80">
        <f t="shared" ca="1" si="228"/>
        <v>474345</v>
      </c>
      <c r="AI67" s="115">
        <f t="shared" ca="1" si="229"/>
        <v>0.86608059534726833</v>
      </c>
      <c r="AJ67" s="81">
        <f t="shared" ca="1" si="198"/>
        <v>448073</v>
      </c>
      <c r="AK67" s="130">
        <f t="shared" ca="1" si="230"/>
        <v>0.94461415214664435</v>
      </c>
      <c r="AL67" s="156">
        <v>535611</v>
      </c>
      <c r="AM67" s="176">
        <f t="shared" ca="1" si="231"/>
        <v>1889042</v>
      </c>
      <c r="AN67" s="167">
        <f t="shared" ca="1" si="232"/>
        <v>0.28353578162899501</v>
      </c>
      <c r="AO67" s="163">
        <f t="shared" ca="1" si="231"/>
        <v>1752623</v>
      </c>
      <c r="AP67" s="167">
        <f t="shared" ca="1" si="233"/>
        <v>0.92778403021213929</v>
      </c>
      <c r="AQ67" s="107">
        <v>117004</v>
      </c>
      <c r="AR67" s="80">
        <f t="shared" ca="1" si="234"/>
        <v>205592</v>
      </c>
      <c r="AS67" s="130">
        <f t="shared" ca="1" si="235"/>
        <v>0.56910774738316661</v>
      </c>
      <c r="AT67" s="81">
        <f t="shared" ca="1" si="199"/>
        <v>159020</v>
      </c>
      <c r="AU67" s="130">
        <f t="shared" ca="1" si="236"/>
        <v>0.77347367601852213</v>
      </c>
      <c r="AV67" s="108">
        <v>975688</v>
      </c>
      <c r="AW67" s="98">
        <f t="shared" ca="1" si="237"/>
        <v>1048201</v>
      </c>
      <c r="AX67" s="149">
        <f t="shared" ca="1" si="238"/>
        <v>0.93082147412566862</v>
      </c>
      <c r="AY67" s="81">
        <f t="shared" ca="1" si="200"/>
        <v>1016934</v>
      </c>
      <c r="AZ67" s="145">
        <f t="shared" ca="1" si="239"/>
        <v>0.97017079739477452</v>
      </c>
      <c r="BA67" s="107">
        <v>147710</v>
      </c>
      <c r="BB67" s="80">
        <f t="shared" ca="1" si="240"/>
        <v>181985</v>
      </c>
      <c r="BC67" s="115">
        <f t="shared" ca="1" si="241"/>
        <v>0.81166030167321479</v>
      </c>
      <c r="BD67" s="81">
        <f t="shared" ca="1" si="201"/>
        <v>158659</v>
      </c>
      <c r="BE67" s="130">
        <f t="shared" ca="1" si="242"/>
        <v>0.871824600928648</v>
      </c>
      <c r="BF67" s="156">
        <v>318322</v>
      </c>
      <c r="BG67" s="183">
        <f t="shared" ca="1" si="262"/>
        <v>1435778</v>
      </c>
      <c r="BH67" s="167">
        <f t="shared" ca="1" si="243"/>
        <v>0.22170697698390698</v>
      </c>
      <c r="BI67" s="186">
        <f t="shared" ca="1" si="259"/>
        <v>1334613</v>
      </c>
      <c r="BJ67" s="167">
        <f t="shared" ca="1" si="244"/>
        <v>0.92953994280452823</v>
      </c>
      <c r="BK67" s="107">
        <v>276028</v>
      </c>
      <c r="BL67" s="80">
        <f t="shared" ca="1" si="245"/>
        <v>312319</v>
      </c>
      <c r="BM67" s="130">
        <f t="shared" ca="1" si="246"/>
        <v>0.88380149782754169</v>
      </c>
      <c r="BN67" s="81">
        <f t="shared" ca="1" si="203"/>
        <v>311501</v>
      </c>
      <c r="BO67" s="130">
        <f t="shared" ca="1" si="247"/>
        <v>0.99738088300743788</v>
      </c>
      <c r="BP67" s="108">
        <v>800910</v>
      </c>
      <c r="BQ67" s="98">
        <f t="shared" ca="1" si="248"/>
        <v>817700</v>
      </c>
      <c r="BR67" s="149">
        <f t="shared" ca="1" si="249"/>
        <v>0.97946679711385598</v>
      </c>
      <c r="BS67" s="81">
        <f t="shared" ca="1" si="204"/>
        <v>808310</v>
      </c>
      <c r="BT67" s="145">
        <f t="shared" ca="1" si="250"/>
        <v>0.98851657086951206</v>
      </c>
      <c r="BU67" s="107">
        <v>213990</v>
      </c>
      <c r="BV67" s="80">
        <f t="shared" ca="1" si="251"/>
        <v>302468</v>
      </c>
      <c r="BW67" s="115">
        <f t="shared" ca="1" si="252"/>
        <v>0.70747979951598183</v>
      </c>
      <c r="BX67" s="81">
        <f t="shared" ca="1" si="205"/>
        <v>257034</v>
      </c>
      <c r="BY67" s="130">
        <f t="shared" ca="1" si="253"/>
        <v>0.84978906859568615</v>
      </c>
      <c r="BZ67" s="96">
        <v>632144</v>
      </c>
      <c r="CA67" s="85">
        <f t="shared" ca="1" si="254"/>
        <v>1432487</v>
      </c>
      <c r="CB67" s="167">
        <f t="shared" ca="1" si="255"/>
        <v>0.44129126477238539</v>
      </c>
      <c r="CC67" s="198">
        <f t="shared" ca="1" si="263"/>
        <v>1376845</v>
      </c>
      <c r="CD67" s="167">
        <f t="shared" ca="1" si="256"/>
        <v>0.96115706460163342</v>
      </c>
      <c r="CE67" s="87">
        <v>846163</v>
      </c>
      <c r="CF67" s="208">
        <f t="shared" ca="1" si="207"/>
        <v>6658133</v>
      </c>
      <c r="CG67" s="213">
        <f t="shared" ca="1" si="257"/>
        <v>0.12708712787804027</v>
      </c>
      <c r="CH67" s="89">
        <f t="shared" ca="1" si="208"/>
        <v>6204623</v>
      </c>
      <c r="CI67" s="167">
        <f t="shared" ca="1" si="258"/>
        <v>0.93188631107248832</v>
      </c>
    </row>
    <row r="68" spans="1:88" s="33" customFormat="1" ht="13.15">
      <c r="A68" s="34" t="s">
        <v>51</v>
      </c>
      <c r="B68" s="285"/>
      <c r="C68" s="113">
        <f>SUM(C65:C67)</f>
        <v>1183867</v>
      </c>
      <c r="D68" s="80">
        <f t="shared" ca="1" si="209"/>
        <v>1200018</v>
      </c>
      <c r="E68" s="112">
        <f t="shared" ca="1" si="210"/>
        <v>0.98654103521780512</v>
      </c>
      <c r="F68" s="81">
        <f t="shared" ca="1" si="193"/>
        <v>1212299</v>
      </c>
      <c r="G68" s="131">
        <f t="shared" ca="1" si="211"/>
        <v>1.0102340131564693</v>
      </c>
      <c r="H68" s="114">
        <f>SUM(H65:H67)</f>
        <v>1437049</v>
      </c>
      <c r="I68" s="98">
        <f t="shared" ca="1" si="212"/>
        <v>1498711</v>
      </c>
      <c r="J68" s="150">
        <f t="shared" ca="1" si="213"/>
        <v>0.95885664414286675</v>
      </c>
      <c r="K68" s="81">
        <f t="shared" ca="1" si="194"/>
        <v>1474575</v>
      </c>
      <c r="L68" s="146">
        <f t="shared" ca="1" si="214"/>
        <v>0.98389549419467792</v>
      </c>
      <c r="M68" s="113">
        <f>SUM(M65:M67)</f>
        <v>1239209</v>
      </c>
      <c r="N68" s="80">
        <f t="shared" ca="1" si="215"/>
        <v>1255003</v>
      </c>
      <c r="O68" s="112">
        <f t="shared" ca="1" si="216"/>
        <v>0.98741516952549113</v>
      </c>
      <c r="P68" s="81">
        <f t="shared" ca="1" si="195"/>
        <v>1274991</v>
      </c>
      <c r="Q68" s="131">
        <f t="shared" ca="1" si="217"/>
        <v>1.015926655155406</v>
      </c>
      <c r="R68" s="41">
        <f>SUM(R65:R67)</f>
        <v>217658</v>
      </c>
      <c r="S68" s="41">
        <f t="shared" ca="1" si="260"/>
        <v>3953732</v>
      </c>
      <c r="T68" s="168">
        <f t="shared" ca="1" si="219"/>
        <v>5.5051278134178039E-2</v>
      </c>
      <c r="U68" s="164">
        <f t="shared" ca="1" si="261"/>
        <v>3961865</v>
      </c>
      <c r="V68" s="168">
        <f t="shared" ca="1" si="221"/>
        <v>1.0020570438259346</v>
      </c>
      <c r="W68" s="113">
        <f>SUM(W65:W67)</f>
        <v>1854921</v>
      </c>
      <c r="X68" s="80">
        <f t="shared" ca="1" si="222"/>
        <v>1903648</v>
      </c>
      <c r="Y68" s="112">
        <f t="shared" ca="1" si="223"/>
        <v>0.97440335608263717</v>
      </c>
      <c r="Z68" s="81">
        <f t="shared" ca="1" si="196"/>
        <v>1894123</v>
      </c>
      <c r="AA68" s="131">
        <f t="shared" ca="1" si="224"/>
        <v>0.99499644892333039</v>
      </c>
      <c r="AB68" s="114">
        <f>SUM(AB65:AB67)</f>
        <v>977754</v>
      </c>
      <c r="AC68" s="98">
        <f t="shared" ca="1" si="225"/>
        <v>1039757</v>
      </c>
      <c r="AD68" s="150">
        <f t="shared" ca="1" si="226"/>
        <v>0.94036779747575638</v>
      </c>
      <c r="AE68" s="81">
        <f t="shared" ca="1" si="197"/>
        <v>1006825</v>
      </c>
      <c r="AF68" s="146">
        <f t="shared" ca="1" si="227"/>
        <v>0.96832721491656226</v>
      </c>
      <c r="AG68" s="113">
        <f>SUM(AG65:AG67)</f>
        <v>577133</v>
      </c>
      <c r="AH68" s="80">
        <f t="shared" ca="1" si="228"/>
        <v>651955</v>
      </c>
      <c r="AI68" s="112">
        <f t="shared" ca="1" si="229"/>
        <v>0.88523441035040762</v>
      </c>
      <c r="AJ68" s="81">
        <f t="shared" ca="1" si="198"/>
        <v>627024</v>
      </c>
      <c r="AK68" s="131">
        <f t="shared" ca="1" si="230"/>
        <v>0.96175963064935466</v>
      </c>
      <c r="AL68" s="157">
        <f>SUM(AL65:AL67)</f>
        <v>1440217</v>
      </c>
      <c r="AM68" s="177">
        <f t="shared" ca="1" si="231"/>
        <v>3595360</v>
      </c>
      <c r="AN68" s="168">
        <f t="shared" ca="1" si="232"/>
        <v>0.40057657647634731</v>
      </c>
      <c r="AO68" s="164">
        <f t="shared" ca="1" si="231"/>
        <v>3527972</v>
      </c>
      <c r="AP68" s="168">
        <f t="shared" ca="1" si="233"/>
        <v>0.98125695340661301</v>
      </c>
      <c r="AQ68" s="113">
        <f>SUM(AQ65:AQ67)</f>
        <v>117004</v>
      </c>
      <c r="AR68" s="80">
        <f t="shared" ca="1" si="234"/>
        <v>186383</v>
      </c>
      <c r="AS68" s="112">
        <f t="shared" ca="1" si="235"/>
        <v>0.62776111555238412</v>
      </c>
      <c r="AT68" s="81">
        <f t="shared" ca="1" si="199"/>
        <v>133453</v>
      </c>
      <c r="AU68" s="131">
        <f t="shared" ca="1" si="236"/>
        <v>0.71601487260104191</v>
      </c>
      <c r="AV68" s="114">
        <f>SUM(AV65:AV67)</f>
        <v>975688</v>
      </c>
      <c r="AW68" s="98">
        <f t="shared" ca="1" si="237"/>
        <v>1002045</v>
      </c>
      <c r="AX68" s="150">
        <f t="shared" ca="1" si="238"/>
        <v>0.97369679006431842</v>
      </c>
      <c r="AY68" s="81">
        <f t="shared" ca="1" si="200"/>
        <v>991260</v>
      </c>
      <c r="AZ68" s="146">
        <f t="shared" ca="1" si="239"/>
        <v>0.98923701031390809</v>
      </c>
      <c r="BA68" s="113">
        <f>SUM(BA65:BA67)</f>
        <v>147710</v>
      </c>
      <c r="BB68" s="80">
        <f t="shared" ca="1" si="240"/>
        <v>239460</v>
      </c>
      <c r="BC68" s="112">
        <f t="shared" ca="1" si="241"/>
        <v>0.61684623736740996</v>
      </c>
      <c r="BD68" s="81">
        <f t="shared" ca="1" si="201"/>
        <v>163453</v>
      </c>
      <c r="BE68" s="131">
        <f t="shared" ca="1" si="242"/>
        <v>0.68258999415351207</v>
      </c>
      <c r="BF68" s="157">
        <f>SUM(BF65:BF67)</f>
        <v>318322</v>
      </c>
      <c r="BG68" s="184">
        <f t="shared" ca="1" si="262"/>
        <v>1427888</v>
      </c>
      <c r="BH68" s="168">
        <f t="shared" ca="1" si="243"/>
        <v>0.22293205069305155</v>
      </c>
      <c r="BI68" s="187">
        <f t="shared" ca="1" si="259"/>
        <v>1288166</v>
      </c>
      <c r="BJ68" s="168">
        <f t="shared" ca="1" si="244"/>
        <v>0.90214778750154079</v>
      </c>
      <c r="BK68" s="113">
        <f>SUM(BK65:BK67)</f>
        <v>276028</v>
      </c>
      <c r="BL68" s="80">
        <f t="shared" ca="1" si="245"/>
        <v>369093</v>
      </c>
      <c r="BM68" s="112">
        <f t="shared" ca="1" si="246"/>
        <v>0.74785487668419615</v>
      </c>
      <c r="BN68" s="81">
        <f t="shared" ca="1" si="203"/>
        <v>312170</v>
      </c>
      <c r="BO68" s="131">
        <f t="shared" ca="1" si="247"/>
        <v>0.84577599683548588</v>
      </c>
      <c r="BP68" s="114">
        <f>SUM(BP65:BP67)</f>
        <v>800910</v>
      </c>
      <c r="BQ68" s="98">
        <f t="shared" ca="1" si="248"/>
        <v>822867</v>
      </c>
      <c r="BR68" s="150">
        <f t="shared" ca="1" si="249"/>
        <v>0.97331646547984063</v>
      </c>
      <c r="BS68" s="81">
        <f t="shared" ca="1" si="204"/>
        <v>845984</v>
      </c>
      <c r="BT68" s="146">
        <f t="shared" ca="1" si="250"/>
        <v>1.0280932398552864</v>
      </c>
      <c r="BU68" s="113">
        <f>SUM(BU65:BU67)</f>
        <v>213990</v>
      </c>
      <c r="BV68" s="80">
        <f t="shared" ca="1" si="251"/>
        <v>242450</v>
      </c>
      <c r="BW68" s="112">
        <f t="shared" ca="1" si="252"/>
        <v>0.88261497215920803</v>
      </c>
      <c r="BX68" s="81">
        <f t="shared" ca="1" si="205"/>
        <v>238570</v>
      </c>
      <c r="BY68" s="131">
        <f t="shared" ca="1" si="253"/>
        <v>0.98399670035058773</v>
      </c>
      <c r="BZ68" s="41">
        <f>SUM(BZ65:BZ67)</f>
        <v>632144</v>
      </c>
      <c r="CA68" s="42">
        <f t="shared" ca="1" si="254"/>
        <v>1434410</v>
      </c>
      <c r="CB68" s="168">
        <f t="shared" ca="1" si="255"/>
        <v>0.44069966048758724</v>
      </c>
      <c r="CC68" s="199">
        <f t="shared" ca="1" si="263"/>
        <v>1396724</v>
      </c>
      <c r="CD68" s="168">
        <f t="shared" ca="1" si="256"/>
        <v>0.97372717702748868</v>
      </c>
      <c r="CE68" s="52">
        <f>SUM(CE65:CE67)</f>
        <v>990441</v>
      </c>
      <c r="CF68" s="209">
        <f t="shared" ca="1" si="207"/>
        <v>10411390</v>
      </c>
      <c r="CG68" s="215">
        <f t="shared" ca="1" si="257"/>
        <v>9.5130525318905548E-2</v>
      </c>
      <c r="CH68" s="78">
        <f t="shared" ca="1" si="208"/>
        <v>10174727</v>
      </c>
      <c r="CI68" s="168">
        <f t="shared" ca="1" si="258"/>
        <v>0.9772688373022238</v>
      </c>
    </row>
    <row r="69" spans="1:88" s="105" customFormat="1" ht="13.15">
      <c r="A69" s="110" t="s">
        <v>47</v>
      </c>
      <c r="B69" s="285"/>
      <c r="C69" s="107">
        <v>874473</v>
      </c>
      <c r="D69" s="80">
        <f t="shared" ca="1" si="209"/>
        <v>903399</v>
      </c>
      <c r="E69" s="130">
        <f t="shared" ca="1" si="210"/>
        <v>0.96798092537184566</v>
      </c>
      <c r="F69" s="81">
        <f t="shared" ca="1" si="193"/>
        <v>913048</v>
      </c>
      <c r="G69" s="130">
        <f t="shared" ca="1" si="211"/>
        <v>1.0106807733902738</v>
      </c>
      <c r="H69" s="108">
        <v>376663</v>
      </c>
      <c r="I69" s="98">
        <f t="shared" ca="1" si="212"/>
        <v>447493</v>
      </c>
      <c r="J69" s="149">
        <f t="shared" ca="1" si="213"/>
        <v>0.84171819447455043</v>
      </c>
      <c r="K69" s="81">
        <f t="shared" ca="1" si="194"/>
        <v>387291</v>
      </c>
      <c r="L69" s="145">
        <f t="shared" ca="1" si="214"/>
        <v>0.86546828665476327</v>
      </c>
      <c r="M69" s="107">
        <v>116324</v>
      </c>
      <c r="N69" s="80">
        <f t="shared" ca="1" si="215"/>
        <v>214000</v>
      </c>
      <c r="O69" s="115">
        <f t="shared" ca="1" si="216"/>
        <v>0.54357009345794394</v>
      </c>
      <c r="P69" s="81">
        <f t="shared" ca="1" si="195"/>
        <v>123442</v>
      </c>
      <c r="Q69" s="130">
        <f t="shared" ca="1" si="217"/>
        <v>0.57683177570093458</v>
      </c>
      <c r="R69" s="96">
        <v>998228</v>
      </c>
      <c r="S69" s="96">
        <f t="shared" ca="1" si="260"/>
        <v>1564892</v>
      </c>
      <c r="T69" s="167">
        <f t="shared" ca="1" si="219"/>
        <v>0.63788938789386107</v>
      </c>
      <c r="U69" s="163">
        <f t="shared" ca="1" si="261"/>
        <v>1423781</v>
      </c>
      <c r="V69" s="167">
        <f t="shared" ca="1" si="221"/>
        <v>0.90982700403606132</v>
      </c>
      <c r="W69" s="107">
        <v>744221</v>
      </c>
      <c r="X69" s="80">
        <f t="shared" ca="1" si="222"/>
        <v>832575</v>
      </c>
      <c r="Y69" s="130">
        <f t="shared" ca="1" si="223"/>
        <v>0.8938786295528931</v>
      </c>
      <c r="Z69" s="81">
        <f t="shared" ca="1" si="196"/>
        <v>781878</v>
      </c>
      <c r="AA69" s="130">
        <f t="shared" ca="1" si="224"/>
        <v>0.93910818845149091</v>
      </c>
      <c r="AB69" s="108">
        <v>875992</v>
      </c>
      <c r="AC69" s="98">
        <f t="shared" ca="1" si="225"/>
        <v>932507</v>
      </c>
      <c r="AD69" s="149">
        <f t="shared" ca="1" si="226"/>
        <v>0.9393945568237021</v>
      </c>
      <c r="AE69" s="81">
        <f t="shared" ca="1" si="197"/>
        <v>894999</v>
      </c>
      <c r="AF69" s="145">
        <f t="shared" ca="1" si="227"/>
        <v>0.95977724563997913</v>
      </c>
      <c r="AG69" s="107">
        <v>212746</v>
      </c>
      <c r="AH69" s="80">
        <f t="shared" ca="1" si="228"/>
        <v>279257</v>
      </c>
      <c r="AI69" s="115">
        <f t="shared" ca="1" si="229"/>
        <v>0.76182870975481365</v>
      </c>
      <c r="AJ69" s="81">
        <f t="shared" ca="1" si="198"/>
        <v>249780</v>
      </c>
      <c r="AK69" s="130">
        <f t="shared" ca="1" si="230"/>
        <v>0.89444490200782789</v>
      </c>
      <c r="AL69" s="156">
        <v>563716</v>
      </c>
      <c r="AM69" s="176">
        <f t="shared" ca="1" si="231"/>
        <v>2044339</v>
      </c>
      <c r="AN69" s="167">
        <f t="shared" ca="1" si="232"/>
        <v>0.27574487401551306</v>
      </c>
      <c r="AO69" s="163">
        <f t="shared" ca="1" si="231"/>
        <v>1926657</v>
      </c>
      <c r="AP69" s="167">
        <f t="shared" ca="1" si="233"/>
        <v>0.94243518320591646</v>
      </c>
      <c r="AQ69" s="107">
        <v>905652</v>
      </c>
      <c r="AR69" s="80">
        <f t="shared" ca="1" si="234"/>
        <v>944154</v>
      </c>
      <c r="AS69" s="130">
        <f t="shared" ca="1" si="235"/>
        <v>0.95922063561664728</v>
      </c>
      <c r="AT69" s="81">
        <f t="shared" ca="1" si="199"/>
        <v>940541</v>
      </c>
      <c r="AU69" s="130">
        <f t="shared" ca="1" si="236"/>
        <v>0.99617329376351738</v>
      </c>
      <c r="AV69" s="108">
        <v>201116</v>
      </c>
      <c r="AW69" s="98">
        <f t="shared" ca="1" si="237"/>
        <v>250929</v>
      </c>
      <c r="AX69" s="149">
        <f t="shared" ca="1" si="238"/>
        <v>0.8014856792160332</v>
      </c>
      <c r="AY69" s="81">
        <f t="shared" ca="1" si="200"/>
        <v>225735</v>
      </c>
      <c r="AZ69" s="145">
        <f t="shared" ca="1" si="239"/>
        <v>0.89959709718685366</v>
      </c>
      <c r="BA69" s="107">
        <v>276435</v>
      </c>
      <c r="BB69" s="80">
        <f t="shared" ca="1" si="240"/>
        <v>322125</v>
      </c>
      <c r="BC69" s="115">
        <f t="shared" ca="1" si="241"/>
        <v>0.85816065192083824</v>
      </c>
      <c r="BD69" s="81">
        <f t="shared" ca="1" si="201"/>
        <v>310506</v>
      </c>
      <c r="BE69" s="130">
        <f t="shared" ca="1" si="242"/>
        <v>0.96393015133876603</v>
      </c>
      <c r="BF69" s="156">
        <v>290418</v>
      </c>
      <c r="BG69" s="183">
        <f t="shared" ca="1" si="262"/>
        <v>1517208</v>
      </c>
      <c r="BH69" s="167">
        <f t="shared" ca="1" si="243"/>
        <v>0.19141607479000902</v>
      </c>
      <c r="BI69" s="186">
        <f t="shared" ca="1" si="259"/>
        <v>1476782</v>
      </c>
      <c r="BJ69" s="167">
        <f t="shared" ca="1" si="244"/>
        <v>0.97335500471919478</v>
      </c>
      <c r="BK69" s="107">
        <v>198029</v>
      </c>
      <c r="BL69" s="80">
        <f t="shared" ca="1" si="245"/>
        <v>255645</v>
      </c>
      <c r="BM69" s="130">
        <f t="shared" ca="1" si="246"/>
        <v>0.77462496821764559</v>
      </c>
      <c r="BN69" s="81">
        <f t="shared" ca="1" si="203"/>
        <v>237861</v>
      </c>
      <c r="BO69" s="130">
        <f t="shared" ca="1" si="247"/>
        <v>0.93043478260869561</v>
      </c>
      <c r="BP69" s="108">
        <v>508274</v>
      </c>
      <c r="BQ69" s="98">
        <f t="shared" ca="1" si="248"/>
        <v>568369</v>
      </c>
      <c r="BR69" s="149">
        <f t="shared" ca="1" si="249"/>
        <v>0.8942676324711587</v>
      </c>
      <c r="BS69" s="81">
        <f t="shared" ca="1" si="204"/>
        <v>526808</v>
      </c>
      <c r="BT69" s="145">
        <f t="shared" ca="1" si="250"/>
        <v>0.92687672973015767</v>
      </c>
      <c r="BU69" s="107">
        <v>395552</v>
      </c>
      <c r="BV69" s="80">
        <f t="shared" ca="1" si="251"/>
        <v>430762</v>
      </c>
      <c r="BW69" s="115">
        <f t="shared" ca="1" si="252"/>
        <v>0.91826112795464776</v>
      </c>
      <c r="BX69" s="81">
        <f t="shared" ca="1" si="205"/>
        <v>443923</v>
      </c>
      <c r="BY69" s="130">
        <f t="shared" ca="1" si="253"/>
        <v>1.0305528342797183</v>
      </c>
      <c r="BZ69" s="96">
        <v>575272</v>
      </c>
      <c r="CA69" s="85">
        <f t="shared" ca="1" si="254"/>
        <v>1254776</v>
      </c>
      <c r="CB69" s="167">
        <f t="shared" ca="1" si="255"/>
        <v>0.45846589351406147</v>
      </c>
      <c r="CC69" s="198">
        <f t="shared" ca="1" si="263"/>
        <v>1208592</v>
      </c>
      <c r="CD69" s="167">
        <f t="shared" ca="1" si="256"/>
        <v>0.96319343054059048</v>
      </c>
      <c r="CE69" s="87">
        <v>804436</v>
      </c>
      <c r="CF69" s="208">
        <f t="shared" ca="1" si="207"/>
        <v>6381215</v>
      </c>
      <c r="CG69" s="201">
        <f t="shared" ca="1" si="257"/>
        <v>0.12606314001330468</v>
      </c>
      <c r="CH69" s="89">
        <f t="shared" ca="1" si="208"/>
        <v>6035812</v>
      </c>
      <c r="CI69" s="167">
        <f t="shared" ca="1" si="258"/>
        <v>0.94587190683905809</v>
      </c>
    </row>
    <row r="70" spans="1:88" s="105" customFormat="1" ht="13.15">
      <c r="A70" s="110" t="s">
        <v>43</v>
      </c>
      <c r="B70" s="285"/>
      <c r="C70" s="107">
        <v>574563</v>
      </c>
      <c r="D70" s="80">
        <f t="shared" ca="1" si="209"/>
        <v>597571</v>
      </c>
      <c r="E70" s="130">
        <f t="shared" ca="1" si="210"/>
        <v>0.96149746222624588</v>
      </c>
      <c r="F70" s="81">
        <f t="shared" ca="1" si="193"/>
        <v>609575</v>
      </c>
      <c r="G70" s="130">
        <f t="shared" ca="1" si="211"/>
        <v>1.0200879895443387</v>
      </c>
      <c r="H70" s="108">
        <v>657101</v>
      </c>
      <c r="I70" s="98">
        <f t="shared" ca="1" si="212"/>
        <v>742487</v>
      </c>
      <c r="J70" s="149">
        <f t="shared" ca="1" si="213"/>
        <v>0.8850000067341246</v>
      </c>
      <c r="K70" s="81">
        <f t="shared" ca="1" si="194"/>
        <v>665820</v>
      </c>
      <c r="L70" s="145">
        <f t="shared" ca="1" si="214"/>
        <v>0.89674297327764663</v>
      </c>
      <c r="M70" s="107">
        <v>575233</v>
      </c>
      <c r="N70" s="80">
        <f t="shared" ca="1" si="215"/>
        <v>587463</v>
      </c>
      <c r="O70" s="115">
        <f t="shared" ca="1" si="216"/>
        <v>0.97918166761140701</v>
      </c>
      <c r="P70" s="81">
        <f t="shared" ca="1" si="195"/>
        <v>591736</v>
      </c>
      <c r="Q70" s="130">
        <f t="shared" ca="1" si="217"/>
        <v>1.0072736495745265</v>
      </c>
      <c r="R70" s="96">
        <v>844465</v>
      </c>
      <c r="S70" s="96">
        <f t="shared" ca="1" si="260"/>
        <v>1927521</v>
      </c>
      <c r="T70" s="167">
        <f t="shared" ca="1" si="219"/>
        <v>0.43810936430783376</v>
      </c>
      <c r="U70" s="163">
        <f t="shared" ca="1" si="261"/>
        <v>1867131</v>
      </c>
      <c r="V70" s="167">
        <f t="shared" ca="1" si="221"/>
        <v>0.96866960204324626</v>
      </c>
      <c r="W70" s="107">
        <v>312790</v>
      </c>
      <c r="X70" s="80">
        <f t="shared" ca="1" si="222"/>
        <v>391799</v>
      </c>
      <c r="Y70" s="130">
        <f t="shared" ca="1" si="223"/>
        <v>0.79834302793013767</v>
      </c>
      <c r="Z70" s="81">
        <f t="shared" ca="1" si="196"/>
        <v>319917</v>
      </c>
      <c r="AA70" s="130">
        <f t="shared" ca="1" si="224"/>
        <v>0.81653347762500672</v>
      </c>
      <c r="AB70" s="108">
        <v>101996</v>
      </c>
      <c r="AC70" s="98">
        <f t="shared" ca="1" si="225"/>
        <v>126089</v>
      </c>
      <c r="AD70" s="149">
        <f t="shared" ca="1" si="226"/>
        <v>0.80892068300962017</v>
      </c>
      <c r="AE70" s="81">
        <f t="shared" ca="1" si="197"/>
        <v>126477</v>
      </c>
      <c r="AF70" s="145">
        <f t="shared" ca="1" si="227"/>
        <v>1.003077191507586</v>
      </c>
      <c r="AG70" s="107">
        <v>540915</v>
      </c>
      <c r="AH70" s="80">
        <f t="shared" ca="1" si="228"/>
        <v>578817</v>
      </c>
      <c r="AI70" s="115">
        <f t="shared" ca="1" si="229"/>
        <v>0.93451816377196939</v>
      </c>
      <c r="AJ70" s="81">
        <f t="shared" ca="1" si="198"/>
        <v>561075</v>
      </c>
      <c r="AK70" s="130">
        <f t="shared" ca="1" si="230"/>
        <v>0.96934782496022054</v>
      </c>
      <c r="AL70" s="156">
        <v>749323</v>
      </c>
      <c r="AM70" s="176">
        <f t="shared" ca="1" si="231"/>
        <v>1096705</v>
      </c>
      <c r="AN70" s="167">
        <f t="shared" ca="1" si="232"/>
        <v>0.68324936970288275</v>
      </c>
      <c r="AO70" s="163">
        <f t="shared" ca="1" si="231"/>
        <v>1007469</v>
      </c>
      <c r="AP70" s="167">
        <f t="shared" ca="1" si="233"/>
        <v>0.91863263138218576</v>
      </c>
      <c r="AQ70" s="107">
        <v>804412</v>
      </c>
      <c r="AR70" s="80">
        <f t="shared" ca="1" si="234"/>
        <v>821443</v>
      </c>
      <c r="AS70" s="130">
        <f t="shared" ca="1" si="235"/>
        <v>0.97926697287578079</v>
      </c>
      <c r="AT70" s="81">
        <f t="shared" ca="1" si="199"/>
        <v>851343</v>
      </c>
      <c r="AU70" s="130">
        <f t="shared" ca="1" si="236"/>
        <v>1.0363993606373174</v>
      </c>
      <c r="AV70" s="108">
        <v>571557</v>
      </c>
      <c r="AW70" s="98">
        <f t="shared" ca="1" si="237"/>
        <v>581693</v>
      </c>
      <c r="AX70" s="149">
        <f t="shared" ca="1" si="238"/>
        <v>0.98257500090253791</v>
      </c>
      <c r="AY70" s="81">
        <f t="shared" ca="1" si="200"/>
        <v>615701</v>
      </c>
      <c r="AZ70" s="145">
        <f t="shared" ca="1" si="239"/>
        <v>1.0584638288581778</v>
      </c>
      <c r="BA70" s="107">
        <v>239340</v>
      </c>
      <c r="BB70" s="80">
        <f t="shared" ca="1" si="240"/>
        <v>304555</v>
      </c>
      <c r="BC70" s="115">
        <f t="shared" ca="1" si="241"/>
        <v>0.78586790563280851</v>
      </c>
      <c r="BD70" s="81">
        <f t="shared" ca="1" si="201"/>
        <v>259862</v>
      </c>
      <c r="BE70" s="130">
        <f t="shared" ca="1" si="242"/>
        <v>0.85325146525258166</v>
      </c>
      <c r="BF70" s="156">
        <v>318807</v>
      </c>
      <c r="BG70" s="183">
        <f t="shared" ca="1" si="262"/>
        <v>1707691</v>
      </c>
      <c r="BH70" s="167">
        <f t="shared" ca="1" si="243"/>
        <v>0.18668892674377274</v>
      </c>
      <c r="BI70" s="186">
        <f t="shared" ca="1" si="259"/>
        <v>1726906</v>
      </c>
      <c r="BJ70" s="167">
        <f t="shared" ca="1" si="244"/>
        <v>1.0112520356434507</v>
      </c>
      <c r="BK70" s="107">
        <v>764994</v>
      </c>
      <c r="BL70" s="80">
        <f t="shared" ca="1" si="245"/>
        <v>819790</v>
      </c>
      <c r="BM70" s="130">
        <f t="shared" ca="1" si="246"/>
        <v>0.93315849180887789</v>
      </c>
      <c r="BN70" s="81">
        <f t="shared" ca="1" si="203"/>
        <v>796874</v>
      </c>
      <c r="BO70" s="130">
        <f t="shared" ca="1" si="247"/>
        <v>0.97204649971334123</v>
      </c>
      <c r="BP70" s="108">
        <v>591045</v>
      </c>
      <c r="BQ70" s="98">
        <f t="shared" ca="1" si="248"/>
        <v>623771</v>
      </c>
      <c r="BR70" s="149">
        <f t="shared" ca="1" si="249"/>
        <v>0.94753523328272715</v>
      </c>
      <c r="BS70" s="81">
        <f t="shared" ca="1" si="204"/>
        <v>600778</v>
      </c>
      <c r="BT70" s="145">
        <f t="shared" ca="1" si="250"/>
        <v>0.96313871597108558</v>
      </c>
      <c r="BU70" s="107">
        <v>319584</v>
      </c>
      <c r="BV70" s="80">
        <f t="shared" ca="1" si="251"/>
        <v>392887</v>
      </c>
      <c r="BW70" s="115">
        <f t="shared" ca="1" si="252"/>
        <v>0.81342472517543207</v>
      </c>
      <c r="BX70" s="81">
        <f t="shared" ca="1" si="205"/>
        <v>364658</v>
      </c>
      <c r="BY70" s="130">
        <f t="shared" ca="1" si="253"/>
        <v>0.9281498242497207</v>
      </c>
      <c r="BZ70" s="96">
        <v>373191</v>
      </c>
      <c r="CA70" s="85">
        <f t="shared" ca="1" si="254"/>
        <v>1836448</v>
      </c>
      <c r="CB70" s="167">
        <f t="shared" ca="1" si="255"/>
        <v>0.20321348603390893</v>
      </c>
      <c r="CC70" s="198">
        <f t="shared" ca="1" si="263"/>
        <v>1762310</v>
      </c>
      <c r="CD70" s="167">
        <f t="shared" ca="1" si="256"/>
        <v>0.95962967641882591</v>
      </c>
      <c r="CE70" s="87">
        <v>825431</v>
      </c>
      <c r="CF70" s="208">
        <f t="shared" ca="1" si="207"/>
        <v>6568365</v>
      </c>
      <c r="CG70" s="201">
        <f t="shared" ca="1" si="257"/>
        <v>0.12566765092987373</v>
      </c>
      <c r="CH70" s="89">
        <f t="shared" ca="1" si="208"/>
        <v>6363816</v>
      </c>
      <c r="CI70" s="167">
        <f t="shared" ca="1" si="258"/>
        <v>0.96885846021041766</v>
      </c>
    </row>
    <row r="71" spans="1:88" s="105" customFormat="1" ht="13.15">
      <c r="A71" s="34" t="s">
        <v>44</v>
      </c>
      <c r="B71" s="285"/>
      <c r="C71" s="107">
        <v>320460</v>
      </c>
      <c r="D71" s="80">
        <f t="shared" ca="1" si="209"/>
        <v>344377</v>
      </c>
      <c r="E71" s="130">
        <f t="shared" ca="1" si="210"/>
        <v>0.93054994961916737</v>
      </c>
      <c r="F71" s="81">
        <f t="shared" ca="1" si="193"/>
        <v>365068</v>
      </c>
      <c r="G71" s="130">
        <f t="shared" ca="1" si="211"/>
        <v>1.060082409684735</v>
      </c>
      <c r="H71" s="108">
        <v>631819</v>
      </c>
      <c r="I71" s="98">
        <f t="shared" ca="1" si="212"/>
        <v>723507</v>
      </c>
      <c r="J71" s="149">
        <f t="shared" ca="1" si="213"/>
        <v>0.87327282251588445</v>
      </c>
      <c r="K71" s="81">
        <f t="shared" ca="1" si="194"/>
        <v>663127</v>
      </c>
      <c r="L71" s="145">
        <f t="shared" ca="1" si="214"/>
        <v>0.91654538242200834</v>
      </c>
      <c r="M71" s="107">
        <v>673729</v>
      </c>
      <c r="N71" s="80">
        <f t="shared" ca="1" si="215"/>
        <v>752346</v>
      </c>
      <c r="O71" s="115">
        <f t="shared" ca="1" si="216"/>
        <v>0.89550419620759603</v>
      </c>
      <c r="P71" s="81">
        <f t="shared" ca="1" si="195"/>
        <v>697385</v>
      </c>
      <c r="Q71" s="130">
        <f t="shared" ca="1" si="217"/>
        <v>0.92694717590045006</v>
      </c>
      <c r="R71" s="96">
        <v>209105</v>
      </c>
      <c r="S71" s="96">
        <f t="shared" ca="1" si="260"/>
        <v>1820230</v>
      </c>
      <c r="T71" s="167">
        <f t="shared" ca="1" si="219"/>
        <v>0.11487833955049637</v>
      </c>
      <c r="U71" s="163">
        <f t="shared" ca="1" si="261"/>
        <v>1725580</v>
      </c>
      <c r="V71" s="167">
        <f t="shared" ca="1" si="221"/>
        <v>0.94800107678699941</v>
      </c>
      <c r="W71" s="107">
        <v>552877</v>
      </c>
      <c r="X71" s="80">
        <f t="shared" ca="1" si="222"/>
        <v>615334</v>
      </c>
      <c r="Y71" s="130">
        <f t="shared" ca="1" si="223"/>
        <v>0.8984990265449333</v>
      </c>
      <c r="Z71" s="81">
        <f t="shared" ca="1" si="196"/>
        <v>562616</v>
      </c>
      <c r="AA71" s="130">
        <f t="shared" ca="1" si="224"/>
        <v>0.91432620333022396</v>
      </c>
      <c r="AB71" s="108">
        <v>299282</v>
      </c>
      <c r="AC71" s="98">
        <f t="shared" ca="1" si="225"/>
        <v>347468</v>
      </c>
      <c r="AD71" s="149">
        <f t="shared" ca="1" si="226"/>
        <v>0.86132248149469881</v>
      </c>
      <c r="AE71" s="81">
        <f t="shared" ca="1" si="197"/>
        <v>323833</v>
      </c>
      <c r="AF71" s="145">
        <f t="shared" ca="1" si="227"/>
        <v>0.93197934773849678</v>
      </c>
      <c r="AG71" s="107">
        <v>173226</v>
      </c>
      <c r="AH71" s="80">
        <f t="shared" ca="1" si="228"/>
        <v>209225</v>
      </c>
      <c r="AI71" s="115">
        <f t="shared" ca="1" si="229"/>
        <v>0.8279412116142908</v>
      </c>
      <c r="AJ71" s="81">
        <f t="shared" ca="1" si="198"/>
        <v>201195</v>
      </c>
      <c r="AK71" s="130">
        <f t="shared" ca="1" si="230"/>
        <v>0.96162026526466726</v>
      </c>
      <c r="AL71" s="156">
        <v>303272</v>
      </c>
      <c r="AM71" s="176">
        <f t="shared" ca="1" si="231"/>
        <v>1172027</v>
      </c>
      <c r="AN71" s="167">
        <f t="shared" ca="1" si="232"/>
        <v>0.25875854395845832</v>
      </c>
      <c r="AO71" s="163">
        <f t="shared" ca="1" si="231"/>
        <v>1087644</v>
      </c>
      <c r="AP71" s="167">
        <f t="shared" ca="1" si="233"/>
        <v>0.92800251188752481</v>
      </c>
      <c r="AQ71" s="107">
        <v>124242</v>
      </c>
      <c r="AR71" s="80">
        <f t="shared" ca="1" si="234"/>
        <v>204605</v>
      </c>
      <c r="AS71" s="130">
        <f t="shared" ca="1" si="235"/>
        <v>0.60722856235184863</v>
      </c>
      <c r="AT71" s="81">
        <f t="shared" ca="1" si="199"/>
        <v>145659</v>
      </c>
      <c r="AU71" s="130">
        <f t="shared" ca="1" si="236"/>
        <v>0.71190342366999826</v>
      </c>
      <c r="AV71" s="108">
        <v>284002</v>
      </c>
      <c r="AW71" s="98">
        <f t="shared" ca="1" si="237"/>
        <v>383187</v>
      </c>
      <c r="AX71" s="149">
        <f t="shared" ca="1" si="238"/>
        <v>0.74115771150900212</v>
      </c>
      <c r="AY71" s="81">
        <f t="shared" ca="1" si="200"/>
        <v>328164</v>
      </c>
      <c r="AZ71" s="145">
        <f t="shared" ca="1" si="239"/>
        <v>0.85640692403447927</v>
      </c>
      <c r="BA71" s="107">
        <v>281614</v>
      </c>
      <c r="BB71" s="80">
        <f t="shared" ca="1" si="240"/>
        <v>296941</v>
      </c>
      <c r="BC71" s="115">
        <f t="shared" ca="1" si="241"/>
        <v>0.94838368564799069</v>
      </c>
      <c r="BD71" s="81">
        <f t="shared" ca="1" si="201"/>
        <v>302714</v>
      </c>
      <c r="BE71" s="130">
        <f t="shared" ca="1" si="242"/>
        <v>1.0194415725682879</v>
      </c>
      <c r="BF71" s="156">
        <v>924193</v>
      </c>
      <c r="BG71" s="183">
        <f t="shared" ca="1" si="262"/>
        <v>884733</v>
      </c>
      <c r="BH71" s="167">
        <f t="shared" ca="1" si="243"/>
        <v>1.0446010265243864</v>
      </c>
      <c r="BI71" s="186">
        <f t="shared" ca="1" si="259"/>
        <v>776537</v>
      </c>
      <c r="BJ71" s="167">
        <f t="shared" ca="1" si="244"/>
        <v>0.87770773781468536</v>
      </c>
      <c r="BK71" s="107">
        <v>136992</v>
      </c>
      <c r="BL71" s="80">
        <f t="shared" ca="1" si="245"/>
        <v>198732</v>
      </c>
      <c r="BM71" s="130">
        <f t="shared" ca="1" si="246"/>
        <v>0.68933035444719526</v>
      </c>
      <c r="BN71" s="81">
        <f t="shared" ca="1" si="203"/>
        <v>183289</v>
      </c>
      <c r="BO71" s="130">
        <f t="shared" ca="1" si="247"/>
        <v>0.92229233339371619</v>
      </c>
      <c r="BP71" s="108">
        <v>941369</v>
      </c>
      <c r="BQ71" s="98">
        <f t="shared" ca="1" si="248"/>
        <v>1033758</v>
      </c>
      <c r="BR71" s="149">
        <f t="shared" ca="1" si="249"/>
        <v>0.91062801932367154</v>
      </c>
      <c r="BS71" s="81">
        <f t="shared" ca="1" si="204"/>
        <v>991145</v>
      </c>
      <c r="BT71" s="145">
        <f t="shared" ca="1" si="250"/>
        <v>0.95877855358797703</v>
      </c>
      <c r="BU71" s="107">
        <v>567112</v>
      </c>
      <c r="BV71" s="80">
        <f t="shared" ca="1" si="251"/>
        <v>580517</v>
      </c>
      <c r="BW71" s="115">
        <f t="shared" ca="1" si="252"/>
        <v>0.97690851430707459</v>
      </c>
      <c r="BX71" s="81">
        <f t="shared" ca="1" si="205"/>
        <v>614590</v>
      </c>
      <c r="BY71" s="130">
        <f t="shared" ca="1" si="253"/>
        <v>1.058694232899295</v>
      </c>
      <c r="BZ71" s="96">
        <v>647109</v>
      </c>
      <c r="CA71" s="85">
        <f t="shared" ca="1" si="254"/>
        <v>1813007</v>
      </c>
      <c r="CB71" s="167">
        <f t="shared" ca="1" si="255"/>
        <v>0.35692581440667354</v>
      </c>
      <c r="CC71" s="198">
        <f t="shared" ca="1" si="263"/>
        <v>1789024</v>
      </c>
      <c r="CD71" s="167">
        <f t="shared" ca="1" si="256"/>
        <v>0.98677170027473693</v>
      </c>
      <c r="CE71" s="87">
        <v>833939</v>
      </c>
      <c r="CF71" s="208">
        <f t="shared" ca="1" si="207"/>
        <v>5689997</v>
      </c>
      <c r="CG71" s="201">
        <f t="shared" ca="1" si="257"/>
        <v>0.14656229168486382</v>
      </c>
      <c r="CH71" s="89">
        <f t="shared" ca="1" si="208"/>
        <v>5378785</v>
      </c>
      <c r="CI71" s="167">
        <f t="shared" ca="1" si="258"/>
        <v>0.94530541931744427</v>
      </c>
    </row>
    <row r="72" spans="1:88" s="105" customFormat="1" ht="13.15">
      <c r="A72" s="30" t="s">
        <v>45</v>
      </c>
      <c r="B72" s="285"/>
      <c r="C72" s="107">
        <v>289544</v>
      </c>
      <c r="D72" s="80">
        <f t="shared" ca="1" si="209"/>
        <v>354473</v>
      </c>
      <c r="E72" s="130">
        <f t="shared" ca="1" si="210"/>
        <v>0.81682949053947695</v>
      </c>
      <c r="F72" s="81">
        <f t="shared" ca="1" si="193"/>
        <v>316711</v>
      </c>
      <c r="G72" s="130">
        <f t="shared" ca="1" si="211"/>
        <v>0.89347002451526636</v>
      </c>
      <c r="H72" s="108">
        <v>140669</v>
      </c>
      <c r="I72" s="98">
        <f t="shared" ca="1" si="212"/>
        <v>181577</v>
      </c>
      <c r="J72" s="149">
        <f t="shared" ca="1" si="213"/>
        <v>0.77470714903319249</v>
      </c>
      <c r="K72" s="81">
        <f t="shared" ca="1" si="194"/>
        <v>158081</v>
      </c>
      <c r="L72" s="145">
        <f t="shared" ca="1" si="214"/>
        <v>0.87060035136608716</v>
      </c>
      <c r="M72" s="107">
        <v>716915</v>
      </c>
      <c r="N72" s="80">
        <f t="shared" ca="1" si="215"/>
        <v>780832</v>
      </c>
      <c r="O72" s="115">
        <f t="shared" ca="1" si="216"/>
        <v>0.91814244293266667</v>
      </c>
      <c r="P72" s="81">
        <f t="shared" ca="1" si="195"/>
        <v>761176</v>
      </c>
      <c r="Q72" s="130">
        <f t="shared" ca="1" si="217"/>
        <v>0.97482685135855085</v>
      </c>
      <c r="R72" s="96">
        <v>758480</v>
      </c>
      <c r="S72" s="96">
        <f t="shared" ca="1" si="260"/>
        <v>1316882</v>
      </c>
      <c r="T72" s="167">
        <f t="shared" ca="1" si="219"/>
        <v>0.57596656344304198</v>
      </c>
      <c r="U72" s="163">
        <f t="shared" ca="1" si="261"/>
        <v>1235968</v>
      </c>
      <c r="V72" s="167">
        <f t="shared" ca="1" si="221"/>
        <v>0.93855637786832835</v>
      </c>
      <c r="W72" s="107">
        <v>616188</v>
      </c>
      <c r="X72" s="80">
        <f t="shared" ca="1" si="222"/>
        <v>640837</v>
      </c>
      <c r="Y72" s="130">
        <f t="shared" ca="1" si="223"/>
        <v>0.96153624088496759</v>
      </c>
      <c r="Z72" s="81">
        <f t="shared" ca="1" si="196"/>
        <v>641698</v>
      </c>
      <c r="AA72" s="130">
        <f t="shared" ca="1" si="224"/>
        <v>1.0013435553814776</v>
      </c>
      <c r="AB72" s="108">
        <v>765249</v>
      </c>
      <c r="AC72" s="98">
        <f t="shared" ca="1" si="225"/>
        <v>824668</v>
      </c>
      <c r="AD72" s="149">
        <f t="shared" ca="1" si="226"/>
        <v>0.92794797421507802</v>
      </c>
      <c r="AE72" s="81">
        <f t="shared" ca="1" si="197"/>
        <v>798273</v>
      </c>
      <c r="AF72" s="145">
        <f t="shared" ca="1" si="227"/>
        <v>0.96799318028588477</v>
      </c>
      <c r="AG72" s="107">
        <v>575047</v>
      </c>
      <c r="AH72" s="80">
        <f t="shared" ca="1" si="228"/>
        <v>585080</v>
      </c>
      <c r="AI72" s="115">
        <f t="shared" ca="1" si="229"/>
        <v>0.98285191768647018</v>
      </c>
      <c r="AJ72" s="81">
        <f t="shared" ca="1" si="198"/>
        <v>620607</v>
      </c>
      <c r="AK72" s="130">
        <f t="shared" ca="1" si="230"/>
        <v>1.0607216107199016</v>
      </c>
      <c r="AL72" s="156">
        <v>602603</v>
      </c>
      <c r="AM72" s="176">
        <f t="shared" ca="1" si="231"/>
        <v>2050585</v>
      </c>
      <c r="AN72" s="167">
        <f t="shared" ca="1" si="232"/>
        <v>0.29386882279934751</v>
      </c>
      <c r="AO72" s="163">
        <f t="shared" ca="1" si="231"/>
        <v>2060578</v>
      </c>
      <c r="AP72" s="167">
        <f t="shared" ca="1" si="233"/>
        <v>1.004873243489053</v>
      </c>
      <c r="AQ72" s="107">
        <v>201268</v>
      </c>
      <c r="AR72" s="80">
        <f t="shared" ca="1" si="234"/>
        <v>249859</v>
      </c>
      <c r="AS72" s="130">
        <f t="shared" ca="1" si="235"/>
        <v>0.80552631684269926</v>
      </c>
      <c r="AT72" s="81">
        <f t="shared" ca="1" si="199"/>
        <v>207862</v>
      </c>
      <c r="AU72" s="130">
        <f t="shared" ca="1" si="236"/>
        <v>0.83191720130153402</v>
      </c>
      <c r="AV72" s="108">
        <v>827015</v>
      </c>
      <c r="AW72" s="98">
        <f t="shared" ca="1" si="237"/>
        <v>908140</v>
      </c>
      <c r="AX72" s="149">
        <f t="shared" ca="1" si="238"/>
        <v>0.91066905983658908</v>
      </c>
      <c r="AY72" s="81">
        <f t="shared" ca="1" si="200"/>
        <v>850752</v>
      </c>
      <c r="AZ72" s="145">
        <f t="shared" ca="1" si="239"/>
        <v>0.93680710022683722</v>
      </c>
      <c r="BA72" s="107">
        <v>994932</v>
      </c>
      <c r="BB72" s="80">
        <f t="shared" ca="1" si="240"/>
        <v>1066251</v>
      </c>
      <c r="BC72" s="115">
        <f t="shared" ca="1" si="241"/>
        <v>0.93311237222755239</v>
      </c>
      <c r="BD72" s="81">
        <f t="shared" ca="1" si="201"/>
        <v>1001231</v>
      </c>
      <c r="BE72" s="130">
        <f t="shared" ca="1" si="242"/>
        <v>0.93901998685112609</v>
      </c>
      <c r="BF72" s="156">
        <v>324929</v>
      </c>
      <c r="BG72" s="183">
        <f t="shared" ca="1" si="262"/>
        <v>2224250</v>
      </c>
      <c r="BH72" s="167">
        <f t="shared" ca="1" si="243"/>
        <v>0.14608474766775317</v>
      </c>
      <c r="BI72" s="186">
        <f t="shared" ca="1" si="259"/>
        <v>2059845</v>
      </c>
      <c r="BJ72" s="167">
        <f t="shared" ca="1" si="244"/>
        <v>0.92608519725750249</v>
      </c>
      <c r="BK72" s="107">
        <v>246715</v>
      </c>
      <c r="BL72" s="80">
        <f t="shared" ca="1" si="245"/>
        <v>285212</v>
      </c>
      <c r="BM72" s="130">
        <f t="shared" ca="1" si="246"/>
        <v>0.86502321080459443</v>
      </c>
      <c r="BN72" s="81">
        <f t="shared" ca="1" si="203"/>
        <v>264358</v>
      </c>
      <c r="BO72" s="130">
        <f t="shared" ca="1" si="247"/>
        <v>0.92688245936356117</v>
      </c>
      <c r="BP72" s="108">
        <v>339825</v>
      </c>
      <c r="BQ72" s="98">
        <f t="shared" ca="1" si="248"/>
        <v>377355</v>
      </c>
      <c r="BR72" s="149">
        <f t="shared" ca="1" si="249"/>
        <v>0.90054458003736537</v>
      </c>
      <c r="BS72" s="81">
        <f t="shared" ca="1" si="204"/>
        <v>352250</v>
      </c>
      <c r="BT72" s="145">
        <f t="shared" ca="1" si="250"/>
        <v>0.93347113460799513</v>
      </c>
      <c r="BU72" s="107">
        <v>311698</v>
      </c>
      <c r="BV72" s="80">
        <f t="shared" ca="1" si="251"/>
        <v>326707</v>
      </c>
      <c r="BW72" s="115">
        <f t="shared" ca="1" si="252"/>
        <v>0.95405975384671893</v>
      </c>
      <c r="BX72" s="81">
        <f t="shared" ca="1" si="205"/>
        <v>346459</v>
      </c>
      <c r="BY72" s="130">
        <f t="shared" ca="1" si="253"/>
        <v>1.0604578414297827</v>
      </c>
      <c r="BZ72" s="96">
        <v>463334</v>
      </c>
      <c r="CA72" s="85">
        <f t="shared" ca="1" si="254"/>
        <v>989274</v>
      </c>
      <c r="CB72" s="167">
        <f t="shared" ca="1" si="255"/>
        <v>0.46835760365682311</v>
      </c>
      <c r="CC72" s="198">
        <f t="shared" ca="1" si="263"/>
        <v>963067</v>
      </c>
      <c r="CD72" s="167">
        <f t="shared" ca="1" si="256"/>
        <v>0.97350885598934167</v>
      </c>
      <c r="CE72" s="87">
        <v>737412</v>
      </c>
      <c r="CF72" s="208">
        <f t="shared" ca="1" si="207"/>
        <v>6580991</v>
      </c>
      <c r="CG72" s="201">
        <f t="shared" ca="1" si="257"/>
        <v>0.1120518171199444</v>
      </c>
      <c r="CH72" s="89">
        <f t="shared" ca="1" si="208"/>
        <v>6319458</v>
      </c>
      <c r="CI72" s="167">
        <f t="shared" ca="1" si="258"/>
        <v>0.96025932872419972</v>
      </c>
    </row>
    <row r="73" spans="1:88" s="105" customFormat="1" ht="13.15">
      <c r="A73" s="30" t="s">
        <v>46</v>
      </c>
      <c r="B73" s="285"/>
      <c r="C73" s="107">
        <v>352500</v>
      </c>
      <c r="D73" s="80">
        <f t="shared" ca="1" si="209"/>
        <v>372573</v>
      </c>
      <c r="E73" s="130">
        <f t="shared" ca="1" si="210"/>
        <v>0.94612331006272599</v>
      </c>
      <c r="F73" s="81">
        <f t="shared" ca="1" si="193"/>
        <v>388407</v>
      </c>
      <c r="G73" s="130">
        <f t="shared" ca="1" si="211"/>
        <v>1.0424990538766898</v>
      </c>
      <c r="H73" s="108">
        <v>458313</v>
      </c>
      <c r="I73" s="98">
        <f t="shared" ca="1" si="212"/>
        <v>496459</v>
      </c>
      <c r="J73" s="149">
        <f t="shared" ca="1" si="213"/>
        <v>0.92316384635992099</v>
      </c>
      <c r="K73" s="81">
        <f t="shared" ca="1" si="194"/>
        <v>492929</v>
      </c>
      <c r="L73" s="145">
        <f t="shared" ca="1" si="214"/>
        <v>0.9928896444620805</v>
      </c>
      <c r="M73" s="107">
        <v>862331</v>
      </c>
      <c r="N73" s="80">
        <f t="shared" ca="1" si="215"/>
        <v>937194</v>
      </c>
      <c r="O73" s="115">
        <f t="shared" ca="1" si="216"/>
        <v>0.92012006052108741</v>
      </c>
      <c r="P73" s="81">
        <f t="shared" ca="1" si="195"/>
        <v>883962</v>
      </c>
      <c r="Q73" s="130">
        <f t="shared" ca="1" si="217"/>
        <v>0.94320066069565101</v>
      </c>
      <c r="R73" s="96">
        <v>595113</v>
      </c>
      <c r="S73" s="96">
        <f t="shared" ca="1" si="260"/>
        <v>1806226</v>
      </c>
      <c r="T73" s="167">
        <f t="shared" ca="1" si="219"/>
        <v>0.32947870310802746</v>
      </c>
      <c r="U73" s="163">
        <f t="shared" ca="1" si="261"/>
        <v>1765298</v>
      </c>
      <c r="V73" s="167">
        <f t="shared" ca="1" si="221"/>
        <v>0.97734059857404332</v>
      </c>
      <c r="W73" s="107">
        <v>944949</v>
      </c>
      <c r="X73" s="80">
        <f t="shared" ca="1" si="222"/>
        <v>990532</v>
      </c>
      <c r="Y73" s="130">
        <f t="shared" ca="1" si="223"/>
        <v>0.9539812949001143</v>
      </c>
      <c r="Z73" s="81">
        <f t="shared" ca="1" si="196"/>
        <v>969915</v>
      </c>
      <c r="AA73" s="130">
        <f t="shared" ca="1" si="224"/>
        <v>0.97918593240803931</v>
      </c>
      <c r="AB73" s="108">
        <v>380676</v>
      </c>
      <c r="AC73" s="98">
        <f t="shared" ca="1" si="225"/>
        <v>420803</v>
      </c>
      <c r="AD73" s="149">
        <f t="shared" ca="1" si="226"/>
        <v>0.90464183953061172</v>
      </c>
      <c r="AE73" s="81">
        <f t="shared" ca="1" si="197"/>
        <v>396818</v>
      </c>
      <c r="AF73" s="145">
        <f t="shared" ca="1" si="227"/>
        <v>0.94300183221127221</v>
      </c>
      <c r="AG73" s="107">
        <v>388466</v>
      </c>
      <c r="AH73" s="80">
        <f t="shared" ca="1" si="228"/>
        <v>485231</v>
      </c>
      <c r="AI73" s="115">
        <f t="shared" ca="1" si="229"/>
        <v>0.80057951779667824</v>
      </c>
      <c r="AJ73" s="81">
        <f t="shared" ca="1" si="198"/>
        <v>407069</v>
      </c>
      <c r="AK73" s="130">
        <f t="shared" ca="1" si="230"/>
        <v>0.83891795866298735</v>
      </c>
      <c r="AL73" s="156">
        <v>461746</v>
      </c>
      <c r="AM73" s="176">
        <f t="shared" ca="1" si="231"/>
        <v>1896566</v>
      </c>
      <c r="AN73" s="167">
        <f t="shared" ca="1" si="232"/>
        <v>0.2434642401055381</v>
      </c>
      <c r="AO73" s="163">
        <f t="shared" ca="1" si="231"/>
        <v>1773802</v>
      </c>
      <c r="AP73" s="167">
        <f t="shared" ca="1" si="233"/>
        <v>0.93527037814660818</v>
      </c>
      <c r="AQ73" s="107">
        <v>121316</v>
      </c>
      <c r="AR73" s="80">
        <f t="shared" ca="1" si="234"/>
        <v>169767</v>
      </c>
      <c r="AS73" s="130">
        <f t="shared" ca="1" si="235"/>
        <v>0.71460295581591238</v>
      </c>
      <c r="AT73" s="81">
        <f t="shared" ca="1" si="199"/>
        <v>149008</v>
      </c>
      <c r="AU73" s="130">
        <f t="shared" ca="1" si="236"/>
        <v>0.87772064064276334</v>
      </c>
      <c r="AV73" s="108">
        <v>151714</v>
      </c>
      <c r="AW73" s="98">
        <f t="shared" ca="1" si="237"/>
        <v>251185</v>
      </c>
      <c r="AX73" s="149">
        <f t="shared" ca="1" si="238"/>
        <v>0.60399307283476322</v>
      </c>
      <c r="AY73" s="81">
        <f t="shared" ca="1" si="200"/>
        <v>178138</v>
      </c>
      <c r="AZ73" s="145">
        <f t="shared" ca="1" si="239"/>
        <v>0.70919043732706966</v>
      </c>
      <c r="BA73" s="107">
        <v>182887</v>
      </c>
      <c r="BB73" s="80">
        <f t="shared" ca="1" si="240"/>
        <v>237453</v>
      </c>
      <c r="BC73" s="115">
        <f t="shared" ca="1" si="241"/>
        <v>0.77020294542498935</v>
      </c>
      <c r="BD73" s="81">
        <f t="shared" ca="1" si="201"/>
        <v>221937</v>
      </c>
      <c r="BE73" s="130">
        <f t="shared" ca="1" si="242"/>
        <v>0.93465654255789565</v>
      </c>
      <c r="BF73" s="156">
        <v>133243</v>
      </c>
      <c r="BG73" s="183">
        <f t="shared" ca="1" si="262"/>
        <v>658405</v>
      </c>
      <c r="BH73" s="167">
        <f t="shared" ca="1" si="243"/>
        <v>0.2023723999665859</v>
      </c>
      <c r="BI73" s="186">
        <f t="shared" ca="1" si="259"/>
        <v>549083</v>
      </c>
      <c r="BJ73" s="167">
        <f t="shared" ca="1" si="244"/>
        <v>0.83395934113501569</v>
      </c>
      <c r="BK73" s="107">
        <v>671828</v>
      </c>
      <c r="BL73" s="80">
        <f t="shared" ca="1" si="245"/>
        <v>684452</v>
      </c>
      <c r="BM73" s="130">
        <f t="shared" ca="1" si="246"/>
        <v>0.98155604775791438</v>
      </c>
      <c r="BN73" s="81">
        <f t="shared" ca="1" si="203"/>
        <v>714526</v>
      </c>
      <c r="BO73" s="130">
        <f t="shared" ca="1" si="247"/>
        <v>1.043938800675577</v>
      </c>
      <c r="BP73" s="108">
        <v>494927</v>
      </c>
      <c r="BQ73" s="98">
        <f t="shared" ca="1" si="248"/>
        <v>565850</v>
      </c>
      <c r="BR73" s="149">
        <f t="shared" ca="1" si="249"/>
        <v>0.87466112927454276</v>
      </c>
      <c r="BS73" s="81">
        <f t="shared" ca="1" si="204"/>
        <v>519802</v>
      </c>
      <c r="BT73" s="145">
        <f t="shared" ca="1" si="250"/>
        <v>0.91862154281169917</v>
      </c>
      <c r="BU73" s="107">
        <v>365157</v>
      </c>
      <c r="BV73" s="80">
        <f t="shared" ca="1" si="251"/>
        <v>464005</v>
      </c>
      <c r="BW73" s="115">
        <f t="shared" ca="1" si="252"/>
        <v>0.78696781284684436</v>
      </c>
      <c r="BX73" s="81">
        <f t="shared" ca="1" si="205"/>
        <v>402353</v>
      </c>
      <c r="BY73" s="130">
        <f t="shared" ca="1" si="253"/>
        <v>0.86713074212562369</v>
      </c>
      <c r="BZ73" s="96">
        <v>471384</v>
      </c>
      <c r="CA73" s="85">
        <f t="shared" ca="1" si="254"/>
        <v>1714307</v>
      </c>
      <c r="CB73" s="167">
        <f t="shared" ca="1" si="255"/>
        <v>0.27497058578189321</v>
      </c>
      <c r="CC73" s="198">
        <f t="shared" ca="1" si="263"/>
        <v>1636681</v>
      </c>
      <c r="CD73" s="167">
        <f t="shared" ca="1" si="256"/>
        <v>0.95471872890911602</v>
      </c>
      <c r="CE73" s="87">
        <v>608051</v>
      </c>
      <c r="CF73" s="208">
        <f t="shared" ca="1" si="207"/>
        <v>6075504</v>
      </c>
      <c r="CG73" s="201">
        <f t="shared" ca="1" si="257"/>
        <v>0.10008239645632691</v>
      </c>
      <c r="CH73" s="89">
        <f t="shared" ca="1" si="208"/>
        <v>5724864</v>
      </c>
      <c r="CI73" s="167">
        <f t="shared" ca="1" si="258"/>
        <v>0.94228626958356043</v>
      </c>
    </row>
    <row r="74" spans="1:88" s="105" customFormat="1" ht="13.15">
      <c r="A74" s="30" t="s">
        <v>48</v>
      </c>
      <c r="B74" s="285"/>
      <c r="C74" s="107">
        <v>965905</v>
      </c>
      <c r="D74" s="80">
        <f t="shared" ca="1" si="209"/>
        <v>1063799</v>
      </c>
      <c r="E74" s="130">
        <f t="shared" ca="1" si="210"/>
        <v>0.90797697685371015</v>
      </c>
      <c r="F74" s="81">
        <f t="shared" ca="1" si="193"/>
        <v>977257</v>
      </c>
      <c r="G74" s="130">
        <f t="shared" ca="1" si="211"/>
        <v>0.91864816567791474</v>
      </c>
      <c r="H74" s="108">
        <v>521127</v>
      </c>
      <c r="I74" s="98">
        <f t="shared" ca="1" si="212"/>
        <v>569140</v>
      </c>
      <c r="J74" s="151">
        <f t="shared" ca="1" si="213"/>
        <v>0.91563938573988823</v>
      </c>
      <c r="K74" s="81">
        <f t="shared" ca="1" si="194"/>
        <v>564715</v>
      </c>
      <c r="L74" s="147">
        <f t="shared" ca="1" si="214"/>
        <v>0.99222511157184523</v>
      </c>
      <c r="M74" s="107">
        <v>279128</v>
      </c>
      <c r="N74" s="80">
        <f t="shared" ca="1" si="215"/>
        <v>351779</v>
      </c>
      <c r="O74" s="153">
        <f t="shared" ca="1" si="216"/>
        <v>0.79347544907456102</v>
      </c>
      <c r="P74" s="81">
        <f t="shared" ca="1" si="195"/>
        <v>313188</v>
      </c>
      <c r="Q74" s="154">
        <f t="shared" ca="1" si="217"/>
        <v>0.89029760161919846</v>
      </c>
      <c r="R74" s="96">
        <v>954855</v>
      </c>
      <c r="S74" s="96">
        <f t="shared" ca="1" si="260"/>
        <v>1984718</v>
      </c>
      <c r="T74" s="169">
        <f t="shared" ca="1" si="219"/>
        <v>0.48110361270467644</v>
      </c>
      <c r="U74" s="163">
        <f t="shared" ca="1" si="261"/>
        <v>1855160</v>
      </c>
      <c r="V74" s="169">
        <f t="shared" ca="1" si="221"/>
        <v>0.93472221242514053</v>
      </c>
      <c r="W74" s="107">
        <v>899232</v>
      </c>
      <c r="X74" s="80">
        <f t="shared" ca="1" si="222"/>
        <v>913477</v>
      </c>
      <c r="Y74" s="130">
        <f t="shared" ca="1" si="223"/>
        <v>0.98440573763761974</v>
      </c>
      <c r="Z74" s="81">
        <f t="shared" ca="1" si="196"/>
        <v>918438</v>
      </c>
      <c r="AA74" s="130">
        <f t="shared" ca="1" si="224"/>
        <v>1.0054308975485973</v>
      </c>
      <c r="AB74" s="108">
        <v>909459</v>
      </c>
      <c r="AC74" s="98">
        <f t="shared" ca="1" si="225"/>
        <v>997549</v>
      </c>
      <c r="AD74" s="151">
        <f t="shared" ca="1" si="226"/>
        <v>0.91169356091780951</v>
      </c>
      <c r="AE74" s="81">
        <f t="shared" ca="1" si="197"/>
        <v>942066</v>
      </c>
      <c r="AF74" s="147">
        <f t="shared" ca="1" si="227"/>
        <v>0.94438067703942363</v>
      </c>
      <c r="AG74" s="107">
        <v>147453</v>
      </c>
      <c r="AH74" s="80">
        <f t="shared" ca="1" si="228"/>
        <v>202232</v>
      </c>
      <c r="AI74" s="153">
        <f t="shared" ca="1" si="229"/>
        <v>0.72912793227580208</v>
      </c>
      <c r="AJ74" s="81">
        <f t="shared" ca="1" si="198"/>
        <v>159144</v>
      </c>
      <c r="AK74" s="154">
        <f t="shared" ca="1" si="230"/>
        <v>0.78693777443727997</v>
      </c>
      <c r="AL74" s="158">
        <v>653988</v>
      </c>
      <c r="AM74" s="176">
        <f t="shared" ca="1" si="231"/>
        <v>2113258</v>
      </c>
      <c r="AN74" s="169">
        <f t="shared" ca="1" si="232"/>
        <v>0.30946907571153165</v>
      </c>
      <c r="AO74" s="163">
        <f t="shared" ca="1" si="231"/>
        <v>2019648</v>
      </c>
      <c r="AP74" s="169">
        <f t="shared" ca="1" si="233"/>
        <v>0.95570346829398023</v>
      </c>
      <c r="AQ74" s="107">
        <v>381708</v>
      </c>
      <c r="AR74" s="80">
        <f t="shared" ca="1" si="234"/>
        <v>474334</v>
      </c>
      <c r="AS74" s="130">
        <f t="shared" ca="1" si="235"/>
        <v>0.80472409736599104</v>
      </c>
      <c r="AT74" s="81">
        <f t="shared" ca="1" si="199"/>
        <v>403926</v>
      </c>
      <c r="AU74" s="130">
        <f t="shared" ca="1" si="236"/>
        <v>0.85156450939633255</v>
      </c>
      <c r="AV74" s="108">
        <v>514337</v>
      </c>
      <c r="AW74" s="98">
        <f t="shared" ca="1" si="237"/>
        <v>567586</v>
      </c>
      <c r="AX74" s="151">
        <f t="shared" ca="1" si="238"/>
        <v>0.90618338013974975</v>
      </c>
      <c r="AY74" s="81">
        <f t="shared" ca="1" si="200"/>
        <v>539330</v>
      </c>
      <c r="AZ74" s="147">
        <f t="shared" ca="1" si="239"/>
        <v>0.95021723580215156</v>
      </c>
      <c r="BA74" s="107">
        <v>871184</v>
      </c>
      <c r="BB74" s="80">
        <f t="shared" ca="1" si="240"/>
        <v>889111</v>
      </c>
      <c r="BC74" s="153">
        <f t="shared" ca="1" si="241"/>
        <v>0.97983716318884817</v>
      </c>
      <c r="BD74" s="81">
        <f t="shared" ca="1" si="201"/>
        <v>896164</v>
      </c>
      <c r="BE74" s="154">
        <f t="shared" ca="1" si="242"/>
        <v>1.0079326428308726</v>
      </c>
      <c r="BF74" s="156">
        <v>749043</v>
      </c>
      <c r="BG74" s="183">
        <f t="shared" ca="1" si="262"/>
        <v>1931031</v>
      </c>
      <c r="BH74" s="169">
        <f t="shared" ca="1" si="243"/>
        <v>0.38789796745883415</v>
      </c>
      <c r="BI74" s="186">
        <f t="shared" ca="1" si="259"/>
        <v>1839420</v>
      </c>
      <c r="BJ74" s="169">
        <f t="shared" ca="1" si="244"/>
        <v>0.95255850372158712</v>
      </c>
      <c r="BK74" s="107">
        <v>137172</v>
      </c>
      <c r="BL74" s="80">
        <f t="shared" ca="1" si="245"/>
        <v>197102</v>
      </c>
      <c r="BM74" s="130">
        <f t="shared" ca="1" si="246"/>
        <v>0.69594423192052846</v>
      </c>
      <c r="BN74" s="81">
        <f t="shared" ca="1" si="203"/>
        <v>143985</v>
      </c>
      <c r="BO74" s="130">
        <f t="shared" ca="1" si="247"/>
        <v>0.73051009122180399</v>
      </c>
      <c r="BP74" s="108">
        <v>676859</v>
      </c>
      <c r="BQ74" s="98">
        <f t="shared" ca="1" si="248"/>
        <v>762440</v>
      </c>
      <c r="BR74" s="151">
        <f t="shared" ca="1" si="249"/>
        <v>0.88775379046220027</v>
      </c>
      <c r="BS74" s="81">
        <f t="shared" ca="1" si="204"/>
        <v>714617</v>
      </c>
      <c r="BT74" s="147">
        <f t="shared" ca="1" si="250"/>
        <v>0.93727637584596823</v>
      </c>
      <c r="BU74" s="107">
        <v>985891</v>
      </c>
      <c r="BV74" s="80">
        <f t="shared" ca="1" si="251"/>
        <v>1014187</v>
      </c>
      <c r="BW74" s="153">
        <f t="shared" ca="1" si="252"/>
        <v>0.97209981985570704</v>
      </c>
      <c r="BX74" s="81">
        <f t="shared" ca="1" si="205"/>
        <v>1009764</v>
      </c>
      <c r="BY74" s="154">
        <f t="shared" ca="1" si="253"/>
        <v>0.99563887133240714</v>
      </c>
      <c r="BZ74" s="96">
        <v>483255</v>
      </c>
      <c r="CA74" s="85">
        <f t="shared" ca="1" si="254"/>
        <v>1973729</v>
      </c>
      <c r="CB74" s="169">
        <f t="shared" ca="1" si="255"/>
        <v>0.24484364368157938</v>
      </c>
      <c r="CC74" s="198">
        <f t="shared" ca="1" si="263"/>
        <v>1868366</v>
      </c>
      <c r="CD74" s="169">
        <f t="shared" ca="1" si="256"/>
        <v>0.94661729143159978</v>
      </c>
      <c r="CE74" s="87">
        <v>893918</v>
      </c>
      <c r="CF74" s="208">
        <f t="shared" ca="1" si="207"/>
        <v>8002736</v>
      </c>
      <c r="CG74" s="201">
        <f t="shared" ca="1" si="257"/>
        <v>0.11170154807055988</v>
      </c>
      <c r="CH74" s="89">
        <f t="shared" ca="1" si="208"/>
        <v>7582594</v>
      </c>
      <c r="CI74" s="169">
        <f t="shared" ca="1" si="258"/>
        <v>0.94750020492991394</v>
      </c>
    </row>
    <row r="75" spans="1:88" s="105" customFormat="1" ht="13.15">
      <c r="A75" s="111" t="s">
        <v>49</v>
      </c>
      <c r="B75" s="285"/>
      <c r="C75" s="107">
        <v>795436</v>
      </c>
      <c r="D75" s="80">
        <f t="shared" ca="1" si="209"/>
        <v>806820</v>
      </c>
      <c r="E75" s="130">
        <f t="shared" ca="1" si="210"/>
        <v>0.98589028531766687</v>
      </c>
      <c r="F75" s="81">
        <f t="shared" ca="1" si="193"/>
        <v>813656</v>
      </c>
      <c r="G75" s="130">
        <f t="shared" ca="1" si="211"/>
        <v>1.0084727696388289</v>
      </c>
      <c r="H75" s="108">
        <v>155370</v>
      </c>
      <c r="I75" s="98">
        <f t="shared" ca="1" si="212"/>
        <v>183226</v>
      </c>
      <c r="J75" s="151">
        <f t="shared" ca="1" si="213"/>
        <v>0.8479691746804493</v>
      </c>
      <c r="K75" s="81">
        <f t="shared" ca="1" si="194"/>
        <v>166535</v>
      </c>
      <c r="L75" s="147">
        <f t="shared" ca="1" si="214"/>
        <v>0.90890484974839814</v>
      </c>
      <c r="M75" s="107">
        <v>136189</v>
      </c>
      <c r="N75" s="80">
        <f t="shared" ca="1" si="215"/>
        <v>164940</v>
      </c>
      <c r="O75" s="153">
        <f t="shared" ca="1" si="216"/>
        <v>0.82568812901661215</v>
      </c>
      <c r="P75" s="81">
        <f t="shared" ca="1" si="195"/>
        <v>167832</v>
      </c>
      <c r="Q75" s="154">
        <f t="shared" ca="1" si="217"/>
        <v>1.0175336485994908</v>
      </c>
      <c r="R75" s="96">
        <v>110412</v>
      </c>
      <c r="S75" s="96">
        <f t="shared" ca="1" si="260"/>
        <v>1154986</v>
      </c>
      <c r="T75" s="169">
        <f t="shared" ca="1" si="219"/>
        <v>9.5595963933761963E-2</v>
      </c>
      <c r="U75" s="163">
        <f t="shared" ca="1" si="261"/>
        <v>1148023</v>
      </c>
      <c r="V75" s="169">
        <f t="shared" ca="1" si="221"/>
        <v>0.9939713554969497</v>
      </c>
      <c r="W75" s="107">
        <v>845368</v>
      </c>
      <c r="X75" s="80">
        <f t="shared" ca="1" si="222"/>
        <v>908996</v>
      </c>
      <c r="Y75" s="130">
        <f t="shared" ca="1" si="223"/>
        <v>0.93000189219754548</v>
      </c>
      <c r="Z75" s="81">
        <f t="shared" ca="1" si="196"/>
        <v>885169</v>
      </c>
      <c r="AA75" s="130">
        <f t="shared" ca="1" si="224"/>
        <v>0.97378756342162121</v>
      </c>
      <c r="AB75" s="108">
        <v>786443</v>
      </c>
      <c r="AC75" s="98">
        <f t="shared" ca="1" si="225"/>
        <v>852807</v>
      </c>
      <c r="AD75" s="151">
        <f t="shared" ca="1" si="226"/>
        <v>0.92218168940920986</v>
      </c>
      <c r="AE75" s="81">
        <f t="shared" ca="1" si="197"/>
        <v>826568</v>
      </c>
      <c r="AF75" s="147">
        <f t="shared" ca="1" si="227"/>
        <v>0.96923219438864827</v>
      </c>
      <c r="AG75" s="107">
        <v>904913</v>
      </c>
      <c r="AH75" s="80">
        <f t="shared" ca="1" si="228"/>
        <v>972761</v>
      </c>
      <c r="AI75" s="153">
        <f t="shared" ca="1" si="229"/>
        <v>0.93025213798661743</v>
      </c>
      <c r="AJ75" s="81">
        <f t="shared" ca="1" si="198"/>
        <v>937308</v>
      </c>
      <c r="AK75" s="154">
        <f t="shared" ca="1" si="230"/>
        <v>0.96355425433379838</v>
      </c>
      <c r="AL75" s="158">
        <v>653363</v>
      </c>
      <c r="AM75" s="178">
        <f t="shared" ca="1" si="231"/>
        <v>2734564</v>
      </c>
      <c r="AN75" s="169">
        <f t="shared" ca="1" si="232"/>
        <v>0.23892766817671848</v>
      </c>
      <c r="AO75" s="165">
        <f t="shared" ca="1" si="231"/>
        <v>2649045</v>
      </c>
      <c r="AP75" s="169">
        <f t="shared" ca="1" si="233"/>
        <v>0.96872664161453159</v>
      </c>
      <c r="AQ75" s="107">
        <v>389240</v>
      </c>
      <c r="AR75" s="80">
        <f t="shared" ca="1" si="234"/>
        <v>422905</v>
      </c>
      <c r="AS75" s="130">
        <f t="shared" ca="1" si="235"/>
        <v>0.92039583357964549</v>
      </c>
      <c r="AT75" s="81">
        <f t="shared" ca="1" si="199"/>
        <v>437766</v>
      </c>
      <c r="AU75" s="130">
        <f t="shared" ca="1" si="236"/>
        <v>1.0351402797318547</v>
      </c>
      <c r="AV75" s="108">
        <v>689246</v>
      </c>
      <c r="AW75" s="98">
        <f t="shared" ca="1" si="237"/>
        <v>747203</v>
      </c>
      <c r="AX75" s="151">
        <f t="shared" ca="1" si="238"/>
        <v>0.92243473326525727</v>
      </c>
      <c r="AY75" s="81">
        <f t="shared" ca="1" si="200"/>
        <v>710156</v>
      </c>
      <c r="AZ75" s="147">
        <f t="shared" ca="1" si="239"/>
        <v>0.95041909628307164</v>
      </c>
      <c r="BA75" s="107">
        <v>837576</v>
      </c>
      <c r="BB75" s="80">
        <f t="shared" ca="1" si="240"/>
        <v>884455</v>
      </c>
      <c r="BC75" s="153">
        <f t="shared" ca="1" si="241"/>
        <v>0.94699673810425633</v>
      </c>
      <c r="BD75" s="81">
        <f t="shared" ca="1" si="201"/>
        <v>855892</v>
      </c>
      <c r="BE75" s="154">
        <f t="shared" ca="1" si="242"/>
        <v>0.9677055361776461</v>
      </c>
      <c r="BF75" s="156">
        <v>108933</v>
      </c>
      <c r="BG75" s="178">
        <f t="shared" ref="BG75:BG76" ca="1" si="264">BB75+AW75+AR75</f>
        <v>2054563</v>
      </c>
      <c r="BH75" s="169">
        <f t="shared" ca="1" si="243"/>
        <v>5.3020033943957913E-2</v>
      </c>
      <c r="BI75" s="186">
        <f t="shared" ca="1" si="259"/>
        <v>2003814</v>
      </c>
      <c r="BJ75" s="169">
        <f t="shared" ca="1" si="244"/>
        <v>0.97529937023104185</v>
      </c>
      <c r="BK75" s="107">
        <v>156153</v>
      </c>
      <c r="BL75" s="80">
        <f t="shared" ca="1" si="245"/>
        <v>235636</v>
      </c>
      <c r="BM75" s="130">
        <f t="shared" ca="1" si="246"/>
        <v>0.66268736525827976</v>
      </c>
      <c r="BN75" s="81">
        <f t="shared" ca="1" si="203"/>
        <v>178475</v>
      </c>
      <c r="BO75" s="130">
        <f t="shared" ca="1" si="247"/>
        <v>0.75741822132441561</v>
      </c>
      <c r="BP75" s="108">
        <v>807312</v>
      </c>
      <c r="BQ75" s="98">
        <f t="shared" ca="1" si="248"/>
        <v>858128</v>
      </c>
      <c r="BR75" s="151">
        <f t="shared" ca="1" si="249"/>
        <v>0.94078272705237442</v>
      </c>
      <c r="BS75" s="81">
        <f t="shared" ca="1" si="204"/>
        <v>817101</v>
      </c>
      <c r="BT75" s="147">
        <f t="shared" ca="1" si="250"/>
        <v>0.95219011615982696</v>
      </c>
      <c r="BU75" s="107">
        <v>641050</v>
      </c>
      <c r="BV75" s="80">
        <f t="shared" ca="1" si="251"/>
        <v>689936</v>
      </c>
      <c r="BW75" s="153">
        <f t="shared" ca="1" si="252"/>
        <v>0.92914415250110161</v>
      </c>
      <c r="BX75" s="81">
        <f t="shared" ca="1" si="205"/>
        <v>688877</v>
      </c>
      <c r="BY75" s="154">
        <f t="shared" ca="1" si="253"/>
        <v>0.99846507502145132</v>
      </c>
      <c r="BZ75" s="96">
        <v>616872</v>
      </c>
      <c r="CA75" s="178">
        <f t="shared" ref="CA75:CA76" ca="1" si="265">BV75+BQ75+BL75</f>
        <v>1783700</v>
      </c>
      <c r="CB75" s="169">
        <f t="shared" ca="1" si="255"/>
        <v>0.34583842574423951</v>
      </c>
      <c r="CC75" s="198">
        <f t="shared" ca="1" si="263"/>
        <v>1684453</v>
      </c>
      <c r="CD75" s="169">
        <f t="shared" ca="1" si="256"/>
        <v>0.94435891685821605</v>
      </c>
      <c r="CE75" s="87">
        <v>423914</v>
      </c>
      <c r="CF75" s="208">
        <f t="shared" ca="1" si="207"/>
        <v>7727813</v>
      </c>
      <c r="CG75" s="201">
        <f t="shared" ca="1" si="257"/>
        <v>5.4855623447410025E-2</v>
      </c>
      <c r="CH75" s="217">
        <f t="shared" ref="CH75" ca="1" si="266">U75+AO75+BI75+CC75</f>
        <v>7485335</v>
      </c>
      <c r="CI75" s="169">
        <f t="shared" ca="1" si="258"/>
        <v>0.9686226879454769</v>
      </c>
    </row>
    <row r="76" spans="1:88" s="7" customFormat="1" ht="13.15">
      <c r="A76" s="590" t="s">
        <v>52</v>
      </c>
      <c r="B76" s="573"/>
      <c r="C76" s="604">
        <v>265948</v>
      </c>
      <c r="D76" s="80">
        <f t="shared" ca="1" si="209"/>
        <v>281116</v>
      </c>
      <c r="E76" s="593">
        <f t="shared" ca="1" si="210"/>
        <v>0.94604362611875525</v>
      </c>
      <c r="F76" s="81">
        <f t="shared" ca="1" si="193"/>
        <v>286636</v>
      </c>
      <c r="G76" s="593">
        <f t="shared" ca="1" si="211"/>
        <v>1.0196360221403264</v>
      </c>
      <c r="H76" s="605">
        <v>343527</v>
      </c>
      <c r="I76" s="98">
        <f t="shared" ca="1" si="212"/>
        <v>409808</v>
      </c>
      <c r="J76" s="606">
        <f t="shared" ca="1" si="213"/>
        <v>0.83826328426970675</v>
      </c>
      <c r="K76" s="81">
        <f t="shared" ca="1" si="194"/>
        <v>379831</v>
      </c>
      <c r="L76" s="607">
        <f t="shared" ca="1" si="214"/>
        <v>0.92685111076406512</v>
      </c>
      <c r="M76" s="608">
        <v>359782</v>
      </c>
      <c r="N76" s="80">
        <f t="shared" ca="1" si="215"/>
        <v>415494</v>
      </c>
      <c r="O76" s="609">
        <f t="shared" ca="1" si="216"/>
        <v>0.86591382787717752</v>
      </c>
      <c r="P76" s="81">
        <f t="shared" ca="1" si="195"/>
        <v>370476</v>
      </c>
      <c r="Q76" s="610">
        <f t="shared" ca="1" si="217"/>
        <v>0.89165186500888094</v>
      </c>
      <c r="R76" s="581">
        <v>260295</v>
      </c>
      <c r="S76" s="37">
        <f t="shared" ca="1" si="260"/>
        <v>1106418</v>
      </c>
      <c r="T76" s="611">
        <f t="shared" ca="1" si="219"/>
        <v>0.23525918775724908</v>
      </c>
      <c r="U76" s="612">
        <f t="shared" ca="1" si="261"/>
        <v>1036943</v>
      </c>
      <c r="V76" s="611">
        <f t="shared" ca="1" si="221"/>
        <v>0.93720727609276056</v>
      </c>
      <c r="W76" s="604">
        <v>417220</v>
      </c>
      <c r="X76" s="80">
        <f t="shared" ca="1" si="222"/>
        <v>475654</v>
      </c>
      <c r="Y76" s="593">
        <f t="shared" ca="1" si="223"/>
        <v>0.87715019741240485</v>
      </c>
      <c r="Z76" s="81">
        <f t="shared" ca="1" si="196"/>
        <v>439150</v>
      </c>
      <c r="AA76" s="593">
        <f t="shared" ca="1" si="224"/>
        <v>0.92325513923986768</v>
      </c>
      <c r="AB76" s="605"/>
      <c r="AC76" s="98">
        <f t="shared" ca="1" si="225"/>
        <v>45785</v>
      </c>
      <c r="AD76" s="606">
        <f t="shared" ca="1" si="226"/>
        <v>0</v>
      </c>
      <c r="AE76" s="81">
        <f t="shared" ca="1" si="197"/>
        <v>12046</v>
      </c>
      <c r="AF76" s="607">
        <f t="shared" ca="1" si="227"/>
        <v>0.26309926831931857</v>
      </c>
      <c r="AG76" s="608"/>
      <c r="AH76" s="80">
        <f t="shared" ca="1" si="228"/>
        <v>93285</v>
      </c>
      <c r="AI76" s="609">
        <f t="shared" ca="1" si="229"/>
        <v>0</v>
      </c>
      <c r="AJ76" s="81">
        <f t="shared" ca="1" si="198"/>
        <v>20911</v>
      </c>
      <c r="AK76" s="610">
        <f t="shared" ca="1" si="230"/>
        <v>0.2241625127298065</v>
      </c>
      <c r="AL76" s="613">
        <v>755954</v>
      </c>
      <c r="AM76" s="586">
        <f t="shared" ca="1" si="231"/>
        <v>614724</v>
      </c>
      <c r="AN76" s="611">
        <f t="shared" ca="1" si="232"/>
        <v>1.2297453816672197</v>
      </c>
      <c r="AO76" s="614">
        <f t="shared" ca="1" si="231"/>
        <v>472107</v>
      </c>
      <c r="AP76" s="611">
        <f t="shared" ca="1" si="233"/>
        <v>0.76799832119780587</v>
      </c>
      <c r="AQ76" s="604"/>
      <c r="AR76" s="80">
        <f t="shared" ca="1" si="234"/>
        <v>18632</v>
      </c>
      <c r="AS76" s="593">
        <f t="shared" ca="1" si="235"/>
        <v>0</v>
      </c>
      <c r="AT76" s="81">
        <f t="shared" ca="1" si="199"/>
        <v>15315</v>
      </c>
      <c r="AU76" s="593">
        <f t="shared" ca="1" si="236"/>
        <v>0.82197294976384716</v>
      </c>
      <c r="AV76" s="605"/>
      <c r="AW76" s="98">
        <f t="shared" ca="1" si="237"/>
        <v>77082</v>
      </c>
      <c r="AX76" s="606">
        <f t="shared" ca="1" si="238"/>
        <v>0</v>
      </c>
      <c r="AY76" s="81">
        <f t="shared" ca="1" si="200"/>
        <v>39254</v>
      </c>
      <c r="AZ76" s="607">
        <f t="shared" ca="1" si="239"/>
        <v>0.50924988972782237</v>
      </c>
      <c r="BA76" s="608"/>
      <c r="BB76" s="80">
        <f t="shared" ca="1" si="240"/>
        <v>32317</v>
      </c>
      <c r="BC76" s="609">
        <f t="shared" ca="1" si="241"/>
        <v>0</v>
      </c>
      <c r="BD76" s="81">
        <f t="shared" ca="1" si="201"/>
        <v>23906</v>
      </c>
      <c r="BE76" s="610">
        <f t="shared" ca="1" si="242"/>
        <v>0.73973450505925675</v>
      </c>
      <c r="BF76" s="613"/>
      <c r="BG76" s="586">
        <f t="shared" ca="1" si="264"/>
        <v>128031</v>
      </c>
      <c r="BH76" s="611">
        <f t="shared" ca="1" si="243"/>
        <v>0</v>
      </c>
      <c r="BI76" s="615">
        <f t="shared" ca="1" si="259"/>
        <v>78475</v>
      </c>
      <c r="BJ76" s="611">
        <f t="shared" ca="1" si="244"/>
        <v>0.61293749170122858</v>
      </c>
      <c r="BK76" s="604"/>
      <c r="BL76" s="80">
        <f t="shared" ca="1" si="245"/>
        <v>95000</v>
      </c>
      <c r="BM76" s="593">
        <f t="shared" ca="1" si="246"/>
        <v>0</v>
      </c>
      <c r="BN76" s="81">
        <f t="shared" ca="1" si="203"/>
        <v>5990</v>
      </c>
      <c r="BO76" s="593">
        <f t="shared" ca="1" si="247"/>
        <v>6.3052631578947374E-2</v>
      </c>
      <c r="BP76" s="605"/>
      <c r="BQ76" s="98">
        <f t="shared" ca="1" si="248"/>
        <v>65237</v>
      </c>
      <c r="BR76" s="606">
        <f t="shared" ca="1" si="249"/>
        <v>0</v>
      </c>
      <c r="BS76" s="81">
        <f t="shared" ca="1" si="204"/>
        <v>34013</v>
      </c>
      <c r="BT76" s="607">
        <f t="shared" ca="1" si="250"/>
        <v>0.52137590631083586</v>
      </c>
      <c r="BU76" s="608"/>
      <c r="BV76" s="80">
        <f t="shared" ca="1" si="251"/>
        <v>66328</v>
      </c>
      <c r="BW76" s="609">
        <f t="shared" ca="1" si="252"/>
        <v>0</v>
      </c>
      <c r="BX76" s="81">
        <f t="shared" ca="1" si="205"/>
        <v>38010</v>
      </c>
      <c r="BY76" s="610">
        <f t="shared" ca="1" si="253"/>
        <v>0.57306115064527796</v>
      </c>
      <c r="BZ76" s="581"/>
      <c r="CA76" s="586">
        <f t="shared" ca="1" si="265"/>
        <v>226565</v>
      </c>
      <c r="CB76" s="611">
        <f t="shared" ca="1" si="255"/>
        <v>0</v>
      </c>
      <c r="CC76" s="621">
        <f t="shared" ca="1" si="263"/>
        <v>78013</v>
      </c>
      <c r="CD76" s="611">
        <f t="shared" ca="1" si="256"/>
        <v>0.34432944188202064</v>
      </c>
      <c r="CE76" s="616">
        <v>257732</v>
      </c>
      <c r="CF76" s="617">
        <f t="shared" ca="1" si="207"/>
        <v>2075738</v>
      </c>
      <c r="CG76" s="618">
        <f t="shared" ca="1" si="257"/>
        <v>0.12416403226226046</v>
      </c>
      <c r="CH76" s="620">
        <f ca="1">U76+AO76+BI76+CC76</f>
        <v>1665538</v>
      </c>
      <c r="CI76" s="611">
        <f t="shared" ca="1" si="258"/>
        <v>0.8023835378067945</v>
      </c>
    </row>
    <row r="77" spans="1:88" s="272" customFormat="1" ht="13.5" thickBot="1">
      <c r="A77" s="266"/>
      <c r="B77" s="287"/>
      <c r="C77" s="265">
        <f>SUM(C64,C68:C76)</f>
        <v>7091782</v>
      </c>
      <c r="D77" s="265">
        <f ca="1">SUM(D64,D68:D76)</f>
        <v>7421756</v>
      </c>
      <c r="E77" s="267">
        <f ca="1">IFERROR(C77/D77,0)</f>
        <v>0.95553963239966389</v>
      </c>
      <c r="F77" s="268">
        <f ca="1">IFERROR(SUM(F64,F68:F76),0)</f>
        <v>7389818</v>
      </c>
      <c r="G77" s="269">
        <f ca="1">IFERROR(F77/D77,0)</f>
        <v>0.9956967057391809</v>
      </c>
      <c r="H77" s="264">
        <f>SUM(H64,(H68:H76))</f>
        <v>6390268</v>
      </c>
      <c r="I77" s="265">
        <f ca="1">SUM(I64,I68:I76)</f>
        <v>6986915</v>
      </c>
      <c r="J77" s="267">
        <f ca="1">IFERROR(H77/I77,0)</f>
        <v>0.91460508679438635</v>
      </c>
      <c r="K77" s="268">
        <f ca="1">IFERROR(SUM(K64,K68:K76),0)</f>
        <v>6638479</v>
      </c>
      <c r="L77" s="269">
        <f ca="1">IFERROR(K77/I77,0)</f>
        <v>0.95013020768107237</v>
      </c>
      <c r="M77" s="264">
        <f>SUM(M64,(M68:M76))</f>
        <v>6890822</v>
      </c>
      <c r="N77" s="265">
        <f ca="1">SUM(N64,N68:N76)</f>
        <v>7443394</v>
      </c>
      <c r="O77" s="267">
        <f ca="1">IFERROR(M77/N77,0)</f>
        <v>0.92576343533608463</v>
      </c>
      <c r="P77" s="268">
        <f ca="1">IFERROR(SUM(P64,P68:P76),0)</f>
        <v>7151940</v>
      </c>
      <c r="Q77" s="269">
        <f ca="1">IFERROR(P77/N77,0)</f>
        <v>0.96084393759083553</v>
      </c>
      <c r="R77" s="264">
        <f>SUM(R64,(R68:R76))</f>
        <v>6915135</v>
      </c>
      <c r="S77" s="265">
        <f ca="1">SUM(S64,S68:S76)</f>
        <v>21852065</v>
      </c>
      <c r="T77" s="267">
        <f ca="1">IFERROR(R77/S77,0)</f>
        <v>0.31645224375819858</v>
      </c>
      <c r="U77" s="268">
        <f ca="1">SUM(U64,U68:U76)</f>
        <v>21180237</v>
      </c>
      <c r="V77" s="269">
        <f ca="1">IFERROR(U77/S77,0)</f>
        <v>0.96925562870145221</v>
      </c>
      <c r="W77" s="264">
        <f>IFERROR(SUM(W64,W68:W76),0)</f>
        <v>9119828</v>
      </c>
      <c r="X77" s="265">
        <f ca="1">SUM(X64,X68:X76)</f>
        <v>9624496</v>
      </c>
      <c r="Y77" s="426">
        <f ca="1">IFERROR(W77/X77,0)</f>
        <v>0.94756421531059909</v>
      </c>
      <c r="Z77" s="268">
        <f ca="1">SUM(Z64,Z68:Z76)</f>
        <v>9360313</v>
      </c>
      <c r="AA77" s="270">
        <f ca="1">IFERROR(Z77/X77,0)</f>
        <v>0.97255097825382231</v>
      </c>
      <c r="AB77" s="264">
        <f>IFERROR(SUM(AB64,AB68:AB76),0)</f>
        <v>5924111</v>
      </c>
      <c r="AC77" s="265">
        <f ca="1">SUM(AC64,AC68:AC76)</f>
        <v>6425581</v>
      </c>
      <c r="AD77" s="426">
        <f ca="1">IFERROR(AB77/AC77,0)</f>
        <v>0.92195725180337773</v>
      </c>
      <c r="AE77" s="268">
        <f ca="1">IFERROR(SUM(AE64,AE68:AE76),0)</f>
        <v>6173363</v>
      </c>
      <c r="AF77" s="270">
        <f ca="1">IFERROR(AE77/AC77,0)</f>
        <v>0.96074782965151317</v>
      </c>
      <c r="AG77" s="264">
        <f>IFERROR(SUM(AG64,AG68:AG76),0)</f>
        <v>4681215</v>
      </c>
      <c r="AH77" s="265">
        <f ca="1">SUM(AH64,AH68:AH76)</f>
        <v>5237243</v>
      </c>
      <c r="AI77" s="426">
        <f ca="1">IFERROR(AG77/AH77,0)</f>
        <v>0.8938319264544341</v>
      </c>
      <c r="AJ77" s="268">
        <f ca="1">SUM(AJ64,AJ68:AJ76)</f>
        <v>4967693</v>
      </c>
      <c r="AK77" s="270">
        <f ca="1">IFERROR(AJ77/AH77,0)</f>
        <v>0.94853208071498685</v>
      </c>
      <c r="AL77" s="264">
        <f>SUM(AL64,(AL68:AL76))</f>
        <v>8126788</v>
      </c>
      <c r="AM77" s="265">
        <f ca="1">SUM(AM64,AM68:AM76)</f>
        <v>21287320</v>
      </c>
      <c r="AN77" s="426">
        <f ca="1">IFERROR(AL77/AM77,0)</f>
        <v>0.38176661035771531</v>
      </c>
      <c r="AO77" s="268">
        <f ca="1">SUM(AO64,AO68:AO76)</f>
        <v>20501369</v>
      </c>
      <c r="AP77" s="270">
        <f ca="1">IFERROR(AO77/AM77,0)</f>
        <v>0.96307891270484025</v>
      </c>
      <c r="AQ77" s="264">
        <f>IFERROR(SUM(AQ64,AQ68:AQ76),0)</f>
        <v>4459840</v>
      </c>
      <c r="AR77" s="265">
        <f ca="1">SUM(AR64,AR68:AR76)</f>
        <v>4976786</v>
      </c>
      <c r="AS77" s="267">
        <f ca="1">IFERROR(AQ77/AR77,0)</f>
        <v>0.89612854561156541</v>
      </c>
      <c r="AT77" s="268">
        <f ca="1">SUM(AT64,AT68:AT76)</f>
        <v>4732779</v>
      </c>
      <c r="AU77" s="269">
        <f ca="1">IFERROR(AT77/AR77,0)</f>
        <v>0.95097096801027814</v>
      </c>
      <c r="AV77" s="264">
        <f>IFERROR(SUM(AV64,AV68:AV76),0)</f>
        <v>5832693</v>
      </c>
      <c r="AW77" s="265">
        <f ca="1">SUM(AW64,AW68:AW76)</f>
        <v>6462862</v>
      </c>
      <c r="AX77" s="267">
        <f ca="1">IFERROR(AV77/AW77,0)</f>
        <v>0.90249381775442516</v>
      </c>
      <c r="AY77" s="268">
        <f ca="1">SUM(AY64,AY68:AY76)</f>
        <v>6104414</v>
      </c>
      <c r="AZ77" s="269">
        <f ca="1">IFERROR(AY77/AW77,0)</f>
        <v>0.94453726537871308</v>
      </c>
      <c r="BA77" s="264">
        <f>IFERROR(SUM(BA64,BA68:BA76),0)</f>
        <v>4860838</v>
      </c>
      <c r="BB77" s="265">
        <f ca="1">SUM(BB64,BB68:BB76)</f>
        <v>5342201</v>
      </c>
      <c r="BC77" s="267">
        <f ca="1">IFERROR(BA77/BB77,0)</f>
        <v>0.90989425519556455</v>
      </c>
      <c r="BD77" s="268">
        <f ca="1">SUM(BD64,BD68:BD76)</f>
        <v>5079955</v>
      </c>
      <c r="BE77" s="269">
        <f ca="1">IFERROR(BD77/BB77,0)</f>
        <v>0.95091049550550422</v>
      </c>
      <c r="BF77" s="264">
        <f>SUM(BF64,(BF68:BF76))</f>
        <v>4294984</v>
      </c>
      <c r="BG77" s="265">
        <f ca="1">SUM(BG64,BG68:BG76)</f>
        <v>16781849</v>
      </c>
      <c r="BH77" s="267">
        <f ca="1">IFERROR(BF77/BG77,0)</f>
        <v>0.25593032090802392</v>
      </c>
      <c r="BI77" s="268">
        <f ca="1">SUM(BI64,BI68:BI76)</f>
        <v>15917148</v>
      </c>
      <c r="BJ77" s="269">
        <f ca="1">IFERROR(BI77/BG77,0)</f>
        <v>0.94847403286729604</v>
      </c>
      <c r="BK77" s="264">
        <f>IFERROR(SUM(BK64,BK68:BK76),0)</f>
        <v>3759091</v>
      </c>
      <c r="BL77" s="265">
        <f ca="1">SUM(BL64,BL68:BL76)</f>
        <v>4390918</v>
      </c>
      <c r="BM77" s="267">
        <f ca="1">IFERROR(BK77/BL77,0)</f>
        <v>0.856105944132867</v>
      </c>
      <c r="BN77" s="268">
        <f ca="1">SUM(BN64,BN68:BN76)</f>
        <v>4044055</v>
      </c>
      <c r="BO77" s="269">
        <f ca="1">IFERROR(BN77/BL77,0)</f>
        <v>0.92100444599511988</v>
      </c>
      <c r="BP77" s="264">
        <f>IFERROR(SUM(BP64,BP68:BP76),0)</f>
        <v>6435812</v>
      </c>
      <c r="BQ77" s="265">
        <f ca="1">SUM(BQ64,BQ68:BQ76)</f>
        <v>6971061</v>
      </c>
      <c r="BR77" s="267">
        <f ca="1">IFERROR(BP77/BQ77,0)</f>
        <v>0.92321843116851221</v>
      </c>
      <c r="BS77" s="268">
        <f ca="1">SUM(BS64,BS68:BS76)</f>
        <v>6725618</v>
      </c>
      <c r="BT77" s="269">
        <f ca="1">IFERROR(BS77/BQ77,0)</f>
        <v>0.96479115589434661</v>
      </c>
      <c r="BU77" s="264">
        <f>IFERROR(SUM(BU64,BU68:BU76),0)</f>
        <v>5278390</v>
      </c>
      <c r="BV77" s="265">
        <f ca="1">SUM(BV64,BV68:BV76)</f>
        <v>5783482</v>
      </c>
      <c r="BW77" s="267">
        <f ca="1">IFERROR(BU77/BV77,0)</f>
        <v>0.91266645249349787</v>
      </c>
      <c r="BX77" s="268">
        <f ca="1">SUM(BX64,BX68:BX76)</f>
        <v>5663929</v>
      </c>
      <c r="BY77" s="269">
        <f ca="1">IFERROR(BX77/BV77,0)</f>
        <v>0.97932854290892579</v>
      </c>
      <c r="BZ77" s="264">
        <f>SUM(BZ64,(BZ68:BZ76))</f>
        <v>5421459</v>
      </c>
      <c r="CA77" s="265">
        <f ca="1">SUM(CA64,CA68:CA76)</f>
        <v>17145461</v>
      </c>
      <c r="CB77" s="267">
        <f ca="1">IFERROR(BZ77/CA77,0)</f>
        <v>0.31620374628597037</v>
      </c>
      <c r="CC77" s="268">
        <f ca="1">SUM(CC64,CC68:CC76)</f>
        <v>16433602</v>
      </c>
      <c r="CD77" s="270">
        <f ca="1">IFERROR(CC77/CA77,0)</f>
        <v>0.9584811980266964</v>
      </c>
      <c r="CE77" s="264">
        <f>SUM(CE64,(CE68:CE76))</f>
        <v>8719486</v>
      </c>
      <c r="CF77" s="265">
        <f ca="1">SUM(CF64,CF68:CF76)</f>
        <v>77066695</v>
      </c>
      <c r="CG77" s="267">
        <f ca="1">IFERROR(CE77/CF77,0)</f>
        <v>0.11314207778081051</v>
      </c>
      <c r="CH77" s="268">
        <f ca="1">SUM(CH64,CH68:CH76)</f>
        <v>74032356</v>
      </c>
      <c r="CI77" s="271">
        <f ca="1">IFERROR(CH77/CF77,0)</f>
        <v>0.9606271035756756</v>
      </c>
      <c r="CJ77" s="263"/>
    </row>
    <row r="78" spans="1:88" ht="14.65" thickTop="1"/>
    <row r="79" spans="1:88">
      <c r="A79" s="2" t="s">
        <v>163</v>
      </c>
    </row>
    <row r="80" spans="1:88" s="7" customFormat="1" ht="39.75" thickBot="1">
      <c r="A80" s="63" t="s">
        <v>64</v>
      </c>
      <c r="B80" s="279"/>
      <c r="C80" s="514" t="s">
        <v>16</v>
      </c>
      <c r="D80" s="505"/>
      <c r="E80" s="505"/>
      <c r="F80" s="505"/>
      <c r="G80" s="506"/>
      <c r="H80" s="498" t="s">
        <v>22</v>
      </c>
      <c r="I80" s="499"/>
      <c r="J80" s="499"/>
      <c r="K80" s="499"/>
      <c r="L80" s="511"/>
      <c r="M80" s="514" t="s">
        <v>23</v>
      </c>
      <c r="N80" s="505"/>
      <c r="O80" s="505"/>
      <c r="P80" s="505"/>
      <c r="Q80" s="506"/>
      <c r="R80" s="507" t="s">
        <v>24</v>
      </c>
      <c r="S80" s="508"/>
      <c r="T80" s="508"/>
      <c r="U80" s="508"/>
      <c r="V80" s="509"/>
      <c r="W80" s="504" t="s">
        <v>10</v>
      </c>
      <c r="X80" s="505"/>
      <c r="Y80" s="505"/>
      <c r="Z80" s="505"/>
      <c r="AA80" s="506"/>
      <c r="AB80" s="498" t="s">
        <v>9</v>
      </c>
      <c r="AC80" s="499"/>
      <c r="AD80" s="499"/>
      <c r="AE80" s="499"/>
      <c r="AF80" s="500"/>
      <c r="AG80" s="504" t="s">
        <v>15</v>
      </c>
      <c r="AH80" s="505"/>
      <c r="AI80" s="505"/>
      <c r="AJ80" s="505"/>
      <c r="AK80" s="506"/>
      <c r="AL80" s="507" t="s">
        <v>25</v>
      </c>
      <c r="AM80" s="508"/>
      <c r="AN80" s="508"/>
      <c r="AO80" s="508"/>
      <c r="AP80" s="509"/>
      <c r="AQ80" s="504" t="s">
        <v>8</v>
      </c>
      <c r="AR80" s="505"/>
      <c r="AS80" s="505"/>
      <c r="AT80" s="505"/>
      <c r="AU80" s="506"/>
      <c r="AV80" s="498" t="s">
        <v>12</v>
      </c>
      <c r="AW80" s="499"/>
      <c r="AX80" s="499"/>
      <c r="AY80" s="499"/>
      <c r="AZ80" s="500"/>
      <c r="BA80" s="504" t="s">
        <v>14</v>
      </c>
      <c r="BB80" s="505"/>
      <c r="BC80" s="505"/>
      <c r="BD80" s="505"/>
      <c r="BE80" s="506"/>
      <c r="BF80" s="507" t="s">
        <v>26</v>
      </c>
      <c r="BG80" s="508"/>
      <c r="BH80" s="508"/>
      <c r="BI80" s="508"/>
      <c r="BJ80" s="509"/>
      <c r="BK80" s="504" t="s">
        <v>27</v>
      </c>
      <c r="BL80" s="505"/>
      <c r="BM80" s="505"/>
      <c r="BN80" s="505"/>
      <c r="BO80" s="506"/>
      <c r="BP80" s="498" t="s">
        <v>17</v>
      </c>
      <c r="BQ80" s="499"/>
      <c r="BR80" s="499"/>
      <c r="BS80" s="499"/>
      <c r="BT80" s="500"/>
      <c r="BU80" s="504" t="s">
        <v>28</v>
      </c>
      <c r="BV80" s="505"/>
      <c r="BW80" s="505"/>
      <c r="BX80" s="505"/>
      <c r="BY80" s="506"/>
      <c r="BZ80" s="507" t="s">
        <v>29</v>
      </c>
      <c r="CA80" s="508"/>
      <c r="CB80" s="508"/>
      <c r="CC80" s="508"/>
      <c r="CD80" s="509"/>
      <c r="CE80" s="512">
        <v>2021</v>
      </c>
      <c r="CF80" s="513"/>
      <c r="CG80" s="513"/>
      <c r="CH80" s="513"/>
      <c r="CI80" s="513"/>
    </row>
    <row r="81" spans="1:87" s="17" customFormat="1" ht="32.25" customHeight="1">
      <c r="A81" s="6" t="s">
        <v>30</v>
      </c>
      <c r="B81" s="277"/>
      <c r="C81" s="18" t="s">
        <v>62</v>
      </c>
      <c r="D81" s="21" t="s">
        <v>63</v>
      </c>
      <c r="E81" s="133" t="s">
        <v>33</v>
      </c>
      <c r="F81" s="21" t="s">
        <v>34</v>
      </c>
      <c r="G81" s="136" t="s">
        <v>35</v>
      </c>
      <c r="H81" s="25" t="s">
        <v>62</v>
      </c>
      <c r="I81" s="21" t="s">
        <v>63</v>
      </c>
      <c r="J81" s="133" t="s">
        <v>33</v>
      </c>
      <c r="K81" s="21" t="s">
        <v>34</v>
      </c>
      <c r="L81" s="136" t="s">
        <v>35</v>
      </c>
      <c r="M81" s="23" t="s">
        <v>62</v>
      </c>
      <c r="N81" s="21" t="s">
        <v>63</v>
      </c>
      <c r="O81" s="133" t="s">
        <v>33</v>
      </c>
      <c r="P81" s="45" t="s">
        <v>34</v>
      </c>
      <c r="Q81" s="155" t="s">
        <v>35</v>
      </c>
      <c r="R81" s="23" t="s">
        <v>62</v>
      </c>
      <c r="S81" s="21" t="s">
        <v>63</v>
      </c>
      <c r="T81" s="166" t="s">
        <v>33</v>
      </c>
      <c r="U81" s="48" t="s">
        <v>34</v>
      </c>
      <c r="V81" s="136" t="s">
        <v>35</v>
      </c>
      <c r="W81" s="23" t="s">
        <v>62</v>
      </c>
      <c r="X81" s="21" t="s">
        <v>63</v>
      </c>
      <c r="Y81" s="166" t="s">
        <v>33</v>
      </c>
      <c r="Z81" s="21" t="s">
        <v>34</v>
      </c>
      <c r="AA81" s="136" t="s">
        <v>35</v>
      </c>
      <c r="AB81" s="23" t="s">
        <v>62</v>
      </c>
      <c r="AC81" s="21" t="s">
        <v>63</v>
      </c>
      <c r="AD81" s="166" t="s">
        <v>33</v>
      </c>
      <c r="AE81" s="21" t="s">
        <v>34</v>
      </c>
      <c r="AF81" s="136" t="s">
        <v>35</v>
      </c>
      <c r="AG81" s="23" t="s">
        <v>62</v>
      </c>
      <c r="AH81" s="21" t="s">
        <v>63</v>
      </c>
      <c r="AI81" s="166" t="s">
        <v>33</v>
      </c>
      <c r="AJ81" s="21" t="s">
        <v>34</v>
      </c>
      <c r="AK81" s="136" t="s">
        <v>35</v>
      </c>
      <c r="AL81" s="23" t="s">
        <v>62</v>
      </c>
      <c r="AM81" s="21" t="s">
        <v>63</v>
      </c>
      <c r="AN81" s="166" t="s">
        <v>33</v>
      </c>
      <c r="AO81" s="21" t="s">
        <v>34</v>
      </c>
      <c r="AP81" s="136" t="s">
        <v>35</v>
      </c>
      <c r="AQ81" s="23" t="s">
        <v>62</v>
      </c>
      <c r="AR81" s="21" t="s">
        <v>63</v>
      </c>
      <c r="AS81" s="166" t="s">
        <v>33</v>
      </c>
      <c r="AT81" s="21" t="s">
        <v>34</v>
      </c>
      <c r="AU81" s="136" t="s">
        <v>35</v>
      </c>
      <c r="AV81" s="23" t="s">
        <v>62</v>
      </c>
      <c r="AW81" s="181" t="s">
        <v>63</v>
      </c>
      <c r="AX81" s="166" t="s">
        <v>33</v>
      </c>
      <c r="AY81" s="21" t="s">
        <v>34</v>
      </c>
      <c r="AZ81" s="136" t="s">
        <v>35</v>
      </c>
      <c r="BA81" s="23" t="s">
        <v>62</v>
      </c>
      <c r="BB81" s="181" t="s">
        <v>63</v>
      </c>
      <c r="BC81" s="166" t="s">
        <v>33</v>
      </c>
      <c r="BD81" s="21" t="s">
        <v>34</v>
      </c>
      <c r="BE81" s="136" t="s">
        <v>35</v>
      </c>
      <c r="BF81" s="23" t="s">
        <v>62</v>
      </c>
      <c r="BG81" s="181" t="s">
        <v>63</v>
      </c>
      <c r="BH81" s="166" t="s">
        <v>33</v>
      </c>
      <c r="BI81" s="21" t="s">
        <v>34</v>
      </c>
      <c r="BJ81" s="136" t="s">
        <v>35</v>
      </c>
      <c r="BK81" s="23" t="s">
        <v>62</v>
      </c>
      <c r="BL81" s="181" t="s">
        <v>63</v>
      </c>
      <c r="BM81" s="166" t="s">
        <v>33</v>
      </c>
      <c r="BN81" s="21" t="s">
        <v>34</v>
      </c>
      <c r="BO81" s="136" t="s">
        <v>35</v>
      </c>
      <c r="BP81" s="23" t="s">
        <v>62</v>
      </c>
      <c r="BQ81" s="181" t="s">
        <v>63</v>
      </c>
      <c r="BR81" s="166" t="s">
        <v>33</v>
      </c>
      <c r="BS81" s="21" t="s">
        <v>34</v>
      </c>
      <c r="BT81" s="136" t="s">
        <v>35</v>
      </c>
      <c r="BU81" s="23" t="s">
        <v>62</v>
      </c>
      <c r="BV81" s="181" t="s">
        <v>63</v>
      </c>
      <c r="BW81" s="166" t="s">
        <v>33</v>
      </c>
      <c r="BX81" s="21" t="s">
        <v>34</v>
      </c>
      <c r="BY81" s="136" t="s">
        <v>35</v>
      </c>
      <c r="BZ81" s="23" t="s">
        <v>62</v>
      </c>
      <c r="CA81" s="181" t="s">
        <v>63</v>
      </c>
      <c r="CB81" s="166" t="s">
        <v>33</v>
      </c>
      <c r="CC81" s="21" t="s">
        <v>34</v>
      </c>
      <c r="CD81" s="136" t="s">
        <v>35</v>
      </c>
      <c r="CE81" s="23" t="s">
        <v>62</v>
      </c>
      <c r="CF81" s="181" t="s">
        <v>63</v>
      </c>
      <c r="CG81" s="166" t="s">
        <v>33</v>
      </c>
      <c r="CH81" s="21" t="s">
        <v>34</v>
      </c>
      <c r="CI81" s="136" t="s">
        <v>35</v>
      </c>
    </row>
    <row r="82" spans="1:87" s="105" customFormat="1" ht="13.15">
      <c r="A82" s="30" t="s">
        <v>65</v>
      </c>
      <c r="B82" s="285"/>
      <c r="C82" s="123">
        <v>102662</v>
      </c>
      <c r="D82" s="124">
        <f t="shared" ref="D82:D98" ca="1" si="267">C82+RANDBETWEEN(10000,100000)</f>
        <v>152101</v>
      </c>
      <c r="E82" s="134">
        <f ca="1">IFERROR(C82/D82,"")</f>
        <v>0.67495940197631832</v>
      </c>
      <c r="F82" s="81">
        <f t="shared" ref="F82:F98" ca="1" si="268">C82+RANDBETWEEN(5000,50000)</f>
        <v>149588</v>
      </c>
      <c r="G82" s="137">
        <f ca="1">IFERROR(F82/D82,"")</f>
        <v>0.98347808364179068</v>
      </c>
      <c r="H82" s="140">
        <v>625097</v>
      </c>
      <c r="I82" s="98">
        <f t="shared" ref="I82:I98" ca="1" si="269">H82+RANDBETWEEN(10000,100000)</f>
        <v>639576</v>
      </c>
      <c r="J82" s="145">
        <f ca="1">IFERROR(H82/I82,"")</f>
        <v>0.97736156453650547</v>
      </c>
      <c r="K82" s="81">
        <f t="shared" ref="K82:K98" ca="1" si="270">H82+RANDBETWEEN(5000,50000)</f>
        <v>669927</v>
      </c>
      <c r="L82" s="145">
        <f ca="1">IFERROR(K82/I82,"")</f>
        <v>1.0474548763555855</v>
      </c>
      <c r="M82" s="123">
        <v>150276</v>
      </c>
      <c r="N82" s="124">
        <f t="shared" ref="N82:N98" ca="1" si="271">M82+RANDBETWEEN(10000,100000)</f>
        <v>235551</v>
      </c>
      <c r="O82" s="134">
        <f ca="1">IFERROR(M82/N82,"")</f>
        <v>0.63797648916795091</v>
      </c>
      <c r="P82" s="81">
        <f t="shared" ref="P82:P98" ca="1" si="272">M82+RANDBETWEEN(5000,50000)</f>
        <v>190982</v>
      </c>
      <c r="Q82" s="134">
        <f ca="1">IFERROR(P82/N82,"")</f>
        <v>0.81078832184962069</v>
      </c>
      <c r="R82" s="96"/>
      <c r="S82" s="179">
        <f t="shared" ref="S82:U95" ca="1" si="273">D82+I82+N82</f>
        <v>1027228</v>
      </c>
      <c r="T82" s="171">
        <f ca="1">IFERROR(R82/S82,"")</f>
        <v>0</v>
      </c>
      <c r="U82" s="86">
        <f t="shared" ca="1" si="273"/>
        <v>1010497</v>
      </c>
      <c r="V82" s="167">
        <f ca="1">IFERROR(U82/S82,"")</f>
        <v>0.98371247668482553</v>
      </c>
      <c r="W82" s="123">
        <v>346040</v>
      </c>
      <c r="X82" s="124">
        <f t="shared" ref="X82:X98" ca="1" si="274">W82+RANDBETWEEN(10000,100000)</f>
        <v>392113</v>
      </c>
      <c r="Y82" s="134">
        <f ca="1">IFERROR(W82/X82,"")</f>
        <v>0.88250070770415667</v>
      </c>
      <c r="Z82" s="81">
        <f t="shared" ref="Z82:Z98" ca="1" si="275">W82+RANDBETWEEN(5000,50000)</f>
        <v>366620</v>
      </c>
      <c r="AA82" s="137">
        <f ca="1">IFERROR(Z82/X82,"")</f>
        <v>0.93498557813691463</v>
      </c>
      <c r="AB82" s="140">
        <v>184745</v>
      </c>
      <c r="AC82" s="98">
        <f t="shared" ref="AC82:AC98" ca="1" si="276">AB82+RANDBETWEEN(10000,100000)</f>
        <v>216144</v>
      </c>
      <c r="AD82" s="145">
        <f ca="1">IFERROR(AB82/AC82,"")</f>
        <v>0.8547311051891332</v>
      </c>
      <c r="AE82" s="81">
        <f t="shared" ref="AE82:AE98" ca="1" si="277">AB82+RANDBETWEEN(5000,50000)</f>
        <v>234312</v>
      </c>
      <c r="AF82" s="145">
        <f ca="1">IFERROR(AE82/AC82,"")</f>
        <v>1.0840550743948478</v>
      </c>
      <c r="AG82" s="123">
        <v>751078</v>
      </c>
      <c r="AH82" s="124">
        <f t="shared" ref="AH82:AH98" ca="1" si="278">AG82+RANDBETWEEN(10000,100000)</f>
        <v>781083</v>
      </c>
      <c r="AI82" s="134">
        <f ca="1">IFERROR(AG82/AH82,"")</f>
        <v>0.96158538849264419</v>
      </c>
      <c r="AJ82" s="81">
        <f t="shared" ref="AJ82:AJ98" ca="1" si="279">AG82+RANDBETWEEN(5000,50000)</f>
        <v>776292</v>
      </c>
      <c r="AK82" s="134">
        <f ca="1">IFERROR(AJ82/AH82,"")</f>
        <v>0.99386620884080179</v>
      </c>
      <c r="AL82" s="96"/>
      <c r="AM82" s="179">
        <f t="shared" ref="AM82:AM98" ca="1" si="280">X82+AC82+AH82</f>
        <v>1389340</v>
      </c>
      <c r="AN82" s="171">
        <f ca="1">IFERROR(AL82/AM82,"")</f>
        <v>0</v>
      </c>
      <c r="AO82" s="86">
        <f t="shared" ref="AO82:AO95" ca="1" si="281">Z82+AE82+AJ82</f>
        <v>1377224</v>
      </c>
      <c r="AP82" s="167">
        <f ca="1">IFERROR(AO82/AM82,"")</f>
        <v>0.99127931247930667</v>
      </c>
      <c r="AQ82" s="123">
        <v>678921</v>
      </c>
      <c r="AR82" s="124">
        <f t="shared" ref="AR82:AR98" ca="1" si="282">AQ82+RANDBETWEEN(10000,100000)</f>
        <v>753096</v>
      </c>
      <c r="AS82" s="134">
        <f ca="1">IFERROR(AQ82/AR82,"")</f>
        <v>0.9015065808343159</v>
      </c>
      <c r="AT82" s="81">
        <f t="shared" ref="AT82:AT98" ca="1" si="283">AQ82+RANDBETWEEN(5000,50000)</f>
        <v>715747</v>
      </c>
      <c r="AU82" s="137">
        <f ca="1">IFERROR(AT82/AR82,"")</f>
        <v>0.95040605712950277</v>
      </c>
      <c r="AV82" s="140">
        <v>308259</v>
      </c>
      <c r="AW82" s="98">
        <f t="shared" ref="AW82:AW98" ca="1" si="284">AV82+RANDBETWEEN(10000,100000)</f>
        <v>367329</v>
      </c>
      <c r="AX82" s="145">
        <f ca="1">IFERROR(AV82/AW82,"")</f>
        <v>0.8391904804684629</v>
      </c>
      <c r="AY82" s="81">
        <f t="shared" ref="AY82:AY98" ca="1" si="285">AV82+RANDBETWEEN(5000,50000)</f>
        <v>353902</v>
      </c>
      <c r="AZ82" s="145">
        <f ca="1">IFERROR(AY82/AW82,"")</f>
        <v>0.96344693721432284</v>
      </c>
      <c r="BA82" s="123">
        <v>292205</v>
      </c>
      <c r="BB82" s="124">
        <f t="shared" ref="BB82:BB98" ca="1" si="286">BA82+RANDBETWEEN(10000,100000)</f>
        <v>348684</v>
      </c>
      <c r="BC82" s="134">
        <f ca="1">IFERROR(BA82/BB82,"")</f>
        <v>0.83802239276823709</v>
      </c>
      <c r="BD82" s="81">
        <f t="shared" ref="BD82:BD98" ca="1" si="287">BA82+RANDBETWEEN(5000,50000)</f>
        <v>319309</v>
      </c>
      <c r="BE82" s="134">
        <f ca="1">IFERROR(BD82/BB82,"")</f>
        <v>0.91575466611602485</v>
      </c>
      <c r="BF82" s="96"/>
      <c r="BG82" s="176">
        <f t="shared" ref="BG82:BG95" ca="1" si="288">AR82+AW82+BB82</f>
        <v>1469109</v>
      </c>
      <c r="BH82" s="171">
        <f ca="1">IFERROR(BF82/BG82,"")</f>
        <v>0</v>
      </c>
      <c r="BI82" s="86">
        <f ca="1">AT82+AY82+BD82</f>
        <v>1388958</v>
      </c>
      <c r="BJ82" s="167">
        <f ca="1">IFERROR(BI82/BG82,"")</f>
        <v>0.94544244164320002</v>
      </c>
      <c r="BK82" s="123">
        <v>856987</v>
      </c>
      <c r="BL82" s="124">
        <f t="shared" ref="BL82:BL98" ca="1" si="289">BK82+RANDBETWEEN(10000,100000)</f>
        <v>953694</v>
      </c>
      <c r="BM82" s="134">
        <f ca="1">IFERROR(BK82/BL82,"")</f>
        <v>0.89859745369059674</v>
      </c>
      <c r="BN82" s="81">
        <f t="shared" ref="BN82:BN98" ca="1" si="290">BK82+RANDBETWEEN(5000,50000)</f>
        <v>863281</v>
      </c>
      <c r="BO82" s="137">
        <f ca="1">IFERROR(BN82/BL82,"")</f>
        <v>0.90519705482051893</v>
      </c>
      <c r="BP82" s="140">
        <v>536968</v>
      </c>
      <c r="BQ82" s="98">
        <f t="shared" ref="BQ82:BQ98" ca="1" si="291">BP82+RANDBETWEEN(10000,100000)</f>
        <v>607107</v>
      </c>
      <c r="BR82" s="145">
        <f ca="1">IFERROR(BP82/BQ82,"")</f>
        <v>0.88447011811756415</v>
      </c>
      <c r="BS82" s="81">
        <f t="shared" ref="BS82:BS98" ca="1" si="292">BP82+RANDBETWEEN(5000,50000)</f>
        <v>547212</v>
      </c>
      <c r="BT82" s="145">
        <f ca="1">IFERROR(BS82/BQ82,"")</f>
        <v>0.90134358523291613</v>
      </c>
      <c r="BU82" s="123">
        <v>213068</v>
      </c>
      <c r="BV82" s="124">
        <f t="shared" ref="BV82:BV98" ca="1" si="293">BU82+RANDBETWEEN(10000,100000)</f>
        <v>273804</v>
      </c>
      <c r="BW82" s="134">
        <f ca="1">IFERROR(BU82/BV82,"")</f>
        <v>0.77817709018129755</v>
      </c>
      <c r="BX82" s="81">
        <f t="shared" ref="BX82:BX98" ca="1" si="294">BU82+RANDBETWEEN(5000,50000)</f>
        <v>244838</v>
      </c>
      <c r="BY82" s="134">
        <f ca="1">IFERROR(BX82/BV82,"")</f>
        <v>0.89420899621627148</v>
      </c>
      <c r="BZ82" s="96"/>
      <c r="CA82" s="185">
        <f t="shared" ref="CA82:CA98" ca="1" si="295">BL82+BQ82+BV82</f>
        <v>1834605</v>
      </c>
      <c r="CB82" s="171">
        <f ca="1">IFERROR(BZ82/CA82,"")</f>
        <v>0</v>
      </c>
      <c r="CC82" s="86">
        <f ca="1">BN82+BS82+BX82</f>
        <v>1655331</v>
      </c>
      <c r="CD82" s="167">
        <f ca="1">IFERROR(CC82/CA82,"")</f>
        <v>0.90228196260230409</v>
      </c>
      <c r="CE82" s="219"/>
      <c r="CF82" s="210">
        <f t="shared" ref="CF82:CF93" ca="1" si="296">S82+AM82+BG82+CA82</f>
        <v>5720282</v>
      </c>
      <c r="CG82" s="171">
        <f ca="1">IFERROR(CE82/CF82,"")</f>
        <v>0</v>
      </c>
      <c r="CH82" s="218">
        <f ca="1">AO82+BI82+CC82+U82</f>
        <v>5432010</v>
      </c>
      <c r="CI82" s="167">
        <f ca="1">IFERROR(CH82/CF82,"")</f>
        <v>0.94960528169765057</v>
      </c>
    </row>
    <row r="83" spans="1:87" s="105" customFormat="1" ht="13.15">
      <c r="A83" s="117" t="s">
        <v>66</v>
      </c>
      <c r="B83" s="285"/>
      <c r="C83" s="123">
        <v>409135</v>
      </c>
      <c r="D83" s="124">
        <f t="shared" ca="1" si="267"/>
        <v>489808</v>
      </c>
      <c r="E83" s="134">
        <f t="shared" ref="E83:E98" ca="1" si="297">IFERROR(C83/D83,"")</f>
        <v>0.83529668768170384</v>
      </c>
      <c r="F83" s="81">
        <f t="shared" ca="1" si="268"/>
        <v>443089</v>
      </c>
      <c r="G83" s="137">
        <f t="shared" ref="G83:G98" ca="1" si="298">IFERROR(F83/D83,"")</f>
        <v>0.90461772776271521</v>
      </c>
      <c r="H83" s="140">
        <v>657130</v>
      </c>
      <c r="I83" s="98">
        <f t="shared" ca="1" si="269"/>
        <v>737853</v>
      </c>
      <c r="J83" s="145">
        <f t="shared" ref="J83:J98" ca="1" si="299">IFERROR(H83/I83,"")</f>
        <v>0.89059744962750031</v>
      </c>
      <c r="K83" s="81">
        <f t="shared" ca="1" si="270"/>
        <v>693816</v>
      </c>
      <c r="L83" s="145">
        <f t="shared" ref="L83:L98" ca="1" si="300">IFERROR(K83/I83,"")</f>
        <v>0.94031738029119616</v>
      </c>
      <c r="M83" s="123">
        <v>523803</v>
      </c>
      <c r="N83" s="124">
        <f t="shared" ca="1" si="271"/>
        <v>603215</v>
      </c>
      <c r="O83" s="134">
        <f t="shared" ref="O83:O98" ca="1" si="301">IFERROR(M83/N83,"")</f>
        <v>0.8683520801041088</v>
      </c>
      <c r="P83" s="81">
        <f t="shared" ca="1" si="272"/>
        <v>550970</v>
      </c>
      <c r="Q83" s="134">
        <f t="shared" ref="Q83:Q98" ca="1" si="302">IFERROR(P83/N83,"")</f>
        <v>0.91338909012541136</v>
      </c>
      <c r="R83" s="96">
        <v>602716</v>
      </c>
      <c r="S83" s="179">
        <f t="shared" ca="1" si="273"/>
        <v>1830876</v>
      </c>
      <c r="T83" s="171">
        <f t="shared" ref="T83:T98" ca="1" si="303">IFERROR(R83/S83,"")</f>
        <v>0.32919542339295504</v>
      </c>
      <c r="U83" s="86">
        <f t="shared" ca="1" si="273"/>
        <v>1687875</v>
      </c>
      <c r="V83" s="167">
        <f t="shared" ref="V83:V98" ca="1" si="304">IFERROR(U83/S83,"")</f>
        <v>0.92189476512882362</v>
      </c>
      <c r="W83" s="123">
        <v>963295</v>
      </c>
      <c r="X83" s="124">
        <f t="shared" ca="1" si="274"/>
        <v>989558</v>
      </c>
      <c r="Y83" s="134">
        <f t="shared" ref="Y83:Y98" ca="1" si="305">IFERROR(W83/X83,"")</f>
        <v>0.97345986794104034</v>
      </c>
      <c r="Z83" s="81">
        <f t="shared" ca="1" si="275"/>
        <v>1011793</v>
      </c>
      <c r="AA83" s="137">
        <f t="shared" ref="AA83:AA98" ca="1" si="306">IFERROR(Z83/X83,"")</f>
        <v>1.0224696278540519</v>
      </c>
      <c r="AB83" s="140">
        <v>496742</v>
      </c>
      <c r="AC83" s="98">
        <f t="shared" ca="1" si="276"/>
        <v>542911</v>
      </c>
      <c r="AD83" s="145">
        <f t="shared" ref="AD83:AD98" ca="1" si="307">IFERROR(AB83/AC83,"")</f>
        <v>0.91496027894074716</v>
      </c>
      <c r="AE83" s="81">
        <f t="shared" ca="1" si="277"/>
        <v>512046</v>
      </c>
      <c r="AF83" s="145">
        <f t="shared" ref="AF83:AF98" ca="1" si="308">IFERROR(AE83/AC83,"")</f>
        <v>0.94314906126418507</v>
      </c>
      <c r="AG83" s="123">
        <v>778195</v>
      </c>
      <c r="AH83" s="124">
        <f t="shared" ca="1" si="278"/>
        <v>838170</v>
      </c>
      <c r="AI83" s="134">
        <f t="shared" ref="AI83:AI98" ca="1" si="309">IFERROR(AG83/AH83,"")</f>
        <v>0.92844530345872556</v>
      </c>
      <c r="AJ83" s="81">
        <f t="shared" ca="1" si="279"/>
        <v>810680</v>
      </c>
      <c r="AK83" s="134">
        <f t="shared" ref="AK83:AK98" ca="1" si="310">IFERROR(AJ83/AH83,"")</f>
        <v>0.96720235751697148</v>
      </c>
      <c r="AL83" s="96">
        <v>461040</v>
      </c>
      <c r="AM83" s="179">
        <f t="shared" ca="1" si="280"/>
        <v>2370639</v>
      </c>
      <c r="AN83" s="171">
        <f t="shared" ref="AN83:AN98" ca="1" si="311">IFERROR(AL83/AM83,"")</f>
        <v>0.19447921003577517</v>
      </c>
      <c r="AO83" s="86">
        <f t="shared" ca="1" si="281"/>
        <v>2334519</v>
      </c>
      <c r="AP83" s="167">
        <f t="shared" ref="AP83:AP98" ca="1" si="312">IFERROR(AO83/AM83,"")</f>
        <v>0.9847636017124497</v>
      </c>
      <c r="AQ83" s="123">
        <v>153201</v>
      </c>
      <c r="AR83" s="124">
        <f t="shared" ca="1" si="282"/>
        <v>213876</v>
      </c>
      <c r="AS83" s="134">
        <f t="shared" ref="AS83:AS98" ca="1" si="313">IFERROR(AQ83/AR83,"")</f>
        <v>0.71630758009313811</v>
      </c>
      <c r="AT83" s="81">
        <f t="shared" ca="1" si="283"/>
        <v>178719</v>
      </c>
      <c r="AU83" s="137">
        <f t="shared" ref="AU83:AU98" ca="1" si="314">IFERROR(AT83/AR83,"")</f>
        <v>0.83561970487572235</v>
      </c>
      <c r="AV83" s="140">
        <v>103235</v>
      </c>
      <c r="AW83" s="98">
        <f t="shared" ca="1" si="284"/>
        <v>172199</v>
      </c>
      <c r="AX83" s="145">
        <f t="shared" ref="AX83:AX98" ca="1" si="315">IFERROR(AV83/AW83,"")</f>
        <v>0.5995098693952926</v>
      </c>
      <c r="AY83" s="81">
        <f t="shared" ca="1" si="285"/>
        <v>129968</v>
      </c>
      <c r="AZ83" s="145">
        <f t="shared" ref="AZ83:AZ98" ca="1" si="316">IFERROR(AY83/AW83,"")</f>
        <v>0.7547546733720869</v>
      </c>
      <c r="BA83" s="123">
        <v>971519</v>
      </c>
      <c r="BB83" s="124">
        <f t="shared" ca="1" si="286"/>
        <v>1023519</v>
      </c>
      <c r="BC83" s="134">
        <f t="shared" ref="BC83:BC98" ca="1" si="317">IFERROR(BA83/BB83,"")</f>
        <v>0.94919488548820297</v>
      </c>
      <c r="BD83" s="81">
        <f t="shared" ca="1" si="287"/>
        <v>1020270</v>
      </c>
      <c r="BE83" s="134">
        <f t="shared" ref="BE83:BE98" ca="1" si="318">IFERROR(BD83/BB83,"")</f>
        <v>0.99682565736444562</v>
      </c>
      <c r="BF83" s="96">
        <v>711246</v>
      </c>
      <c r="BG83" s="176">
        <f t="shared" ca="1" si="288"/>
        <v>1409594</v>
      </c>
      <c r="BH83" s="171">
        <f t="shared" ref="BH83:BH98" ca="1" si="319">IFERROR(BF83/BG83,"")</f>
        <v>0.50457507622762299</v>
      </c>
      <c r="BI83" s="86">
        <f t="shared" ref="BI83:BI98" ca="1" si="320">AT83+AY83+BD83</f>
        <v>1328957</v>
      </c>
      <c r="BJ83" s="167">
        <f t="shared" ref="BJ83:BJ98" ca="1" si="321">IFERROR(BI83/BG83,"")</f>
        <v>0.94279416626347734</v>
      </c>
      <c r="BK83" s="123">
        <v>403999</v>
      </c>
      <c r="BL83" s="124">
        <f t="shared" ca="1" si="289"/>
        <v>464211</v>
      </c>
      <c r="BM83" s="134">
        <f t="shared" ref="BM83:BM98" ca="1" si="322">IFERROR(BK83/BL83,"")</f>
        <v>0.87029174233268924</v>
      </c>
      <c r="BN83" s="81">
        <f t="shared" ca="1" si="290"/>
        <v>430220</v>
      </c>
      <c r="BO83" s="137">
        <f t="shared" ref="BO83:BO98" ca="1" si="323">IFERROR(BN83/BL83,"")</f>
        <v>0.9267768320871328</v>
      </c>
      <c r="BP83" s="140">
        <v>662374</v>
      </c>
      <c r="BQ83" s="98">
        <f t="shared" ca="1" si="291"/>
        <v>694777</v>
      </c>
      <c r="BR83" s="145">
        <f t="shared" ref="BR83:BR98" ca="1" si="324">IFERROR(BP83/BQ83,"")</f>
        <v>0.95336201399873632</v>
      </c>
      <c r="BS83" s="81">
        <f t="shared" ca="1" si="292"/>
        <v>703559</v>
      </c>
      <c r="BT83" s="145">
        <f t="shared" ref="BT83:BT98" ca="1" si="325">IFERROR(BS83/BQ83,"")</f>
        <v>1.0126400269438971</v>
      </c>
      <c r="BU83" s="123">
        <v>477581</v>
      </c>
      <c r="BV83" s="124">
        <f t="shared" ca="1" si="293"/>
        <v>551491</v>
      </c>
      <c r="BW83" s="134">
        <f t="shared" ref="BW83:BW98" ca="1" si="326">IFERROR(BU83/BV83,"")</f>
        <v>0.86598149380497591</v>
      </c>
      <c r="BX83" s="81">
        <f t="shared" ca="1" si="294"/>
        <v>511963</v>
      </c>
      <c r="BY83" s="134">
        <f t="shared" ref="BY83:BY98" ca="1" si="327">IFERROR(BX83/BV83,"")</f>
        <v>0.92832521292278569</v>
      </c>
      <c r="BZ83" s="96">
        <v>792034</v>
      </c>
      <c r="CA83" s="185">
        <f t="shared" ca="1" si="295"/>
        <v>1710479</v>
      </c>
      <c r="CB83" s="171">
        <f t="shared" ref="CB83:CB98" ca="1" si="328">IFERROR(BZ83/CA83,"")</f>
        <v>0.46304807016046384</v>
      </c>
      <c r="CC83" s="86">
        <f t="shared" ref="CC83:CC98" ca="1" si="329">BN83+BS83+BX83</f>
        <v>1645742</v>
      </c>
      <c r="CD83" s="167">
        <f t="shared" ref="CD83:CD98" ca="1" si="330">IFERROR(CC83/CA83,"")</f>
        <v>0.96215270693180099</v>
      </c>
      <c r="CE83" s="219">
        <v>743780</v>
      </c>
      <c r="CF83" s="210">
        <f ca="1">S83+AM83+BG83+CA83</f>
        <v>7321588</v>
      </c>
      <c r="CG83" s="171">
        <f t="shared" ref="CG83:CG98" ca="1" si="331">IFERROR(CE83/CF83,"")</f>
        <v>0.10158725129029385</v>
      </c>
      <c r="CH83" s="218">
        <f t="shared" ref="CH83:CH98" ca="1" si="332">AO83+BI83+CC83+U83</f>
        <v>6997093</v>
      </c>
      <c r="CI83" s="167">
        <f t="shared" ref="CI83:CI98" ca="1" si="333">IFERROR(CH83/CF83,"")</f>
        <v>0.9556796968089436</v>
      </c>
    </row>
    <row r="84" spans="1:87" s="105" customFormat="1" ht="13.15">
      <c r="A84" s="30" t="s">
        <v>67</v>
      </c>
      <c r="B84" s="285"/>
      <c r="C84" s="123">
        <v>759263</v>
      </c>
      <c r="D84" s="124">
        <f t="shared" ca="1" si="267"/>
        <v>828386</v>
      </c>
      <c r="E84" s="134">
        <f t="shared" ca="1" si="297"/>
        <v>0.91655701569075287</v>
      </c>
      <c r="F84" s="81">
        <f t="shared" ca="1" si="268"/>
        <v>808990</v>
      </c>
      <c r="G84" s="137">
        <f t="shared" ca="1" si="298"/>
        <v>0.97658579454505512</v>
      </c>
      <c r="H84" s="140">
        <v>766603</v>
      </c>
      <c r="I84" s="98">
        <f t="shared" ca="1" si="269"/>
        <v>840764</v>
      </c>
      <c r="J84" s="145">
        <f t="shared" ca="1" si="299"/>
        <v>0.91179332131252055</v>
      </c>
      <c r="K84" s="81">
        <f t="shared" ca="1" si="270"/>
        <v>775337</v>
      </c>
      <c r="L84" s="145">
        <f t="shared" ca="1" si="300"/>
        <v>0.92218149207149691</v>
      </c>
      <c r="M84" s="123">
        <v>471983</v>
      </c>
      <c r="N84" s="124">
        <f t="shared" ca="1" si="271"/>
        <v>509266</v>
      </c>
      <c r="O84" s="134">
        <f t="shared" ca="1" si="301"/>
        <v>0.92679071447927019</v>
      </c>
      <c r="P84" s="81">
        <f t="shared" ca="1" si="272"/>
        <v>491283</v>
      </c>
      <c r="Q84" s="134">
        <f t="shared" ca="1" si="302"/>
        <v>0.96468839466997602</v>
      </c>
      <c r="R84" s="96">
        <v>417999</v>
      </c>
      <c r="S84" s="179">
        <f t="shared" ca="1" si="273"/>
        <v>2178416</v>
      </c>
      <c r="T84" s="171">
        <f t="shared" ca="1" si="303"/>
        <v>0.19188208312829139</v>
      </c>
      <c r="U84" s="86">
        <f t="shared" ca="1" si="273"/>
        <v>2075610</v>
      </c>
      <c r="V84" s="167">
        <f t="shared" ca="1" si="304"/>
        <v>0.95280699370551813</v>
      </c>
      <c r="W84" s="123">
        <v>956272</v>
      </c>
      <c r="X84" s="124">
        <f t="shared" ca="1" si="274"/>
        <v>1050311</v>
      </c>
      <c r="Y84" s="134">
        <f t="shared" ca="1" si="305"/>
        <v>0.91046556686543323</v>
      </c>
      <c r="Z84" s="81">
        <f t="shared" ca="1" si="275"/>
        <v>971665</v>
      </c>
      <c r="AA84" s="137">
        <f t="shared" ca="1" si="306"/>
        <v>0.92512122599877555</v>
      </c>
      <c r="AB84" s="140">
        <v>961044</v>
      </c>
      <c r="AC84" s="98">
        <f t="shared" ca="1" si="276"/>
        <v>1030981</v>
      </c>
      <c r="AD84" s="145">
        <f t="shared" ca="1" si="307"/>
        <v>0.93216460827115144</v>
      </c>
      <c r="AE84" s="81">
        <f t="shared" ca="1" si="277"/>
        <v>977553</v>
      </c>
      <c r="AF84" s="145">
        <f t="shared" ca="1" si="308"/>
        <v>0.94817751248568116</v>
      </c>
      <c r="AG84" s="123">
        <v>520289</v>
      </c>
      <c r="AH84" s="124">
        <f t="shared" ca="1" si="278"/>
        <v>586444</v>
      </c>
      <c r="AI84" s="134">
        <f t="shared" ca="1" si="309"/>
        <v>0.88719298006288749</v>
      </c>
      <c r="AJ84" s="81">
        <f t="shared" ca="1" si="279"/>
        <v>532071</v>
      </c>
      <c r="AK84" s="134">
        <f t="shared" ca="1" si="310"/>
        <v>0.90728355989659715</v>
      </c>
      <c r="AL84" s="96">
        <v>986874</v>
      </c>
      <c r="AM84" s="179">
        <f t="shared" ca="1" si="280"/>
        <v>2667736</v>
      </c>
      <c r="AN84" s="171">
        <f t="shared" ca="1" si="311"/>
        <v>0.36992940830726878</v>
      </c>
      <c r="AO84" s="86">
        <f t="shared" ca="1" si="281"/>
        <v>2481289</v>
      </c>
      <c r="AP84" s="167">
        <f t="shared" ca="1" si="312"/>
        <v>0.93011040072930751</v>
      </c>
      <c r="AQ84" s="123">
        <v>721433</v>
      </c>
      <c r="AR84" s="124">
        <f t="shared" ca="1" si="282"/>
        <v>742661</v>
      </c>
      <c r="AS84" s="134">
        <f t="shared" ca="1" si="313"/>
        <v>0.97141629895739778</v>
      </c>
      <c r="AT84" s="81">
        <f t="shared" ca="1" si="283"/>
        <v>761209</v>
      </c>
      <c r="AU84" s="137">
        <f t="shared" ca="1" si="314"/>
        <v>1.0249750559138018</v>
      </c>
      <c r="AV84" s="140">
        <v>569042</v>
      </c>
      <c r="AW84" s="98">
        <f t="shared" ca="1" si="284"/>
        <v>631021</v>
      </c>
      <c r="AX84" s="145">
        <f t="shared" ca="1" si="315"/>
        <v>0.90177981398400375</v>
      </c>
      <c r="AY84" s="81">
        <f t="shared" ca="1" si="285"/>
        <v>585662</v>
      </c>
      <c r="AZ84" s="145">
        <f t="shared" ca="1" si="316"/>
        <v>0.92811808164862974</v>
      </c>
      <c r="BA84" s="123">
        <v>564664</v>
      </c>
      <c r="BB84" s="124">
        <f t="shared" ca="1" si="286"/>
        <v>588832</v>
      </c>
      <c r="BC84" s="134">
        <f t="shared" ca="1" si="317"/>
        <v>0.95895603499809789</v>
      </c>
      <c r="BD84" s="81">
        <f t="shared" ca="1" si="287"/>
        <v>589118</v>
      </c>
      <c r="BE84" s="134">
        <f t="shared" ca="1" si="318"/>
        <v>1.0004857072985165</v>
      </c>
      <c r="BF84" s="96">
        <v>666083</v>
      </c>
      <c r="BG84" s="176">
        <f t="shared" ca="1" si="288"/>
        <v>1962514</v>
      </c>
      <c r="BH84" s="171">
        <f t="shared" ca="1" si="319"/>
        <v>0.3394029291001236</v>
      </c>
      <c r="BI84" s="86">
        <f t="shared" ca="1" si="320"/>
        <v>1935989</v>
      </c>
      <c r="BJ84" s="167">
        <f t="shared" ca="1" si="321"/>
        <v>0.9864841728517606</v>
      </c>
      <c r="BK84" s="123">
        <v>510300</v>
      </c>
      <c r="BL84" s="124">
        <f t="shared" ca="1" si="289"/>
        <v>522651</v>
      </c>
      <c r="BM84" s="134">
        <f t="shared" ca="1" si="322"/>
        <v>0.97636855186348059</v>
      </c>
      <c r="BN84" s="81">
        <f t="shared" ca="1" si="290"/>
        <v>523215</v>
      </c>
      <c r="BO84" s="137">
        <f t="shared" ca="1" si="323"/>
        <v>1.001079113978544</v>
      </c>
      <c r="BP84" s="140">
        <v>940710</v>
      </c>
      <c r="BQ84" s="98">
        <f t="shared" ca="1" si="291"/>
        <v>1037397</v>
      </c>
      <c r="BR84" s="145">
        <f t="shared" ca="1" si="324"/>
        <v>0.90679845806378845</v>
      </c>
      <c r="BS84" s="81">
        <f t="shared" ca="1" si="292"/>
        <v>947093</v>
      </c>
      <c r="BT84" s="145">
        <f t="shared" ca="1" si="325"/>
        <v>0.91295135806253536</v>
      </c>
      <c r="BU84" s="123">
        <v>143746</v>
      </c>
      <c r="BV84" s="124">
        <f t="shared" ca="1" si="293"/>
        <v>226015</v>
      </c>
      <c r="BW84" s="134">
        <f t="shared" ca="1" si="326"/>
        <v>0.63600203526314625</v>
      </c>
      <c r="BX84" s="81">
        <f t="shared" ca="1" si="294"/>
        <v>181556</v>
      </c>
      <c r="BY84" s="134">
        <f t="shared" ca="1" si="327"/>
        <v>0.80329181691480656</v>
      </c>
      <c r="BZ84" s="96">
        <v>574400</v>
      </c>
      <c r="CA84" s="185">
        <f t="shared" ca="1" si="295"/>
        <v>1786063</v>
      </c>
      <c r="CB84" s="171">
        <f t="shared" ca="1" si="328"/>
        <v>0.32160119771810963</v>
      </c>
      <c r="CC84" s="86">
        <f t="shared" ca="1" si="329"/>
        <v>1651864</v>
      </c>
      <c r="CD84" s="167">
        <f t="shared" ca="1" si="330"/>
        <v>0.92486323270791682</v>
      </c>
      <c r="CE84" s="219">
        <v>815064</v>
      </c>
      <c r="CF84" s="210">
        <f t="shared" ca="1" si="296"/>
        <v>8594729</v>
      </c>
      <c r="CG84" s="171">
        <f t="shared" ca="1" si="331"/>
        <v>9.4833007532872771E-2</v>
      </c>
      <c r="CH84" s="218">
        <f t="shared" ca="1" si="332"/>
        <v>8144752</v>
      </c>
      <c r="CI84" s="167">
        <f t="shared" ca="1" si="333"/>
        <v>0.94764500428111231</v>
      </c>
    </row>
    <row r="85" spans="1:87" s="105" customFormat="1" ht="13.15">
      <c r="A85" s="30" t="s">
        <v>75</v>
      </c>
      <c r="B85" s="285"/>
      <c r="C85" s="123">
        <v>819327</v>
      </c>
      <c r="D85" s="124">
        <f t="shared" ca="1" si="267"/>
        <v>898552</v>
      </c>
      <c r="E85" s="134">
        <f t="shared" ca="1" si="297"/>
        <v>0.91183036707947895</v>
      </c>
      <c r="F85" s="81">
        <f t="shared" ca="1" si="268"/>
        <v>855388</v>
      </c>
      <c r="G85" s="137">
        <f t="shared" ca="1" si="298"/>
        <v>0.95196271334324556</v>
      </c>
      <c r="H85" s="140">
        <v>933450</v>
      </c>
      <c r="I85" s="98">
        <f t="shared" ca="1" si="269"/>
        <v>970289</v>
      </c>
      <c r="J85" s="145">
        <f t="shared" ca="1" si="299"/>
        <v>0.96203296131358806</v>
      </c>
      <c r="K85" s="81">
        <f t="shared" ca="1" si="270"/>
        <v>959317</v>
      </c>
      <c r="L85" s="145">
        <f t="shared" ca="1" si="300"/>
        <v>0.98869202886974916</v>
      </c>
      <c r="M85" s="123">
        <v>998869</v>
      </c>
      <c r="N85" s="124">
        <f t="shared" ca="1" si="271"/>
        <v>1056499</v>
      </c>
      <c r="O85" s="134">
        <f t="shared" ca="1" si="301"/>
        <v>0.94545191240124227</v>
      </c>
      <c r="P85" s="81">
        <f t="shared" ca="1" si="272"/>
        <v>1006722</v>
      </c>
      <c r="Q85" s="134">
        <f t="shared" ca="1" si="302"/>
        <v>0.95288495303828968</v>
      </c>
      <c r="R85" s="96">
        <v>302490</v>
      </c>
      <c r="S85" s="179">
        <f t="shared" ca="1" si="273"/>
        <v>2925340</v>
      </c>
      <c r="T85" s="171">
        <f t="shared" ca="1" si="303"/>
        <v>0.103403365078931</v>
      </c>
      <c r="U85" s="86">
        <f ca="1">F85+K85+P85</f>
        <v>2821427</v>
      </c>
      <c r="V85" s="167">
        <f t="shared" ca="1" si="304"/>
        <v>0.96447831705032583</v>
      </c>
      <c r="W85" s="123">
        <v>715633</v>
      </c>
      <c r="X85" s="124">
        <f t="shared" ca="1" si="274"/>
        <v>758563</v>
      </c>
      <c r="Y85" s="134">
        <f t="shared" ca="1" si="305"/>
        <v>0.94340615084047075</v>
      </c>
      <c r="Z85" s="81">
        <f t="shared" ca="1" si="275"/>
        <v>743251</v>
      </c>
      <c r="AA85" s="137">
        <f t="shared" ca="1" si="306"/>
        <v>0.97981446498181435</v>
      </c>
      <c r="AB85" s="140">
        <v>967650</v>
      </c>
      <c r="AC85" s="98">
        <f t="shared" ca="1" si="276"/>
        <v>1043768</v>
      </c>
      <c r="AD85" s="145">
        <f t="shared" ca="1" si="307"/>
        <v>0.92707383249917608</v>
      </c>
      <c r="AE85" s="81">
        <f t="shared" ca="1" si="277"/>
        <v>983576</v>
      </c>
      <c r="AF85" s="145">
        <f t="shared" ca="1" si="308"/>
        <v>0.94233201247786869</v>
      </c>
      <c r="AG85" s="123">
        <v>898851</v>
      </c>
      <c r="AH85" s="124">
        <f t="shared" ca="1" si="278"/>
        <v>942833</v>
      </c>
      <c r="AI85" s="134">
        <f t="shared" ca="1" si="309"/>
        <v>0.95335122975118602</v>
      </c>
      <c r="AJ85" s="81">
        <f t="shared" ca="1" si="279"/>
        <v>934750</v>
      </c>
      <c r="AK85" s="134">
        <f t="shared" ca="1" si="310"/>
        <v>0.99142690168884628</v>
      </c>
      <c r="AL85" s="96">
        <v>633814</v>
      </c>
      <c r="AM85" s="179">
        <f t="shared" ca="1" si="280"/>
        <v>2745164</v>
      </c>
      <c r="AN85" s="171">
        <f t="shared" ca="1" si="311"/>
        <v>0.23088383790549491</v>
      </c>
      <c r="AO85" s="86">
        <f t="shared" ca="1" si="281"/>
        <v>2661577</v>
      </c>
      <c r="AP85" s="167">
        <f t="shared" ca="1" si="312"/>
        <v>0.96955118164160681</v>
      </c>
      <c r="AQ85" s="123">
        <v>472138</v>
      </c>
      <c r="AR85" s="124">
        <f t="shared" ca="1" si="282"/>
        <v>530951</v>
      </c>
      <c r="AS85" s="134">
        <f t="shared" ca="1" si="313"/>
        <v>0.88923083297705441</v>
      </c>
      <c r="AT85" s="81">
        <f t="shared" ca="1" si="283"/>
        <v>503945</v>
      </c>
      <c r="AU85" s="137">
        <f t="shared" ca="1" si="314"/>
        <v>0.94913654932376057</v>
      </c>
      <c r="AV85" s="140">
        <v>793474</v>
      </c>
      <c r="AW85" s="98">
        <f t="shared" ca="1" si="284"/>
        <v>866477</v>
      </c>
      <c r="AX85" s="145">
        <f t="shared" ca="1" si="315"/>
        <v>0.91574733085817628</v>
      </c>
      <c r="AY85" s="81">
        <f t="shared" ca="1" si="285"/>
        <v>832797</v>
      </c>
      <c r="AZ85" s="145">
        <f t="shared" ca="1" si="316"/>
        <v>0.96112995497860876</v>
      </c>
      <c r="BA85" s="123">
        <v>921889</v>
      </c>
      <c r="BB85" s="124">
        <f t="shared" ca="1" si="286"/>
        <v>939647</v>
      </c>
      <c r="BC85" s="134">
        <f t="shared" ca="1" si="317"/>
        <v>0.98110141361596426</v>
      </c>
      <c r="BD85" s="81">
        <f t="shared" ca="1" si="287"/>
        <v>946991</v>
      </c>
      <c r="BE85" s="134">
        <f t="shared" ca="1" si="318"/>
        <v>1.0078157010026105</v>
      </c>
      <c r="BF85" s="96">
        <v>479103</v>
      </c>
      <c r="BG85" s="176">
        <f t="shared" ca="1" si="288"/>
        <v>2337075</v>
      </c>
      <c r="BH85" s="171">
        <f t="shared" ca="1" si="319"/>
        <v>0.20500112319887037</v>
      </c>
      <c r="BI85" s="86">
        <f t="shared" ca="1" si="320"/>
        <v>2283733</v>
      </c>
      <c r="BJ85" s="167">
        <f t="shared" ca="1" si="321"/>
        <v>0.97717574318325262</v>
      </c>
      <c r="BK85" s="123">
        <v>876894</v>
      </c>
      <c r="BL85" s="124">
        <f t="shared" ca="1" si="289"/>
        <v>975271</v>
      </c>
      <c r="BM85" s="134">
        <f t="shared" ca="1" si="322"/>
        <v>0.89912854991074276</v>
      </c>
      <c r="BN85" s="81">
        <f t="shared" ca="1" si="290"/>
        <v>906385</v>
      </c>
      <c r="BO85" s="137">
        <f t="shared" ca="1" si="323"/>
        <v>0.92936732456927351</v>
      </c>
      <c r="BP85" s="140">
        <v>727587</v>
      </c>
      <c r="BQ85" s="98">
        <f t="shared" ca="1" si="291"/>
        <v>739815</v>
      </c>
      <c r="BR85" s="145">
        <f t="shared" ca="1" si="324"/>
        <v>0.98347154356156608</v>
      </c>
      <c r="BS85" s="81">
        <f t="shared" ca="1" si="292"/>
        <v>768323</v>
      </c>
      <c r="BT85" s="145">
        <f t="shared" ca="1" si="325"/>
        <v>1.0385339578137778</v>
      </c>
      <c r="BU85" s="123">
        <v>322244</v>
      </c>
      <c r="BV85" s="124">
        <f t="shared" ca="1" si="293"/>
        <v>360093</v>
      </c>
      <c r="BW85" s="134">
        <f t="shared" ca="1" si="326"/>
        <v>0.89489104203636283</v>
      </c>
      <c r="BX85" s="81">
        <f t="shared" ca="1" si="294"/>
        <v>366417</v>
      </c>
      <c r="BY85" s="134">
        <f t="shared" ca="1" si="327"/>
        <v>1.0175621297831394</v>
      </c>
      <c r="BZ85" s="96">
        <v>276228</v>
      </c>
      <c r="CA85" s="185">
        <f t="shared" ca="1" si="295"/>
        <v>2075179</v>
      </c>
      <c r="CB85" s="171">
        <f t="shared" ca="1" si="328"/>
        <v>0.13311044493029275</v>
      </c>
      <c r="CC85" s="86">
        <f t="shared" ca="1" si="329"/>
        <v>2041125</v>
      </c>
      <c r="CD85" s="167">
        <f t="shared" ca="1" si="330"/>
        <v>0.98358984935757354</v>
      </c>
      <c r="CE85" s="219">
        <v>247694</v>
      </c>
      <c r="CF85" s="210">
        <f t="shared" ca="1" si="296"/>
        <v>10082758</v>
      </c>
      <c r="CG85" s="171">
        <f t="shared" ca="1" si="331"/>
        <v>2.4566095903521636E-2</v>
      </c>
      <c r="CH85" s="218">
        <f t="shared" ca="1" si="332"/>
        <v>9807862</v>
      </c>
      <c r="CI85" s="167">
        <f t="shared" ca="1" si="333"/>
        <v>0.97273603115338081</v>
      </c>
    </row>
    <row r="86" spans="1:87" s="105" customFormat="1" ht="13.15">
      <c r="A86" s="482" t="s">
        <v>68</v>
      </c>
      <c r="B86" s="285"/>
      <c r="C86" s="123">
        <v>386965</v>
      </c>
      <c r="D86" s="124">
        <f t="shared" ca="1" si="267"/>
        <v>478191</v>
      </c>
      <c r="E86" s="134">
        <f t="shared" ca="1" si="297"/>
        <v>0.80922685705084374</v>
      </c>
      <c r="F86" s="81">
        <f t="shared" ca="1" si="268"/>
        <v>423361</v>
      </c>
      <c r="G86" s="137">
        <f t="shared" ca="1" si="298"/>
        <v>0.88533870357242195</v>
      </c>
      <c r="H86" s="140">
        <v>227282</v>
      </c>
      <c r="I86" s="98">
        <f t="shared" ca="1" si="269"/>
        <v>316657</v>
      </c>
      <c r="J86" s="145">
        <f t="shared" ca="1" si="299"/>
        <v>0.71775454198075517</v>
      </c>
      <c r="K86" s="81">
        <f t="shared" ca="1" si="270"/>
        <v>247324</v>
      </c>
      <c r="L86" s="145">
        <f t="shared" ca="1" si="300"/>
        <v>0.78104700038211694</v>
      </c>
      <c r="M86" s="123">
        <v>725476</v>
      </c>
      <c r="N86" s="124">
        <f t="shared" ca="1" si="271"/>
        <v>762037</v>
      </c>
      <c r="O86" s="134">
        <f t="shared" ca="1" si="301"/>
        <v>0.95202201467907721</v>
      </c>
      <c r="P86" s="81">
        <f t="shared" ca="1" si="272"/>
        <v>751052</v>
      </c>
      <c r="Q86" s="134">
        <f t="shared" ca="1" si="302"/>
        <v>0.98558468945733602</v>
      </c>
      <c r="R86" s="96">
        <v>287966</v>
      </c>
      <c r="S86" s="179">
        <f t="shared" ca="1" si="273"/>
        <v>1556885</v>
      </c>
      <c r="T86" s="171">
        <f t="shared" ca="1" si="303"/>
        <v>0.18496292275922757</v>
      </c>
      <c r="U86" s="86">
        <f ca="1">F86+K86+P86</f>
        <v>1421737</v>
      </c>
      <c r="V86" s="167">
        <f t="shared" ca="1" si="304"/>
        <v>0.91319333155628069</v>
      </c>
      <c r="W86" s="123">
        <v>135014</v>
      </c>
      <c r="X86" s="124">
        <f t="shared" ca="1" si="274"/>
        <v>166513</v>
      </c>
      <c r="Y86" s="134">
        <f t="shared" ca="1" si="305"/>
        <v>0.81083158672295852</v>
      </c>
      <c r="Z86" s="81">
        <f t="shared" ca="1" si="275"/>
        <v>176227</v>
      </c>
      <c r="AA86" s="137">
        <f t="shared" ca="1" si="306"/>
        <v>1.0583377874400197</v>
      </c>
      <c r="AB86" s="140">
        <v>513846</v>
      </c>
      <c r="AC86" s="98">
        <f t="shared" ca="1" si="276"/>
        <v>606060</v>
      </c>
      <c r="AD86" s="145">
        <f t="shared" ca="1" si="307"/>
        <v>0.84784674784674785</v>
      </c>
      <c r="AE86" s="81">
        <f t="shared" ca="1" si="277"/>
        <v>521690</v>
      </c>
      <c r="AF86" s="145">
        <f t="shared" ca="1" si="308"/>
        <v>0.86078936078936075</v>
      </c>
      <c r="AG86" s="123">
        <v>807460</v>
      </c>
      <c r="AH86" s="124">
        <f t="shared" ca="1" si="278"/>
        <v>896597</v>
      </c>
      <c r="AI86" s="134">
        <f t="shared" ca="1" si="309"/>
        <v>0.90058298209786558</v>
      </c>
      <c r="AJ86" s="81">
        <f t="shared" ca="1" si="279"/>
        <v>833997</v>
      </c>
      <c r="AK86" s="134">
        <f t="shared" ca="1" si="310"/>
        <v>0.93018044896425034</v>
      </c>
      <c r="AL86" s="96">
        <v>836333</v>
      </c>
      <c r="AM86" s="179">
        <f t="shared" ca="1" si="280"/>
        <v>1669170</v>
      </c>
      <c r="AN86" s="171">
        <f t="shared" ca="1" si="311"/>
        <v>0.50104722706494842</v>
      </c>
      <c r="AO86" s="86">
        <f t="shared" ca="1" si="281"/>
        <v>1531914</v>
      </c>
      <c r="AP86" s="167">
        <f t="shared" ca="1" si="312"/>
        <v>0.91776990959578708</v>
      </c>
      <c r="AQ86" s="123">
        <v>331200</v>
      </c>
      <c r="AR86" s="124">
        <f t="shared" ca="1" si="282"/>
        <v>368529</v>
      </c>
      <c r="AS86" s="134">
        <f t="shared" ca="1" si="313"/>
        <v>0.89870810709604942</v>
      </c>
      <c r="AT86" s="81">
        <f t="shared" ca="1" si="283"/>
        <v>372059</v>
      </c>
      <c r="AU86" s="137">
        <f t="shared" ca="1" si="314"/>
        <v>1.0095786220351723</v>
      </c>
      <c r="AV86" s="140">
        <v>742158</v>
      </c>
      <c r="AW86" s="98">
        <f t="shared" ca="1" si="284"/>
        <v>835852</v>
      </c>
      <c r="AX86" s="145">
        <f t="shared" ca="1" si="315"/>
        <v>0.88790599292697747</v>
      </c>
      <c r="AY86" s="81">
        <f t="shared" ca="1" si="285"/>
        <v>763008</v>
      </c>
      <c r="AZ86" s="145">
        <f t="shared" ca="1" si="316"/>
        <v>0.91285060034551568</v>
      </c>
      <c r="BA86" s="123">
        <v>324259</v>
      </c>
      <c r="BB86" s="124">
        <f t="shared" ca="1" si="286"/>
        <v>346745</v>
      </c>
      <c r="BC86" s="134">
        <f t="shared" ca="1" si="317"/>
        <v>0.93515119179800721</v>
      </c>
      <c r="BD86" s="81">
        <f t="shared" ca="1" si="287"/>
        <v>367625</v>
      </c>
      <c r="BE86" s="134">
        <f t="shared" ca="1" si="318"/>
        <v>1.0602171624680961</v>
      </c>
      <c r="BF86" s="96">
        <v>443191</v>
      </c>
      <c r="BG86" s="176">
        <f t="shared" ca="1" si="288"/>
        <v>1551126</v>
      </c>
      <c r="BH86" s="171">
        <f t="shared" ca="1" si="319"/>
        <v>0.28572211412870391</v>
      </c>
      <c r="BI86" s="86">
        <f t="shared" ca="1" si="320"/>
        <v>1502692</v>
      </c>
      <c r="BJ86" s="167">
        <f t="shared" ca="1" si="321"/>
        <v>0.9687749415585839</v>
      </c>
      <c r="BK86" s="123">
        <v>584373</v>
      </c>
      <c r="BL86" s="124">
        <f t="shared" ca="1" si="289"/>
        <v>626348</v>
      </c>
      <c r="BM86" s="134">
        <f t="shared" ca="1" si="322"/>
        <v>0.93298453894640043</v>
      </c>
      <c r="BN86" s="81">
        <f t="shared" ca="1" si="290"/>
        <v>626456</v>
      </c>
      <c r="BO86" s="137">
        <f t="shared" ca="1" si="323"/>
        <v>1.0001724281070588</v>
      </c>
      <c r="BP86" s="140">
        <v>987799</v>
      </c>
      <c r="BQ86" s="98">
        <f t="shared" ca="1" si="291"/>
        <v>1001852</v>
      </c>
      <c r="BR86" s="145">
        <f t="shared" ca="1" si="324"/>
        <v>0.98597297804466133</v>
      </c>
      <c r="BS86" s="81">
        <f t="shared" ca="1" si="292"/>
        <v>1031934</v>
      </c>
      <c r="BT86" s="145">
        <f t="shared" ca="1" si="325"/>
        <v>1.0300263911236389</v>
      </c>
      <c r="BU86" s="123">
        <v>912599</v>
      </c>
      <c r="BV86" s="124">
        <f t="shared" ca="1" si="293"/>
        <v>957760</v>
      </c>
      <c r="BW86" s="134">
        <f t="shared" ca="1" si="326"/>
        <v>0.95284726862679581</v>
      </c>
      <c r="BX86" s="81">
        <f t="shared" ca="1" si="294"/>
        <v>945727</v>
      </c>
      <c r="BY86" s="134">
        <f t="shared" ca="1" si="327"/>
        <v>0.98743630972268626</v>
      </c>
      <c r="BZ86" s="96">
        <v>305329</v>
      </c>
      <c r="CA86" s="185">
        <f t="shared" ca="1" si="295"/>
        <v>2585960</v>
      </c>
      <c r="CB86" s="171">
        <f t="shared" ca="1" si="328"/>
        <v>0.11807181858961469</v>
      </c>
      <c r="CC86" s="86">
        <f t="shared" ca="1" si="329"/>
        <v>2604117</v>
      </c>
      <c r="CD86" s="167">
        <f t="shared" ca="1" si="330"/>
        <v>1.0070213769741219</v>
      </c>
      <c r="CE86" s="219">
        <v>822950</v>
      </c>
      <c r="CF86" s="210">
        <f t="shared" ca="1" si="296"/>
        <v>7363141</v>
      </c>
      <c r="CG86" s="171">
        <f t="shared" ca="1" si="331"/>
        <v>0.11176616066431432</v>
      </c>
      <c r="CH86" s="218">
        <f t="shared" ca="1" si="332"/>
        <v>7060460</v>
      </c>
      <c r="CI86" s="167">
        <f t="shared" ca="1" si="333"/>
        <v>0.95889240746578119</v>
      </c>
    </row>
    <row r="87" spans="1:87" s="105" customFormat="1" ht="13.15">
      <c r="A87" s="118" t="s">
        <v>69</v>
      </c>
      <c r="B87" s="285"/>
      <c r="C87" s="123">
        <v>337594</v>
      </c>
      <c r="D87" s="124">
        <f t="shared" ca="1" si="267"/>
        <v>429627</v>
      </c>
      <c r="E87" s="134">
        <f t="shared" ca="1" si="297"/>
        <v>0.78578394747071301</v>
      </c>
      <c r="F87" s="81">
        <f t="shared" ca="1" si="268"/>
        <v>378776</v>
      </c>
      <c r="G87" s="137">
        <f t="shared" ca="1" si="298"/>
        <v>0.88163918934331409</v>
      </c>
      <c r="H87" s="140">
        <v>726205</v>
      </c>
      <c r="I87" s="98">
        <f t="shared" ca="1" si="269"/>
        <v>805692</v>
      </c>
      <c r="J87" s="145">
        <f t="shared" ca="1" si="299"/>
        <v>0.90134319318052059</v>
      </c>
      <c r="K87" s="81">
        <f t="shared" ca="1" si="270"/>
        <v>763307</v>
      </c>
      <c r="L87" s="145">
        <f t="shared" ca="1" si="300"/>
        <v>0.94739304846020567</v>
      </c>
      <c r="M87" s="123">
        <v>580958</v>
      </c>
      <c r="N87" s="124">
        <f t="shared" ca="1" si="271"/>
        <v>645459</v>
      </c>
      <c r="O87" s="134">
        <f t="shared" ca="1" si="301"/>
        <v>0.90006956290019968</v>
      </c>
      <c r="P87" s="81">
        <f t="shared" ca="1" si="272"/>
        <v>624602</v>
      </c>
      <c r="Q87" s="134">
        <f t="shared" ca="1" si="302"/>
        <v>0.96768656103640971</v>
      </c>
      <c r="R87" s="96">
        <v>111216</v>
      </c>
      <c r="S87" s="179">
        <f t="shared" ca="1" si="273"/>
        <v>1880778</v>
      </c>
      <c r="T87" s="171">
        <f t="shared" ca="1" si="303"/>
        <v>5.9132975821707824E-2</v>
      </c>
      <c r="U87" s="86">
        <f t="shared" ca="1" si="273"/>
        <v>1766685</v>
      </c>
      <c r="V87" s="167">
        <f t="shared" ca="1" si="304"/>
        <v>0.9393373380590373</v>
      </c>
      <c r="W87" s="123">
        <v>703927</v>
      </c>
      <c r="X87" s="124">
        <f t="shared" ca="1" si="274"/>
        <v>795118</v>
      </c>
      <c r="Y87" s="134">
        <f t="shared" ca="1" si="305"/>
        <v>0.88531136259020671</v>
      </c>
      <c r="Z87" s="81">
        <f t="shared" ca="1" si="275"/>
        <v>746107</v>
      </c>
      <c r="AA87" s="137">
        <f t="shared" ca="1" si="306"/>
        <v>0.93836009246426322</v>
      </c>
      <c r="AB87" s="140">
        <v>862031</v>
      </c>
      <c r="AC87" s="98">
        <f t="shared" ca="1" si="276"/>
        <v>958805</v>
      </c>
      <c r="AD87" s="145">
        <f t="shared" ca="1" si="307"/>
        <v>0.89906811082545457</v>
      </c>
      <c r="AE87" s="81">
        <f t="shared" ca="1" si="277"/>
        <v>870420</v>
      </c>
      <c r="AF87" s="145">
        <f t="shared" ca="1" si="308"/>
        <v>0.90781754371326806</v>
      </c>
      <c r="AG87" s="123">
        <v>788094</v>
      </c>
      <c r="AH87" s="124">
        <f t="shared" ca="1" si="278"/>
        <v>873866</v>
      </c>
      <c r="AI87" s="134">
        <f t="shared" ca="1" si="309"/>
        <v>0.90184765169945968</v>
      </c>
      <c r="AJ87" s="81">
        <f t="shared" ca="1" si="279"/>
        <v>796812</v>
      </c>
      <c r="AK87" s="134">
        <f t="shared" ca="1" si="310"/>
        <v>0.91182400963076715</v>
      </c>
      <c r="AL87" s="96">
        <v>717615</v>
      </c>
      <c r="AM87" s="179">
        <f t="shared" ca="1" si="280"/>
        <v>2627789</v>
      </c>
      <c r="AN87" s="171">
        <f t="shared" ca="1" si="311"/>
        <v>0.27308699442763479</v>
      </c>
      <c r="AO87" s="86">
        <f t="shared" ca="1" si="281"/>
        <v>2413339</v>
      </c>
      <c r="AP87" s="167">
        <f t="shared" ca="1" si="312"/>
        <v>0.91839146902586166</v>
      </c>
      <c r="AQ87" s="123">
        <v>981480</v>
      </c>
      <c r="AR87" s="124">
        <f t="shared" ca="1" si="282"/>
        <v>1046727</v>
      </c>
      <c r="AS87" s="134">
        <f t="shared" ca="1" si="313"/>
        <v>0.93766569506662201</v>
      </c>
      <c r="AT87" s="81">
        <f t="shared" ca="1" si="283"/>
        <v>1025547</v>
      </c>
      <c r="AU87" s="137">
        <f t="shared" ca="1" si="314"/>
        <v>0.9797654975939285</v>
      </c>
      <c r="AV87" s="140">
        <v>838934</v>
      </c>
      <c r="AW87" s="98">
        <f t="shared" ca="1" si="284"/>
        <v>899146</v>
      </c>
      <c r="AX87" s="145">
        <f t="shared" ca="1" si="315"/>
        <v>0.93303423470715541</v>
      </c>
      <c r="AY87" s="81">
        <f t="shared" ca="1" si="285"/>
        <v>861770</v>
      </c>
      <c r="AZ87" s="145">
        <f t="shared" ca="1" si="316"/>
        <v>0.95843166738216046</v>
      </c>
      <c r="BA87" s="123">
        <v>693160</v>
      </c>
      <c r="BB87" s="124">
        <f t="shared" ca="1" si="286"/>
        <v>771203</v>
      </c>
      <c r="BC87" s="134">
        <f t="shared" ca="1" si="317"/>
        <v>0.89880355755877506</v>
      </c>
      <c r="BD87" s="81">
        <f t="shared" ca="1" si="287"/>
        <v>723861</v>
      </c>
      <c r="BE87" s="134">
        <f t="shared" ca="1" si="318"/>
        <v>0.93861279066601144</v>
      </c>
      <c r="BF87" s="96">
        <v>838466</v>
      </c>
      <c r="BG87" s="176">
        <f t="shared" ca="1" si="288"/>
        <v>2717076</v>
      </c>
      <c r="BH87" s="171">
        <f t="shared" ca="1" si="319"/>
        <v>0.30859129446507938</v>
      </c>
      <c r="BI87" s="86">
        <f t="shared" ca="1" si="320"/>
        <v>2611178</v>
      </c>
      <c r="BJ87" s="167">
        <f t="shared" ca="1" si="321"/>
        <v>0.96102501365438431</v>
      </c>
      <c r="BK87" s="123">
        <v>289147</v>
      </c>
      <c r="BL87" s="124">
        <f t="shared" ca="1" si="289"/>
        <v>361238</v>
      </c>
      <c r="BM87" s="134">
        <f t="shared" ca="1" si="322"/>
        <v>0.80043350920999456</v>
      </c>
      <c r="BN87" s="81">
        <f t="shared" ca="1" si="290"/>
        <v>310341</v>
      </c>
      <c r="BO87" s="137">
        <f t="shared" ca="1" si="323"/>
        <v>0.85910397023568952</v>
      </c>
      <c r="BP87" s="140">
        <v>841638</v>
      </c>
      <c r="BQ87" s="98">
        <f t="shared" ca="1" si="291"/>
        <v>891028</v>
      </c>
      <c r="BR87" s="145">
        <f t="shared" ca="1" si="324"/>
        <v>0.94456964315375047</v>
      </c>
      <c r="BS87" s="81">
        <f t="shared" ca="1" si="292"/>
        <v>869513</v>
      </c>
      <c r="BT87" s="145">
        <f t="shared" ca="1" si="325"/>
        <v>0.97585373299155587</v>
      </c>
      <c r="BU87" s="123">
        <v>450708</v>
      </c>
      <c r="BV87" s="124">
        <f t="shared" ca="1" si="293"/>
        <v>522888</v>
      </c>
      <c r="BW87" s="134">
        <f t="shared" ca="1" si="326"/>
        <v>0.86195896635608393</v>
      </c>
      <c r="BX87" s="81">
        <f t="shared" ca="1" si="294"/>
        <v>483990</v>
      </c>
      <c r="BY87" s="134">
        <f t="shared" ca="1" si="327"/>
        <v>0.9256093083031165</v>
      </c>
      <c r="BZ87" s="96">
        <v>959467</v>
      </c>
      <c r="CA87" s="185">
        <f t="shared" ca="1" si="295"/>
        <v>1775154</v>
      </c>
      <c r="CB87" s="171">
        <f t="shared" ca="1" si="328"/>
        <v>0.54049789483053301</v>
      </c>
      <c r="CC87" s="86">
        <f t="shared" ca="1" si="329"/>
        <v>1663844</v>
      </c>
      <c r="CD87" s="167">
        <f t="shared" ca="1" si="330"/>
        <v>0.93729558111577926</v>
      </c>
      <c r="CE87" s="219">
        <v>655696</v>
      </c>
      <c r="CF87" s="210">
        <f t="shared" ca="1" si="296"/>
        <v>9000797</v>
      </c>
      <c r="CG87" s="171">
        <f t="shared" ca="1" si="331"/>
        <v>7.2848659957557085E-2</v>
      </c>
      <c r="CH87" s="218">
        <f t="shared" ca="1" si="332"/>
        <v>8455046</v>
      </c>
      <c r="CI87" s="167">
        <f t="shared" ca="1" si="333"/>
        <v>0.9393663694448392</v>
      </c>
    </row>
    <row r="88" spans="1:87" s="384" customFormat="1" ht="13.15">
      <c r="A88" s="385" t="s">
        <v>76</v>
      </c>
      <c r="B88" s="368"/>
      <c r="C88" s="369">
        <v>634854</v>
      </c>
      <c r="D88" s="124">
        <f t="shared" ca="1" si="267"/>
        <v>709378</v>
      </c>
      <c r="E88" s="370">
        <f t="shared" ca="1" si="297"/>
        <v>0.89494458525637954</v>
      </c>
      <c r="F88" s="81">
        <f t="shared" ca="1" si="268"/>
        <v>679630</v>
      </c>
      <c r="G88" s="371">
        <f t="shared" ca="1" si="298"/>
        <v>0.95806467073971846</v>
      </c>
      <c r="H88" s="372">
        <v>302500</v>
      </c>
      <c r="I88" s="98">
        <f t="shared" ca="1" si="269"/>
        <v>372688</v>
      </c>
      <c r="J88" s="373">
        <f t="shared" ca="1" si="299"/>
        <v>0.81167088824968869</v>
      </c>
      <c r="K88" s="81">
        <f t="shared" ca="1" si="270"/>
        <v>341999</v>
      </c>
      <c r="L88" s="373">
        <f t="shared" ca="1" si="300"/>
        <v>0.91765498218348862</v>
      </c>
      <c r="M88" s="369">
        <v>131264</v>
      </c>
      <c r="N88" s="124">
        <f t="shared" ca="1" si="271"/>
        <v>148343</v>
      </c>
      <c r="O88" s="370">
        <f t="shared" ca="1" si="301"/>
        <v>0.88486817713002974</v>
      </c>
      <c r="P88" s="81">
        <f t="shared" ca="1" si="272"/>
        <v>168360</v>
      </c>
      <c r="Q88" s="370">
        <f t="shared" ca="1" si="302"/>
        <v>1.1349372737506993</v>
      </c>
      <c r="R88" s="374">
        <v>873970</v>
      </c>
      <c r="S88" s="375">
        <f t="shared" ca="1" si="273"/>
        <v>1230409</v>
      </c>
      <c r="T88" s="376">
        <f t="shared" ca="1" si="303"/>
        <v>0.71030852342595019</v>
      </c>
      <c r="U88" s="377">
        <f t="shared" ca="1" si="273"/>
        <v>1189989</v>
      </c>
      <c r="V88" s="378">
        <f t="shared" ca="1" si="304"/>
        <v>0.96714913496243937</v>
      </c>
      <c r="W88" s="369">
        <v>100748</v>
      </c>
      <c r="X88" s="124">
        <f t="shared" ca="1" si="274"/>
        <v>186469</v>
      </c>
      <c r="Y88" s="370">
        <f t="shared" ca="1" si="305"/>
        <v>0.54029356085998204</v>
      </c>
      <c r="Z88" s="81">
        <f t="shared" ca="1" si="275"/>
        <v>107140</v>
      </c>
      <c r="AA88" s="371">
        <f t="shared" ca="1" si="306"/>
        <v>0.57457271718087188</v>
      </c>
      <c r="AB88" s="372">
        <v>396650</v>
      </c>
      <c r="AC88" s="98">
        <f t="shared" ca="1" si="276"/>
        <v>490877</v>
      </c>
      <c r="AD88" s="373">
        <f t="shared" ca="1" si="307"/>
        <v>0.8080435628477195</v>
      </c>
      <c r="AE88" s="81">
        <f t="shared" ca="1" si="277"/>
        <v>437477</v>
      </c>
      <c r="AF88" s="373">
        <f t="shared" ca="1" si="308"/>
        <v>0.89121511091373196</v>
      </c>
      <c r="AG88" s="369">
        <v>783687</v>
      </c>
      <c r="AH88" s="124">
        <f t="shared" ca="1" si="278"/>
        <v>797123</v>
      </c>
      <c r="AI88" s="370">
        <f t="shared" ca="1" si="309"/>
        <v>0.9831443829873181</v>
      </c>
      <c r="AJ88" s="81">
        <f t="shared" ca="1" si="279"/>
        <v>808231</v>
      </c>
      <c r="AK88" s="370">
        <f t="shared" ca="1" si="310"/>
        <v>1.0139351141542774</v>
      </c>
      <c r="AL88" s="374">
        <v>798112</v>
      </c>
      <c r="AM88" s="375">
        <f t="shared" ca="1" si="280"/>
        <v>1474469</v>
      </c>
      <c r="AN88" s="376">
        <f t="shared" ca="1" si="311"/>
        <v>0.54128774494411214</v>
      </c>
      <c r="AO88" s="377">
        <f t="shared" ca="1" si="281"/>
        <v>1352848</v>
      </c>
      <c r="AP88" s="378">
        <f t="shared" ca="1" si="312"/>
        <v>0.91751539028626572</v>
      </c>
      <c r="AQ88" s="369">
        <v>885545</v>
      </c>
      <c r="AR88" s="124">
        <f t="shared" ca="1" si="282"/>
        <v>909321</v>
      </c>
      <c r="AS88" s="370">
        <f t="shared" ca="1" si="313"/>
        <v>0.97385301780119449</v>
      </c>
      <c r="AT88" s="81">
        <f t="shared" ca="1" si="283"/>
        <v>933417</v>
      </c>
      <c r="AU88" s="371">
        <f t="shared" ca="1" si="314"/>
        <v>1.0264988931301489</v>
      </c>
      <c r="AV88" s="372">
        <v>834154</v>
      </c>
      <c r="AW88" s="98">
        <f t="shared" ca="1" si="284"/>
        <v>914109</v>
      </c>
      <c r="AX88" s="373">
        <f t="shared" ca="1" si="315"/>
        <v>0.91253231288610004</v>
      </c>
      <c r="AY88" s="81">
        <f t="shared" ca="1" si="285"/>
        <v>846851</v>
      </c>
      <c r="AZ88" s="373">
        <f t="shared" ca="1" si="316"/>
        <v>0.92642234131815793</v>
      </c>
      <c r="BA88" s="369">
        <v>366455</v>
      </c>
      <c r="BB88" s="124">
        <f t="shared" ca="1" si="286"/>
        <v>397909</v>
      </c>
      <c r="BC88" s="370">
        <f t="shared" ca="1" si="317"/>
        <v>0.92095177540593454</v>
      </c>
      <c r="BD88" s="81">
        <f t="shared" ca="1" si="287"/>
        <v>376269</v>
      </c>
      <c r="BE88" s="370">
        <f t="shared" ca="1" si="318"/>
        <v>0.94561570610365686</v>
      </c>
      <c r="BF88" s="374">
        <v>422022</v>
      </c>
      <c r="BG88" s="379">
        <f t="shared" ca="1" si="288"/>
        <v>2221339</v>
      </c>
      <c r="BH88" s="376">
        <f t="shared" ca="1" si="319"/>
        <v>0.18998540970108568</v>
      </c>
      <c r="BI88" s="377">
        <f t="shared" ca="1" si="320"/>
        <v>2156537</v>
      </c>
      <c r="BJ88" s="378">
        <f t="shared" ca="1" si="321"/>
        <v>0.97082750539201801</v>
      </c>
      <c r="BK88" s="369">
        <v>971330</v>
      </c>
      <c r="BL88" s="124">
        <f t="shared" ca="1" si="289"/>
        <v>1036741</v>
      </c>
      <c r="BM88" s="370">
        <f t="shared" ca="1" si="322"/>
        <v>0.93690709637218939</v>
      </c>
      <c r="BN88" s="81">
        <f t="shared" ca="1" si="290"/>
        <v>1016979</v>
      </c>
      <c r="BO88" s="371">
        <f t="shared" ca="1" si="323"/>
        <v>0.9809383442923546</v>
      </c>
      <c r="BP88" s="372">
        <v>681394</v>
      </c>
      <c r="BQ88" s="98">
        <f t="shared" ca="1" si="291"/>
        <v>704624</v>
      </c>
      <c r="BR88" s="373">
        <f t="shared" ca="1" si="324"/>
        <v>0.96703206249006557</v>
      </c>
      <c r="BS88" s="81">
        <f t="shared" ca="1" si="292"/>
        <v>701440</v>
      </c>
      <c r="BT88" s="373">
        <f t="shared" ca="1" si="325"/>
        <v>0.99548127795817343</v>
      </c>
      <c r="BU88" s="369">
        <v>902363</v>
      </c>
      <c r="BV88" s="124">
        <f t="shared" ca="1" si="293"/>
        <v>947759</v>
      </c>
      <c r="BW88" s="370">
        <f t="shared" ca="1" si="326"/>
        <v>0.95210174738514752</v>
      </c>
      <c r="BX88" s="81">
        <f t="shared" ca="1" si="294"/>
        <v>936078</v>
      </c>
      <c r="BY88" s="370">
        <f t="shared" ca="1" si="327"/>
        <v>0.98767513682275765</v>
      </c>
      <c r="BZ88" s="374">
        <v>250223</v>
      </c>
      <c r="CA88" s="380">
        <f t="shared" ca="1" si="295"/>
        <v>2689124</v>
      </c>
      <c r="CB88" s="376">
        <f t="shared" ca="1" si="328"/>
        <v>9.3050004388046073E-2</v>
      </c>
      <c r="CC88" s="377">
        <f t="shared" ca="1" si="329"/>
        <v>2654497</v>
      </c>
      <c r="CD88" s="378">
        <f t="shared" ca="1" si="330"/>
        <v>0.98712331599435355</v>
      </c>
      <c r="CE88" s="381">
        <v>590100</v>
      </c>
      <c r="CF88" s="382">
        <f t="shared" ca="1" si="296"/>
        <v>7615341</v>
      </c>
      <c r="CG88" s="376">
        <f t="shared" ca="1" si="331"/>
        <v>7.7488322584635408E-2</v>
      </c>
      <c r="CH88" s="383">
        <f t="shared" ca="1" si="332"/>
        <v>7353871</v>
      </c>
      <c r="CI88" s="378">
        <f t="shared" ca="1" si="333"/>
        <v>0.96566535891170202</v>
      </c>
    </row>
    <row r="89" spans="1:87" s="105" customFormat="1" ht="13.15">
      <c r="A89" s="30" t="s">
        <v>84</v>
      </c>
      <c r="B89" s="285"/>
      <c r="C89" s="123">
        <v>637307</v>
      </c>
      <c r="D89" s="124">
        <f t="shared" ca="1" si="267"/>
        <v>735720</v>
      </c>
      <c r="E89" s="134">
        <f t="shared" ca="1" si="297"/>
        <v>0.86623579622682545</v>
      </c>
      <c r="F89" s="81">
        <f t="shared" ca="1" si="268"/>
        <v>666973</v>
      </c>
      <c r="G89" s="137">
        <f t="shared" ca="1" si="298"/>
        <v>0.90655820148969712</v>
      </c>
      <c r="H89" s="140">
        <v>695831</v>
      </c>
      <c r="I89" s="98">
        <f t="shared" ca="1" si="269"/>
        <v>721903</v>
      </c>
      <c r="J89" s="145">
        <f t="shared" ca="1" si="299"/>
        <v>0.96388434457260874</v>
      </c>
      <c r="K89" s="81">
        <f t="shared" ca="1" si="270"/>
        <v>734439</v>
      </c>
      <c r="L89" s="145">
        <f t="shared" ca="1" si="300"/>
        <v>1.017365213886076</v>
      </c>
      <c r="M89" s="123">
        <v>602717</v>
      </c>
      <c r="N89" s="124">
        <f t="shared" ca="1" si="271"/>
        <v>629115</v>
      </c>
      <c r="O89" s="134">
        <f t="shared" ca="1" si="301"/>
        <v>0.95803946814175467</v>
      </c>
      <c r="P89" s="81">
        <f t="shared" ca="1" si="272"/>
        <v>634289</v>
      </c>
      <c r="Q89" s="134">
        <f t="shared" ca="1" si="302"/>
        <v>1.00822425152794</v>
      </c>
      <c r="R89" s="96"/>
      <c r="S89" s="179">
        <f t="shared" ca="1" si="273"/>
        <v>2086738</v>
      </c>
      <c r="T89" s="171">
        <f t="shared" ca="1" si="303"/>
        <v>0</v>
      </c>
      <c r="U89" s="86">
        <f t="shared" ca="1" si="273"/>
        <v>2035701</v>
      </c>
      <c r="V89" s="167">
        <f t="shared" ca="1" si="304"/>
        <v>0.97554220989889484</v>
      </c>
      <c r="W89" s="123">
        <v>636570</v>
      </c>
      <c r="X89" s="124">
        <f t="shared" ca="1" si="274"/>
        <v>705163</v>
      </c>
      <c r="Y89" s="134">
        <f t="shared" ca="1" si="305"/>
        <v>0.90272745450342684</v>
      </c>
      <c r="Z89" s="81">
        <f t="shared" ca="1" si="275"/>
        <v>647304</v>
      </c>
      <c r="AA89" s="137">
        <f t="shared" ca="1" si="306"/>
        <v>0.91794946700266467</v>
      </c>
      <c r="AB89" s="140">
        <v>856458</v>
      </c>
      <c r="AC89" s="98">
        <f t="shared" ca="1" si="276"/>
        <v>912641</v>
      </c>
      <c r="AD89" s="145">
        <f t="shared" ca="1" si="307"/>
        <v>0.93843910146486953</v>
      </c>
      <c r="AE89" s="81">
        <f t="shared" ca="1" si="277"/>
        <v>895729</v>
      </c>
      <c r="AF89" s="145">
        <f t="shared" ca="1" si="308"/>
        <v>0.98146916476467749</v>
      </c>
      <c r="AG89" s="123">
        <v>545529</v>
      </c>
      <c r="AH89" s="124">
        <f t="shared" ca="1" si="278"/>
        <v>642893</v>
      </c>
      <c r="AI89" s="134">
        <f t="shared" ca="1" si="309"/>
        <v>0.84855333624724483</v>
      </c>
      <c r="AJ89" s="81">
        <f t="shared" ca="1" si="279"/>
        <v>558133</v>
      </c>
      <c r="AK89" s="134">
        <f t="shared" ca="1" si="310"/>
        <v>0.86815846493895565</v>
      </c>
      <c r="AL89" s="96"/>
      <c r="AM89" s="179">
        <f t="shared" ca="1" si="280"/>
        <v>2260697</v>
      </c>
      <c r="AN89" s="171">
        <f t="shared" ca="1" si="311"/>
        <v>0</v>
      </c>
      <c r="AO89" s="86">
        <f t="shared" ca="1" si="281"/>
        <v>2101166</v>
      </c>
      <c r="AP89" s="167">
        <f t="shared" ca="1" si="312"/>
        <v>0.9294328253631513</v>
      </c>
      <c r="AQ89" s="123"/>
      <c r="AR89" s="124">
        <f t="shared" ca="1" si="282"/>
        <v>67292</v>
      </c>
      <c r="AS89" s="134">
        <f t="shared" ca="1" si="313"/>
        <v>0</v>
      </c>
      <c r="AT89" s="81">
        <f t="shared" ca="1" si="283"/>
        <v>40189</v>
      </c>
      <c r="AU89" s="137">
        <f t="shared" ca="1" si="314"/>
        <v>0.59723295488319561</v>
      </c>
      <c r="AV89" s="140">
        <v>829759</v>
      </c>
      <c r="AW89" s="98">
        <f t="shared" ca="1" si="284"/>
        <v>906294</v>
      </c>
      <c r="AX89" s="145">
        <f t="shared" ca="1" si="315"/>
        <v>0.91555168631812633</v>
      </c>
      <c r="AY89" s="81">
        <f t="shared" ca="1" si="285"/>
        <v>865233</v>
      </c>
      <c r="AZ89" s="145">
        <f t="shared" ca="1" si="316"/>
        <v>0.95469351005302916</v>
      </c>
      <c r="BA89" s="123">
        <v>220300</v>
      </c>
      <c r="BB89" s="124">
        <f t="shared" ca="1" si="286"/>
        <v>277082</v>
      </c>
      <c r="BC89" s="134">
        <f t="shared" ca="1" si="317"/>
        <v>0.7950714950808786</v>
      </c>
      <c r="BD89" s="81">
        <f t="shared" ca="1" si="287"/>
        <v>262330</v>
      </c>
      <c r="BE89" s="134">
        <f t="shared" ca="1" si="318"/>
        <v>0.946759443052959</v>
      </c>
      <c r="BF89" s="96"/>
      <c r="BG89" s="176">
        <f t="shared" ca="1" si="288"/>
        <v>1250668</v>
      </c>
      <c r="BH89" s="171">
        <f t="shared" ca="1" si="319"/>
        <v>0</v>
      </c>
      <c r="BI89" s="86">
        <f t="shared" ca="1" si="320"/>
        <v>1167752</v>
      </c>
      <c r="BJ89" s="167">
        <f t="shared" ca="1" si="321"/>
        <v>0.93370262931489412</v>
      </c>
      <c r="BK89" s="123">
        <v>500717</v>
      </c>
      <c r="BL89" s="124">
        <f t="shared" ca="1" si="289"/>
        <v>557543</v>
      </c>
      <c r="BM89" s="134">
        <f t="shared" ca="1" si="322"/>
        <v>0.89807781641954076</v>
      </c>
      <c r="BN89" s="81">
        <f t="shared" ca="1" si="290"/>
        <v>550381</v>
      </c>
      <c r="BO89" s="137">
        <f t="shared" ca="1" si="323"/>
        <v>0.98715435401395046</v>
      </c>
      <c r="BP89" s="140">
        <v>767691</v>
      </c>
      <c r="BQ89" s="98">
        <f t="shared" ca="1" si="291"/>
        <v>813704</v>
      </c>
      <c r="BR89" s="145">
        <f t="shared" ca="1" si="324"/>
        <v>0.94345241021305049</v>
      </c>
      <c r="BS89" s="81">
        <f t="shared" ca="1" si="292"/>
        <v>782798</v>
      </c>
      <c r="BT89" s="145">
        <f t="shared" ca="1" si="325"/>
        <v>0.96201812944264742</v>
      </c>
      <c r="BU89" s="123">
        <v>207573</v>
      </c>
      <c r="BV89" s="124">
        <f t="shared" ca="1" si="293"/>
        <v>258891</v>
      </c>
      <c r="BW89" s="134">
        <f t="shared" ca="1" si="326"/>
        <v>0.80177758207121919</v>
      </c>
      <c r="BX89" s="81">
        <f t="shared" ca="1" si="294"/>
        <v>245897</v>
      </c>
      <c r="BY89" s="134">
        <f t="shared" ca="1" si="327"/>
        <v>0.949808992973877</v>
      </c>
      <c r="BZ89" s="96"/>
      <c r="CA89" s="185">
        <f t="shared" ca="1" si="295"/>
        <v>1630138</v>
      </c>
      <c r="CB89" s="171">
        <f t="shared" ca="1" si="328"/>
        <v>0</v>
      </c>
      <c r="CC89" s="86">
        <f t="shared" ca="1" si="329"/>
        <v>1579076</v>
      </c>
      <c r="CD89" s="167">
        <f t="shared" ca="1" si="330"/>
        <v>0.96867627157946135</v>
      </c>
      <c r="CE89" s="219"/>
      <c r="CF89" s="210">
        <f t="shared" ca="1" si="296"/>
        <v>7228241</v>
      </c>
      <c r="CG89" s="171">
        <f t="shared" ca="1" si="331"/>
        <v>0</v>
      </c>
      <c r="CH89" s="218">
        <f t="shared" ca="1" si="332"/>
        <v>6883695</v>
      </c>
      <c r="CI89" s="167">
        <f t="shared" ca="1" si="333"/>
        <v>0.95233335468477043</v>
      </c>
    </row>
    <row r="90" spans="1:87" s="105" customFormat="1" ht="13.15">
      <c r="A90" s="30" t="s">
        <v>85</v>
      </c>
      <c r="B90" s="285"/>
      <c r="C90" s="123">
        <v>506554</v>
      </c>
      <c r="D90" s="124">
        <f t="shared" ca="1" si="267"/>
        <v>579516</v>
      </c>
      <c r="E90" s="134">
        <f t="shared" ca="1" si="297"/>
        <v>0.87409838554932051</v>
      </c>
      <c r="F90" s="81">
        <f t="shared" ca="1" si="268"/>
        <v>544384</v>
      </c>
      <c r="G90" s="137">
        <f t="shared" ca="1" si="298"/>
        <v>0.93937699735641467</v>
      </c>
      <c r="H90" s="140">
        <v>256762</v>
      </c>
      <c r="I90" s="98">
        <f t="shared" ca="1" si="269"/>
        <v>295075</v>
      </c>
      <c r="J90" s="145">
        <f t="shared" ca="1" si="299"/>
        <v>0.8701584342963653</v>
      </c>
      <c r="K90" s="81">
        <f t="shared" ca="1" si="270"/>
        <v>271623</v>
      </c>
      <c r="L90" s="145">
        <f t="shared" ca="1" si="300"/>
        <v>0.92052190121155641</v>
      </c>
      <c r="M90" s="123">
        <v>641627</v>
      </c>
      <c r="N90" s="124">
        <f t="shared" ca="1" si="271"/>
        <v>656615</v>
      </c>
      <c r="O90" s="134">
        <f t="shared" ca="1" si="301"/>
        <v>0.97717383855074891</v>
      </c>
      <c r="P90" s="81">
        <f t="shared" ca="1" si="272"/>
        <v>667179</v>
      </c>
      <c r="Q90" s="134">
        <f t="shared" ca="1" si="302"/>
        <v>1.0160885754970568</v>
      </c>
      <c r="R90" s="96"/>
      <c r="S90" s="179">
        <f t="shared" ca="1" si="273"/>
        <v>1531206</v>
      </c>
      <c r="T90" s="171">
        <f t="shared" ca="1" si="303"/>
        <v>0</v>
      </c>
      <c r="U90" s="86">
        <f t="shared" ca="1" si="273"/>
        <v>1483186</v>
      </c>
      <c r="V90" s="167">
        <f t="shared" ca="1" si="304"/>
        <v>0.96863909885410582</v>
      </c>
      <c r="W90" s="123">
        <v>925706</v>
      </c>
      <c r="X90" s="124">
        <f t="shared" ca="1" si="274"/>
        <v>964227</v>
      </c>
      <c r="Y90" s="134">
        <f t="shared" ca="1" si="305"/>
        <v>0.96004986377689072</v>
      </c>
      <c r="Z90" s="81">
        <f t="shared" ca="1" si="275"/>
        <v>969972</v>
      </c>
      <c r="AA90" s="137">
        <f t="shared" ca="1" si="306"/>
        <v>1.0059581405623366</v>
      </c>
      <c r="AB90" s="140">
        <v>158569</v>
      </c>
      <c r="AC90" s="98">
        <f t="shared" ca="1" si="276"/>
        <v>246846</v>
      </c>
      <c r="AD90" s="145">
        <f t="shared" ca="1" si="307"/>
        <v>0.64238026947975657</v>
      </c>
      <c r="AE90" s="81">
        <f t="shared" ca="1" si="277"/>
        <v>199918</v>
      </c>
      <c r="AF90" s="145">
        <f t="shared" ca="1" si="308"/>
        <v>0.80988956677442614</v>
      </c>
      <c r="AG90" s="123">
        <v>620003</v>
      </c>
      <c r="AH90" s="124">
        <f t="shared" ca="1" si="278"/>
        <v>678810</v>
      </c>
      <c r="AI90" s="134">
        <f t="shared" ca="1" si="309"/>
        <v>0.91336751079094303</v>
      </c>
      <c r="AJ90" s="81">
        <f t="shared" ca="1" si="279"/>
        <v>656828</v>
      </c>
      <c r="AK90" s="134">
        <f t="shared" ca="1" si="310"/>
        <v>0.96761685891486571</v>
      </c>
      <c r="AL90" s="96"/>
      <c r="AM90" s="179">
        <f t="shared" ca="1" si="280"/>
        <v>1889883</v>
      </c>
      <c r="AN90" s="171">
        <f t="shared" ca="1" si="311"/>
        <v>0</v>
      </c>
      <c r="AO90" s="86">
        <f t="shared" ca="1" si="281"/>
        <v>1826718</v>
      </c>
      <c r="AP90" s="167">
        <f t="shared" ca="1" si="312"/>
        <v>0.96657729605483511</v>
      </c>
      <c r="AQ90" s="123"/>
      <c r="AR90" s="124">
        <f t="shared" ca="1" si="282"/>
        <v>90189</v>
      </c>
      <c r="AS90" s="134">
        <f t="shared" ca="1" si="313"/>
        <v>0</v>
      </c>
      <c r="AT90" s="81">
        <f t="shared" ca="1" si="283"/>
        <v>17187</v>
      </c>
      <c r="AU90" s="137">
        <f t="shared" ca="1" si="314"/>
        <v>0.19056647706483051</v>
      </c>
      <c r="AV90" s="140">
        <v>657873</v>
      </c>
      <c r="AW90" s="98">
        <f t="shared" ca="1" si="284"/>
        <v>694539</v>
      </c>
      <c r="AX90" s="145">
        <f t="shared" ca="1" si="315"/>
        <v>0.94720814813854948</v>
      </c>
      <c r="AY90" s="81">
        <f t="shared" ca="1" si="285"/>
        <v>699773</v>
      </c>
      <c r="AZ90" s="145">
        <f t="shared" ca="1" si="316"/>
        <v>1.0075359339072392</v>
      </c>
      <c r="BA90" s="123">
        <v>119377</v>
      </c>
      <c r="BB90" s="124">
        <f t="shared" ca="1" si="286"/>
        <v>146133</v>
      </c>
      <c r="BC90" s="134">
        <f t="shared" ca="1" si="317"/>
        <v>0.81690651666632452</v>
      </c>
      <c r="BD90" s="81">
        <f t="shared" ca="1" si="287"/>
        <v>146907</v>
      </c>
      <c r="BE90" s="134">
        <f t="shared" ca="1" si="318"/>
        <v>1.0052965449282503</v>
      </c>
      <c r="BF90" s="96"/>
      <c r="BG90" s="176">
        <f t="shared" ca="1" si="288"/>
        <v>930861</v>
      </c>
      <c r="BH90" s="171">
        <f t="shared" ca="1" si="319"/>
        <v>0</v>
      </c>
      <c r="BI90" s="86">
        <f t="shared" ca="1" si="320"/>
        <v>863867</v>
      </c>
      <c r="BJ90" s="167">
        <f t="shared" ca="1" si="321"/>
        <v>0.9280300710847269</v>
      </c>
      <c r="BK90" s="123">
        <v>301725</v>
      </c>
      <c r="BL90" s="124">
        <f t="shared" ca="1" si="289"/>
        <v>368747</v>
      </c>
      <c r="BM90" s="134">
        <f t="shared" ca="1" si="322"/>
        <v>0.81824394503548503</v>
      </c>
      <c r="BN90" s="81">
        <f t="shared" ca="1" si="290"/>
        <v>319655</v>
      </c>
      <c r="BO90" s="137">
        <f t="shared" ca="1" si="323"/>
        <v>0.86686806943514116</v>
      </c>
      <c r="BP90" s="140">
        <v>424290</v>
      </c>
      <c r="BQ90" s="98">
        <f t="shared" ca="1" si="291"/>
        <v>520144</v>
      </c>
      <c r="BR90" s="145">
        <f t="shared" ca="1" si="324"/>
        <v>0.81571641699221753</v>
      </c>
      <c r="BS90" s="81">
        <f t="shared" ca="1" si="292"/>
        <v>450972</v>
      </c>
      <c r="BT90" s="145">
        <f t="shared" ca="1" si="325"/>
        <v>0.86701375003845094</v>
      </c>
      <c r="BU90" s="123">
        <v>102901</v>
      </c>
      <c r="BV90" s="124">
        <f t="shared" ca="1" si="293"/>
        <v>144770</v>
      </c>
      <c r="BW90" s="134">
        <f t="shared" ca="1" si="326"/>
        <v>0.71078952821717212</v>
      </c>
      <c r="BX90" s="81">
        <f t="shared" ca="1" si="294"/>
        <v>132501</v>
      </c>
      <c r="BY90" s="134">
        <f t="shared" ca="1" si="327"/>
        <v>0.91525177868342888</v>
      </c>
      <c r="BZ90" s="96"/>
      <c r="CA90" s="185">
        <f t="shared" ca="1" si="295"/>
        <v>1033661</v>
      </c>
      <c r="CB90" s="171">
        <f t="shared" ca="1" si="328"/>
        <v>0</v>
      </c>
      <c r="CC90" s="86">
        <f t="shared" ca="1" si="329"/>
        <v>903128</v>
      </c>
      <c r="CD90" s="167">
        <f t="shared" ca="1" si="330"/>
        <v>0.87371778561830238</v>
      </c>
      <c r="CE90" s="219"/>
      <c r="CF90" s="210">
        <f t="shared" ca="1" si="296"/>
        <v>5385611</v>
      </c>
      <c r="CG90" s="171">
        <f t="shared" ca="1" si="331"/>
        <v>0</v>
      </c>
      <c r="CH90" s="218">
        <f t="shared" ca="1" si="332"/>
        <v>5076899</v>
      </c>
      <c r="CI90" s="167">
        <f t="shared" ca="1" si="333"/>
        <v>0.94267837019792178</v>
      </c>
    </row>
    <row r="91" spans="1:87" s="105" customFormat="1" ht="13.15">
      <c r="A91" s="30" t="s">
        <v>70</v>
      </c>
      <c r="B91" s="285"/>
      <c r="C91" s="123">
        <v>977009</v>
      </c>
      <c r="D91" s="124">
        <f t="shared" ca="1" si="267"/>
        <v>1063781</v>
      </c>
      <c r="E91" s="134">
        <f t="shared" ca="1" si="297"/>
        <v>0.91843057922636329</v>
      </c>
      <c r="F91" s="81">
        <f t="shared" ca="1" si="268"/>
        <v>1014218</v>
      </c>
      <c r="G91" s="137">
        <f t="shared" ca="1" si="298"/>
        <v>0.95340864332038266</v>
      </c>
      <c r="H91" s="140">
        <v>284113</v>
      </c>
      <c r="I91" s="98">
        <f t="shared" ca="1" si="269"/>
        <v>342535</v>
      </c>
      <c r="J91" s="145">
        <f t="shared" ca="1" si="299"/>
        <v>0.82944224677770151</v>
      </c>
      <c r="K91" s="81">
        <f t="shared" ca="1" si="270"/>
        <v>301311</v>
      </c>
      <c r="L91" s="145">
        <f t="shared" ca="1" si="300"/>
        <v>0.87965025471849589</v>
      </c>
      <c r="M91" s="123">
        <v>173593</v>
      </c>
      <c r="N91" s="124">
        <f t="shared" ca="1" si="271"/>
        <v>188284</v>
      </c>
      <c r="O91" s="134">
        <f t="shared" ca="1" si="301"/>
        <v>0.92197425166238234</v>
      </c>
      <c r="P91" s="81">
        <f t="shared" ca="1" si="272"/>
        <v>178769</v>
      </c>
      <c r="Q91" s="134">
        <f t="shared" ca="1" si="302"/>
        <v>0.94946463852478169</v>
      </c>
      <c r="R91" s="96"/>
      <c r="S91" s="179">
        <f t="shared" ca="1" si="273"/>
        <v>1594600</v>
      </c>
      <c r="T91" s="171">
        <f t="shared" ca="1" si="303"/>
        <v>0</v>
      </c>
      <c r="U91" s="86">
        <f t="shared" ca="1" si="273"/>
        <v>1494298</v>
      </c>
      <c r="V91" s="167">
        <f t="shared" ca="1" si="304"/>
        <v>0.93709895898657969</v>
      </c>
      <c r="W91" s="123">
        <v>690748</v>
      </c>
      <c r="X91" s="124">
        <f t="shared" ca="1" si="274"/>
        <v>746852</v>
      </c>
      <c r="Y91" s="134">
        <f t="shared" ca="1" si="305"/>
        <v>0.92487936030163942</v>
      </c>
      <c r="Z91" s="81">
        <f t="shared" ca="1" si="275"/>
        <v>723091</v>
      </c>
      <c r="AA91" s="137">
        <f t="shared" ca="1" si="306"/>
        <v>0.96818512904832554</v>
      </c>
      <c r="AB91" s="140">
        <v>698817</v>
      </c>
      <c r="AC91" s="98">
        <f t="shared" ca="1" si="276"/>
        <v>744656</v>
      </c>
      <c r="AD91" s="145">
        <f t="shared" ca="1" si="307"/>
        <v>0.93844271717410455</v>
      </c>
      <c r="AE91" s="81">
        <f t="shared" ca="1" si="277"/>
        <v>739548</v>
      </c>
      <c r="AF91" s="145">
        <f t="shared" ca="1" si="308"/>
        <v>0.99314045680152985</v>
      </c>
      <c r="AG91" s="123">
        <v>430330</v>
      </c>
      <c r="AH91" s="124">
        <f t="shared" ca="1" si="278"/>
        <v>494016</v>
      </c>
      <c r="AI91" s="134">
        <f t="shared" ca="1" si="309"/>
        <v>0.87108514703977202</v>
      </c>
      <c r="AJ91" s="81">
        <f t="shared" ca="1" si="279"/>
        <v>462541</v>
      </c>
      <c r="AK91" s="134">
        <f t="shared" ca="1" si="310"/>
        <v>0.93628748866433475</v>
      </c>
      <c r="AL91" s="96"/>
      <c r="AM91" s="179">
        <f t="shared" ca="1" si="280"/>
        <v>1985524</v>
      </c>
      <c r="AN91" s="171">
        <f t="shared" ca="1" si="311"/>
        <v>0</v>
      </c>
      <c r="AO91" s="86">
        <f t="shared" ca="1" si="281"/>
        <v>1925180</v>
      </c>
      <c r="AP91" s="167">
        <f t="shared" ca="1" si="312"/>
        <v>0.96960802286952963</v>
      </c>
      <c r="AQ91" s="123"/>
      <c r="AR91" s="124">
        <f t="shared" ca="1" si="282"/>
        <v>11002</v>
      </c>
      <c r="AS91" s="134">
        <f t="shared" ca="1" si="313"/>
        <v>0</v>
      </c>
      <c r="AT91" s="81">
        <f t="shared" ca="1" si="283"/>
        <v>11381</v>
      </c>
      <c r="AU91" s="137">
        <f t="shared" ca="1" si="314"/>
        <v>1.0344482821305216</v>
      </c>
      <c r="AV91" s="140">
        <v>340017</v>
      </c>
      <c r="AW91" s="98">
        <f t="shared" ca="1" si="284"/>
        <v>400227</v>
      </c>
      <c r="AX91" s="145">
        <f t="shared" ca="1" si="315"/>
        <v>0.84956037448747834</v>
      </c>
      <c r="AY91" s="81">
        <f t="shared" ca="1" si="285"/>
        <v>363549</v>
      </c>
      <c r="AZ91" s="145">
        <f t="shared" ca="1" si="316"/>
        <v>0.9083570073983015</v>
      </c>
      <c r="BA91" s="123">
        <v>136571</v>
      </c>
      <c r="BB91" s="124">
        <f t="shared" ca="1" si="286"/>
        <v>200051</v>
      </c>
      <c r="BC91" s="134">
        <f t="shared" ca="1" si="317"/>
        <v>0.68268091636632655</v>
      </c>
      <c r="BD91" s="81">
        <f t="shared" ca="1" si="287"/>
        <v>147311</v>
      </c>
      <c r="BE91" s="134">
        <f t="shared" ca="1" si="318"/>
        <v>0.73636722635727891</v>
      </c>
      <c r="BF91" s="96"/>
      <c r="BG91" s="176">
        <f t="shared" ca="1" si="288"/>
        <v>611280</v>
      </c>
      <c r="BH91" s="171">
        <f t="shared" ca="1" si="319"/>
        <v>0</v>
      </c>
      <c r="BI91" s="86">
        <f t="shared" ca="1" si="320"/>
        <v>522241</v>
      </c>
      <c r="BJ91" s="167">
        <f t="shared" ca="1" si="321"/>
        <v>0.85434007328883654</v>
      </c>
      <c r="BK91" s="123">
        <v>746287</v>
      </c>
      <c r="BL91" s="124">
        <f t="shared" ca="1" si="289"/>
        <v>777405</v>
      </c>
      <c r="BM91" s="134">
        <f t="shared" ca="1" si="322"/>
        <v>0.95997195798843593</v>
      </c>
      <c r="BN91" s="81">
        <f t="shared" ca="1" si="290"/>
        <v>758614</v>
      </c>
      <c r="BO91" s="137">
        <f t="shared" ca="1" si="323"/>
        <v>0.97582855783021716</v>
      </c>
      <c r="BP91" s="140">
        <v>314192</v>
      </c>
      <c r="BQ91" s="98">
        <f t="shared" ca="1" si="291"/>
        <v>360316</v>
      </c>
      <c r="BR91" s="145">
        <f t="shared" ca="1" si="324"/>
        <v>0.87199014198647851</v>
      </c>
      <c r="BS91" s="81">
        <f t="shared" ca="1" si="292"/>
        <v>336734</v>
      </c>
      <c r="BT91" s="145">
        <f t="shared" ca="1" si="325"/>
        <v>0.93455189333806987</v>
      </c>
      <c r="BU91" s="123">
        <v>551260</v>
      </c>
      <c r="BV91" s="124">
        <f t="shared" ca="1" si="293"/>
        <v>572729</v>
      </c>
      <c r="BW91" s="134">
        <f t="shared" ca="1" si="326"/>
        <v>0.96251455749577897</v>
      </c>
      <c r="BX91" s="81">
        <f t="shared" ca="1" si="294"/>
        <v>590203</v>
      </c>
      <c r="BY91" s="134">
        <f t="shared" ca="1" si="327"/>
        <v>1.0305100667156719</v>
      </c>
      <c r="BZ91" s="96"/>
      <c r="CA91" s="185">
        <f t="shared" ca="1" si="295"/>
        <v>1710450</v>
      </c>
      <c r="CB91" s="171">
        <f t="shared" ca="1" si="328"/>
        <v>0</v>
      </c>
      <c r="CC91" s="86">
        <f t="shared" ca="1" si="329"/>
        <v>1685551</v>
      </c>
      <c r="CD91" s="167">
        <f t="shared" ca="1" si="330"/>
        <v>0.98544301207284635</v>
      </c>
      <c r="CE91" s="219"/>
      <c r="CF91" s="210">
        <f t="shared" ca="1" si="296"/>
        <v>5901854</v>
      </c>
      <c r="CG91" s="171">
        <f t="shared" ca="1" si="331"/>
        <v>0</v>
      </c>
      <c r="CH91" s="218">
        <f t="shared" ca="1" si="332"/>
        <v>5627270</v>
      </c>
      <c r="CI91" s="167">
        <f t="shared" ca="1" si="333"/>
        <v>0.95347495888580092</v>
      </c>
    </row>
    <row r="92" spans="1:87" s="105" customFormat="1" ht="13.15">
      <c r="A92" s="30" t="s">
        <v>71</v>
      </c>
      <c r="B92" s="285"/>
      <c r="C92" s="123">
        <v>784251</v>
      </c>
      <c r="D92" s="124">
        <f t="shared" ca="1" si="267"/>
        <v>834040</v>
      </c>
      <c r="E92" s="134">
        <f t="shared" ca="1" si="297"/>
        <v>0.94030382235863985</v>
      </c>
      <c r="F92" s="81">
        <f t="shared" ca="1" si="268"/>
        <v>798165</v>
      </c>
      <c r="G92" s="137">
        <f t="shared" ca="1" si="298"/>
        <v>0.95698647546880244</v>
      </c>
      <c r="H92" s="140">
        <v>742737</v>
      </c>
      <c r="I92" s="98">
        <f t="shared" ca="1" si="269"/>
        <v>774654</v>
      </c>
      <c r="J92" s="145">
        <f t="shared" ca="1" si="299"/>
        <v>0.95879837966369497</v>
      </c>
      <c r="K92" s="81">
        <f t="shared" ca="1" si="270"/>
        <v>764607</v>
      </c>
      <c r="L92" s="145">
        <f t="shared" ca="1" si="300"/>
        <v>0.98703033870605461</v>
      </c>
      <c r="M92" s="123">
        <v>872838</v>
      </c>
      <c r="N92" s="124">
        <f t="shared" ca="1" si="271"/>
        <v>913321</v>
      </c>
      <c r="O92" s="134">
        <f t="shared" ca="1" si="301"/>
        <v>0.95567494889529525</v>
      </c>
      <c r="P92" s="81">
        <f t="shared" ca="1" si="272"/>
        <v>922704</v>
      </c>
      <c r="Q92" s="134">
        <f t="shared" ca="1" si="302"/>
        <v>1.0102734963939295</v>
      </c>
      <c r="R92" s="96"/>
      <c r="S92" s="179">
        <f t="shared" ca="1" si="273"/>
        <v>2522015</v>
      </c>
      <c r="T92" s="171">
        <f t="shared" ca="1" si="303"/>
        <v>0</v>
      </c>
      <c r="U92" s="86">
        <f t="shared" ca="1" si="273"/>
        <v>2485476</v>
      </c>
      <c r="V92" s="167">
        <f t="shared" ca="1" si="304"/>
        <v>0.98551198149099029</v>
      </c>
      <c r="W92" s="123">
        <v>266705</v>
      </c>
      <c r="X92" s="124">
        <f t="shared" ca="1" si="274"/>
        <v>317267</v>
      </c>
      <c r="Y92" s="134">
        <f t="shared" ca="1" si="305"/>
        <v>0.84063265325419911</v>
      </c>
      <c r="Z92" s="81">
        <f t="shared" ca="1" si="275"/>
        <v>294194</v>
      </c>
      <c r="AA92" s="137">
        <f t="shared" ca="1" si="306"/>
        <v>0.92727576457683902</v>
      </c>
      <c r="AB92" s="140">
        <v>413076</v>
      </c>
      <c r="AC92" s="98">
        <f t="shared" ca="1" si="276"/>
        <v>462681</v>
      </c>
      <c r="AD92" s="145">
        <f t="shared" ca="1" si="307"/>
        <v>0.89278790354477489</v>
      </c>
      <c r="AE92" s="81">
        <f t="shared" ca="1" si="277"/>
        <v>438267</v>
      </c>
      <c r="AF92" s="145">
        <f t="shared" ca="1" si="308"/>
        <v>0.94723362316585291</v>
      </c>
      <c r="AG92" s="123">
        <v>636914</v>
      </c>
      <c r="AH92" s="124">
        <f t="shared" ca="1" si="278"/>
        <v>690334</v>
      </c>
      <c r="AI92" s="134">
        <f t="shared" ca="1" si="309"/>
        <v>0.92261716792161474</v>
      </c>
      <c r="AJ92" s="81">
        <f t="shared" ca="1" si="279"/>
        <v>645480</v>
      </c>
      <c r="AK92" s="134">
        <f t="shared" ca="1" si="310"/>
        <v>0.93502565424852313</v>
      </c>
      <c r="AL92" s="96"/>
      <c r="AM92" s="179">
        <f t="shared" ca="1" si="280"/>
        <v>1470282</v>
      </c>
      <c r="AN92" s="171">
        <f t="shared" ca="1" si="311"/>
        <v>0</v>
      </c>
      <c r="AO92" s="86">
        <f t="shared" ca="1" si="281"/>
        <v>1377941</v>
      </c>
      <c r="AP92" s="167">
        <f t="shared" ca="1" si="312"/>
        <v>0.93719504149544097</v>
      </c>
      <c r="AQ92" s="123"/>
      <c r="AR92" s="124">
        <f t="shared" ca="1" si="282"/>
        <v>50055</v>
      </c>
      <c r="AS92" s="134">
        <f t="shared" ca="1" si="313"/>
        <v>0</v>
      </c>
      <c r="AT92" s="81">
        <f t="shared" ca="1" si="283"/>
        <v>29626</v>
      </c>
      <c r="AU92" s="137">
        <f t="shared" ca="1" si="314"/>
        <v>0.59186894416142244</v>
      </c>
      <c r="AV92" s="140">
        <v>824241</v>
      </c>
      <c r="AW92" s="98">
        <f t="shared" ca="1" si="284"/>
        <v>886002</v>
      </c>
      <c r="AX92" s="145">
        <f t="shared" ca="1" si="315"/>
        <v>0.93029248240974627</v>
      </c>
      <c r="AY92" s="81">
        <f t="shared" ca="1" si="285"/>
        <v>868245</v>
      </c>
      <c r="AZ92" s="145">
        <f t="shared" ca="1" si="316"/>
        <v>0.97995828451854505</v>
      </c>
      <c r="BA92" s="123">
        <v>954191</v>
      </c>
      <c r="BB92" s="124">
        <f t="shared" ca="1" si="286"/>
        <v>967161</v>
      </c>
      <c r="BC92" s="134">
        <f t="shared" ca="1" si="317"/>
        <v>0.98658961641339959</v>
      </c>
      <c r="BD92" s="81">
        <f t="shared" ca="1" si="287"/>
        <v>1002226</v>
      </c>
      <c r="BE92" s="134">
        <f t="shared" ca="1" si="318"/>
        <v>1.0362555975685537</v>
      </c>
      <c r="BF92" s="96"/>
      <c r="BG92" s="176">
        <f t="shared" ca="1" si="288"/>
        <v>1903218</v>
      </c>
      <c r="BH92" s="171">
        <f t="shared" ca="1" si="319"/>
        <v>0</v>
      </c>
      <c r="BI92" s="86">
        <f t="shared" ca="1" si="320"/>
        <v>1900097</v>
      </c>
      <c r="BJ92" s="167">
        <f t="shared" ca="1" si="321"/>
        <v>0.99836014581619137</v>
      </c>
      <c r="BK92" s="123">
        <v>363266</v>
      </c>
      <c r="BL92" s="124">
        <f t="shared" ca="1" si="289"/>
        <v>436053</v>
      </c>
      <c r="BM92" s="134">
        <f t="shared" ca="1" si="322"/>
        <v>0.83307763047152528</v>
      </c>
      <c r="BN92" s="81">
        <f t="shared" ca="1" si="290"/>
        <v>410237</v>
      </c>
      <c r="BO92" s="137">
        <f t="shared" ca="1" si="323"/>
        <v>0.94079618761939487</v>
      </c>
      <c r="BP92" s="140">
        <v>707215</v>
      </c>
      <c r="BQ92" s="98">
        <f t="shared" ca="1" si="291"/>
        <v>756777</v>
      </c>
      <c r="BR92" s="145">
        <f t="shared" ca="1" si="324"/>
        <v>0.93450910902419071</v>
      </c>
      <c r="BS92" s="81">
        <f t="shared" ca="1" si="292"/>
        <v>720301</v>
      </c>
      <c r="BT92" s="145">
        <f t="shared" ca="1" si="325"/>
        <v>0.95180086075554626</v>
      </c>
      <c r="BU92" s="123">
        <v>348121</v>
      </c>
      <c r="BV92" s="124">
        <f t="shared" ca="1" si="293"/>
        <v>416658</v>
      </c>
      <c r="BW92" s="134">
        <f t="shared" ca="1" si="326"/>
        <v>0.83550777856179403</v>
      </c>
      <c r="BX92" s="81">
        <f t="shared" ca="1" si="294"/>
        <v>395136</v>
      </c>
      <c r="BY92" s="134">
        <f t="shared" ca="1" si="327"/>
        <v>0.94834612559941245</v>
      </c>
      <c r="BZ92" s="96"/>
      <c r="CA92" s="185">
        <f t="shared" ca="1" si="295"/>
        <v>1609488</v>
      </c>
      <c r="CB92" s="171">
        <f t="shared" ca="1" si="328"/>
        <v>0</v>
      </c>
      <c r="CC92" s="86">
        <f t="shared" ca="1" si="329"/>
        <v>1525674</v>
      </c>
      <c r="CD92" s="167">
        <f t="shared" ca="1" si="330"/>
        <v>0.94792505442724639</v>
      </c>
      <c r="CE92" s="219"/>
      <c r="CF92" s="210">
        <f t="shared" ca="1" si="296"/>
        <v>7505003</v>
      </c>
      <c r="CG92" s="171">
        <f t="shared" ca="1" si="331"/>
        <v>0</v>
      </c>
      <c r="CH92" s="218">
        <f t="shared" ca="1" si="332"/>
        <v>7289188</v>
      </c>
      <c r="CI92" s="167">
        <f t="shared" ca="1" si="333"/>
        <v>0.97124384893650273</v>
      </c>
    </row>
    <row r="93" spans="1:87" s="105" customFormat="1" ht="13.15">
      <c r="A93" s="30" t="s">
        <v>13</v>
      </c>
      <c r="B93" s="285"/>
      <c r="C93" s="123">
        <v>104790</v>
      </c>
      <c r="D93" s="124">
        <f t="shared" ca="1" si="267"/>
        <v>178444</v>
      </c>
      <c r="E93" s="134">
        <f t="shared" ca="1" si="297"/>
        <v>0.58724305664522203</v>
      </c>
      <c r="F93" s="81">
        <f t="shared" ca="1" si="268"/>
        <v>126273</v>
      </c>
      <c r="G93" s="137">
        <f t="shared" ca="1" si="298"/>
        <v>0.7076337674564569</v>
      </c>
      <c r="H93" s="140">
        <v>108493</v>
      </c>
      <c r="I93" s="98">
        <f t="shared" ca="1" si="269"/>
        <v>192361</v>
      </c>
      <c r="J93" s="145">
        <f t="shared" ca="1" si="299"/>
        <v>0.56400725718830735</v>
      </c>
      <c r="K93" s="81">
        <f t="shared" ca="1" si="270"/>
        <v>129920</v>
      </c>
      <c r="L93" s="145">
        <f t="shared" ca="1" si="300"/>
        <v>0.67539678001258052</v>
      </c>
      <c r="M93" s="123">
        <v>693650</v>
      </c>
      <c r="N93" s="124">
        <f t="shared" ca="1" si="271"/>
        <v>779904</v>
      </c>
      <c r="O93" s="134">
        <f t="shared" ca="1" si="301"/>
        <v>0.88940433694403409</v>
      </c>
      <c r="P93" s="81">
        <f t="shared" ca="1" si="272"/>
        <v>723110</v>
      </c>
      <c r="Q93" s="134">
        <f t="shared" ca="1" si="302"/>
        <v>0.92717821680617096</v>
      </c>
      <c r="R93" s="96">
        <v>482450</v>
      </c>
      <c r="S93" s="179">
        <f t="shared" ca="1" si="273"/>
        <v>1150709</v>
      </c>
      <c r="T93" s="171">
        <f t="shared" ca="1" si="303"/>
        <v>0.41926325421978972</v>
      </c>
      <c r="U93" s="86">
        <f t="shared" ca="1" si="273"/>
        <v>979303</v>
      </c>
      <c r="V93" s="167">
        <f t="shared" ca="1" si="304"/>
        <v>0.85104313949052279</v>
      </c>
      <c r="W93" s="123">
        <v>945081</v>
      </c>
      <c r="X93" s="124">
        <f t="shared" ca="1" si="274"/>
        <v>997953</v>
      </c>
      <c r="Y93" s="134">
        <f t="shared" ca="1" si="305"/>
        <v>0.94701954901683749</v>
      </c>
      <c r="Z93" s="81">
        <f t="shared" ca="1" si="275"/>
        <v>986195</v>
      </c>
      <c r="AA93" s="137">
        <f t="shared" ca="1" si="306"/>
        <v>0.98821788200446314</v>
      </c>
      <c r="AB93" s="140">
        <v>114390</v>
      </c>
      <c r="AC93" s="98">
        <f t="shared" ca="1" si="276"/>
        <v>131306</v>
      </c>
      <c r="AD93" s="145">
        <f t="shared" ca="1" si="307"/>
        <v>0.87117115744901219</v>
      </c>
      <c r="AE93" s="81">
        <f t="shared" ca="1" si="277"/>
        <v>147791</v>
      </c>
      <c r="AF93" s="145">
        <f t="shared" ca="1" si="308"/>
        <v>1.1255464335216974</v>
      </c>
      <c r="AG93" s="123">
        <v>991576</v>
      </c>
      <c r="AH93" s="124">
        <f t="shared" ca="1" si="278"/>
        <v>1084931</v>
      </c>
      <c r="AI93" s="134">
        <f t="shared" ca="1" si="309"/>
        <v>0.91395305323564358</v>
      </c>
      <c r="AJ93" s="81">
        <f t="shared" ca="1" si="279"/>
        <v>1033515</v>
      </c>
      <c r="AK93" s="134">
        <f t="shared" ca="1" si="310"/>
        <v>0.95260896775923998</v>
      </c>
      <c r="AL93" s="96">
        <v>515311</v>
      </c>
      <c r="AM93" s="179">
        <f t="shared" ca="1" si="280"/>
        <v>2214190</v>
      </c>
      <c r="AN93" s="171">
        <f t="shared" ca="1" si="311"/>
        <v>0.23273115676613118</v>
      </c>
      <c r="AO93" s="86">
        <f t="shared" ca="1" si="281"/>
        <v>2167501</v>
      </c>
      <c r="AP93" s="167">
        <f t="shared" ca="1" si="312"/>
        <v>0.978913733690424</v>
      </c>
      <c r="AQ93" s="123">
        <v>722182</v>
      </c>
      <c r="AR93" s="124">
        <f t="shared" ca="1" si="282"/>
        <v>762990</v>
      </c>
      <c r="AS93" s="134">
        <f t="shared" ca="1" si="313"/>
        <v>0.94651568172584177</v>
      </c>
      <c r="AT93" s="81">
        <f t="shared" ca="1" si="283"/>
        <v>770724</v>
      </c>
      <c r="AU93" s="137">
        <f t="shared" ca="1" si="314"/>
        <v>1.0101364369126724</v>
      </c>
      <c r="AV93" s="140">
        <v>239045</v>
      </c>
      <c r="AW93" s="98">
        <f t="shared" ca="1" si="284"/>
        <v>262479</v>
      </c>
      <c r="AX93" s="145">
        <f t="shared" ca="1" si="315"/>
        <v>0.91072047668575395</v>
      </c>
      <c r="AY93" s="81">
        <f t="shared" ca="1" si="285"/>
        <v>247087</v>
      </c>
      <c r="AZ93" s="145">
        <f t="shared" ca="1" si="316"/>
        <v>0.94135911825326979</v>
      </c>
      <c r="BA93" s="123">
        <v>793039</v>
      </c>
      <c r="BB93" s="124">
        <f t="shared" ca="1" si="286"/>
        <v>817946</v>
      </c>
      <c r="BC93" s="134">
        <f t="shared" ca="1" si="317"/>
        <v>0.96954933455264769</v>
      </c>
      <c r="BD93" s="81">
        <f t="shared" ca="1" si="287"/>
        <v>821527</v>
      </c>
      <c r="BE93" s="134">
        <f t="shared" ca="1" si="318"/>
        <v>1.0043780396260877</v>
      </c>
      <c r="BF93" s="96">
        <v>544088</v>
      </c>
      <c r="BG93" s="176">
        <f t="shared" ca="1" si="288"/>
        <v>1843415</v>
      </c>
      <c r="BH93" s="171">
        <f t="shared" ca="1" si="319"/>
        <v>0.29515220392586583</v>
      </c>
      <c r="BI93" s="86">
        <f t="shared" ca="1" si="320"/>
        <v>1839338</v>
      </c>
      <c r="BJ93" s="167">
        <f t="shared" ca="1" si="321"/>
        <v>0.99778834391604709</v>
      </c>
      <c r="BK93" s="123">
        <v>589350</v>
      </c>
      <c r="BL93" s="124">
        <f t="shared" ca="1" si="289"/>
        <v>624950</v>
      </c>
      <c r="BM93" s="134">
        <f t="shared" ca="1" si="322"/>
        <v>0.94303544283542684</v>
      </c>
      <c r="BN93" s="81">
        <f t="shared" ca="1" si="290"/>
        <v>626526</v>
      </c>
      <c r="BO93" s="137">
        <f t="shared" ca="1" si="323"/>
        <v>1.0025218017441395</v>
      </c>
      <c r="BP93" s="140">
        <v>601583</v>
      </c>
      <c r="BQ93" s="98">
        <f t="shared" ca="1" si="291"/>
        <v>613451</v>
      </c>
      <c r="BR93" s="145">
        <f t="shared" ca="1" si="324"/>
        <v>0.98065371154338321</v>
      </c>
      <c r="BS93" s="81">
        <f t="shared" ca="1" si="292"/>
        <v>616546</v>
      </c>
      <c r="BT93" s="145">
        <f t="shared" ca="1" si="325"/>
        <v>1.0050452277362005</v>
      </c>
      <c r="BU93" s="123">
        <v>688673</v>
      </c>
      <c r="BV93" s="124">
        <f t="shared" ca="1" si="293"/>
        <v>753138</v>
      </c>
      <c r="BW93" s="134">
        <f t="shared" ca="1" si="326"/>
        <v>0.91440479699603527</v>
      </c>
      <c r="BX93" s="81">
        <f t="shared" ca="1" si="294"/>
        <v>700648</v>
      </c>
      <c r="BY93" s="134">
        <f t="shared" ca="1" si="327"/>
        <v>0.93030493747493814</v>
      </c>
      <c r="BZ93" s="96">
        <v>774796</v>
      </c>
      <c r="CA93" s="185">
        <f t="shared" ca="1" si="295"/>
        <v>1991539</v>
      </c>
      <c r="CB93" s="171">
        <f t="shared" ca="1" si="328"/>
        <v>0.38904385000745656</v>
      </c>
      <c r="CC93" s="86">
        <f t="shared" ca="1" si="329"/>
        <v>1943720</v>
      </c>
      <c r="CD93" s="167">
        <f t="shared" ca="1" si="330"/>
        <v>0.97598892113084401</v>
      </c>
      <c r="CE93" s="219">
        <v>192014</v>
      </c>
      <c r="CF93" s="210">
        <f t="shared" ca="1" si="296"/>
        <v>7199853</v>
      </c>
      <c r="CG93" s="171">
        <f t="shared" ca="1" si="331"/>
        <v>2.6669155606371408E-2</v>
      </c>
      <c r="CH93" s="218">
        <f t="shared" ca="1" si="332"/>
        <v>6929862</v>
      </c>
      <c r="CI93" s="167">
        <f t="shared" ca="1" si="333"/>
        <v>0.96250048438488955</v>
      </c>
    </row>
    <row r="94" spans="1:87" s="105" customFormat="1" ht="13.15">
      <c r="A94" s="30" t="s">
        <v>72</v>
      </c>
      <c r="B94" s="285"/>
      <c r="C94" s="123">
        <v>940269</v>
      </c>
      <c r="D94" s="124">
        <f t="shared" ca="1" si="267"/>
        <v>990351</v>
      </c>
      <c r="E94" s="134">
        <f t="shared" ca="1" si="297"/>
        <v>0.94943005055783247</v>
      </c>
      <c r="F94" s="81">
        <f t="shared" ca="1" si="268"/>
        <v>982913</v>
      </c>
      <c r="G94" s="137">
        <f t="shared" ca="1" si="298"/>
        <v>0.9924895314893406</v>
      </c>
      <c r="H94" s="140">
        <v>506754</v>
      </c>
      <c r="I94" s="98">
        <f t="shared" ca="1" si="269"/>
        <v>541438</v>
      </c>
      <c r="J94" s="145">
        <f t="shared" ca="1" si="299"/>
        <v>0.93594095722871318</v>
      </c>
      <c r="K94" s="81">
        <f t="shared" ca="1" si="270"/>
        <v>553809</v>
      </c>
      <c r="L94" s="145">
        <f t="shared" ca="1" si="300"/>
        <v>1.0228484147769459</v>
      </c>
      <c r="M94" s="123">
        <v>135411</v>
      </c>
      <c r="N94" s="124">
        <f t="shared" ca="1" si="271"/>
        <v>234874</v>
      </c>
      <c r="O94" s="134">
        <f t="shared" ca="1" si="301"/>
        <v>0.57652613741836045</v>
      </c>
      <c r="P94" s="81">
        <f t="shared" ca="1" si="272"/>
        <v>171151</v>
      </c>
      <c r="Q94" s="134">
        <f t="shared" ca="1" si="302"/>
        <v>0.72869283104983951</v>
      </c>
      <c r="R94" s="96"/>
      <c r="S94" s="179">
        <f t="shared" ca="1" si="273"/>
        <v>1766663</v>
      </c>
      <c r="T94" s="171">
        <f t="shared" ca="1" si="303"/>
        <v>0</v>
      </c>
      <c r="U94" s="86">
        <f t="shared" ca="1" si="273"/>
        <v>1707873</v>
      </c>
      <c r="V94" s="167">
        <f t="shared" ca="1" si="304"/>
        <v>0.96672257244307491</v>
      </c>
      <c r="W94" s="123">
        <v>628449</v>
      </c>
      <c r="X94" s="124">
        <f t="shared" ca="1" si="274"/>
        <v>721656</v>
      </c>
      <c r="Y94" s="134">
        <f t="shared" ca="1" si="305"/>
        <v>0.87084289467557952</v>
      </c>
      <c r="Z94" s="81">
        <f t="shared" ca="1" si="275"/>
        <v>670657</v>
      </c>
      <c r="AA94" s="137">
        <f t="shared" ca="1" si="306"/>
        <v>0.92933059518662631</v>
      </c>
      <c r="AB94" s="140">
        <v>818843</v>
      </c>
      <c r="AC94" s="98">
        <f t="shared" ca="1" si="276"/>
        <v>853373</v>
      </c>
      <c r="AD94" s="145">
        <f t="shared" ca="1" si="307"/>
        <v>0.95953703714553895</v>
      </c>
      <c r="AE94" s="81">
        <f t="shared" ca="1" si="277"/>
        <v>860283</v>
      </c>
      <c r="AF94" s="145">
        <f t="shared" ca="1" si="308"/>
        <v>1.0080972798530068</v>
      </c>
      <c r="AG94" s="123">
        <v>350601</v>
      </c>
      <c r="AH94" s="124">
        <f t="shared" ca="1" si="278"/>
        <v>442562</v>
      </c>
      <c r="AI94" s="134">
        <f t="shared" ca="1" si="309"/>
        <v>0.79220764548244083</v>
      </c>
      <c r="AJ94" s="81">
        <f t="shared" ca="1" si="279"/>
        <v>371376</v>
      </c>
      <c r="AK94" s="134">
        <f t="shared" ca="1" si="310"/>
        <v>0.8391502207600291</v>
      </c>
      <c r="AL94" s="96"/>
      <c r="AM94" s="179">
        <f t="shared" ca="1" si="280"/>
        <v>2017591</v>
      </c>
      <c r="AN94" s="171">
        <f t="shared" ca="1" si="311"/>
        <v>0</v>
      </c>
      <c r="AO94" s="86">
        <f t="shared" ca="1" si="281"/>
        <v>1902316</v>
      </c>
      <c r="AP94" s="167">
        <f t="shared" ca="1" si="312"/>
        <v>0.94286503062315408</v>
      </c>
      <c r="AQ94" s="123"/>
      <c r="AR94" s="124">
        <f t="shared" ca="1" si="282"/>
        <v>12823</v>
      </c>
      <c r="AS94" s="134">
        <f t="shared" ca="1" si="313"/>
        <v>0</v>
      </c>
      <c r="AT94" s="81">
        <f t="shared" ca="1" si="283"/>
        <v>26855</v>
      </c>
      <c r="AU94" s="137">
        <f t="shared" ca="1" si="314"/>
        <v>2.0942837089604618</v>
      </c>
      <c r="AV94" s="140">
        <v>997740</v>
      </c>
      <c r="AW94" s="98">
        <f t="shared" ca="1" si="284"/>
        <v>1077253</v>
      </c>
      <c r="AX94" s="145">
        <f t="shared" ca="1" si="315"/>
        <v>0.92618911249260849</v>
      </c>
      <c r="AY94" s="81">
        <f t="shared" ca="1" si="285"/>
        <v>1036249</v>
      </c>
      <c r="AZ94" s="145">
        <f t="shared" ca="1" si="316"/>
        <v>0.96193651816240011</v>
      </c>
      <c r="BA94" s="123">
        <v>958816</v>
      </c>
      <c r="BB94" s="124">
        <f t="shared" ca="1" si="286"/>
        <v>988288</v>
      </c>
      <c r="BC94" s="134">
        <f t="shared" ca="1" si="317"/>
        <v>0.97017873332469884</v>
      </c>
      <c r="BD94" s="81">
        <f t="shared" ca="1" si="287"/>
        <v>998537</v>
      </c>
      <c r="BE94" s="134">
        <f t="shared" ca="1" si="318"/>
        <v>1.0103704588136251</v>
      </c>
      <c r="BF94" s="96"/>
      <c r="BG94" s="176">
        <f t="shared" ca="1" si="288"/>
        <v>2078364</v>
      </c>
      <c r="BH94" s="171">
        <f t="shared" ca="1" si="319"/>
        <v>0</v>
      </c>
      <c r="BI94" s="86">
        <f t="shared" ca="1" si="320"/>
        <v>2061641</v>
      </c>
      <c r="BJ94" s="167">
        <f t="shared" ca="1" si="321"/>
        <v>0.99195376748250064</v>
      </c>
      <c r="BK94" s="123">
        <v>890724</v>
      </c>
      <c r="BL94" s="124">
        <f t="shared" ca="1" si="289"/>
        <v>937482</v>
      </c>
      <c r="BM94" s="134">
        <f t="shared" ca="1" si="322"/>
        <v>0.9501238423777737</v>
      </c>
      <c r="BN94" s="81">
        <f t="shared" ca="1" si="290"/>
        <v>915946</v>
      </c>
      <c r="BO94" s="137">
        <f t="shared" ca="1" si="323"/>
        <v>0.97702782560091816</v>
      </c>
      <c r="BP94" s="140">
        <v>414937</v>
      </c>
      <c r="BQ94" s="98">
        <f t="shared" ca="1" si="291"/>
        <v>487115</v>
      </c>
      <c r="BR94" s="145">
        <f t="shared" ca="1" si="324"/>
        <v>0.85182554427599233</v>
      </c>
      <c r="BS94" s="81">
        <f t="shared" ca="1" si="292"/>
        <v>460373</v>
      </c>
      <c r="BT94" s="145">
        <f t="shared" ca="1" si="325"/>
        <v>0.94510125945618595</v>
      </c>
      <c r="BU94" s="123">
        <v>798452</v>
      </c>
      <c r="BV94" s="124">
        <f t="shared" ca="1" si="293"/>
        <v>846356</v>
      </c>
      <c r="BW94" s="134">
        <f t="shared" ca="1" si="326"/>
        <v>0.94339970414341012</v>
      </c>
      <c r="BX94" s="81">
        <f t="shared" ca="1" si="294"/>
        <v>810657</v>
      </c>
      <c r="BY94" s="134">
        <f t="shared" ca="1" si="327"/>
        <v>0.95782034982914988</v>
      </c>
      <c r="BZ94" s="96"/>
      <c r="CA94" s="185">
        <f t="shared" ca="1" si="295"/>
        <v>2270953</v>
      </c>
      <c r="CB94" s="171">
        <f t="shared" ca="1" si="328"/>
        <v>0</v>
      </c>
      <c r="CC94" s="86">
        <f t="shared" ca="1" si="329"/>
        <v>2186976</v>
      </c>
      <c r="CD94" s="167">
        <f t="shared" ca="1" si="330"/>
        <v>0.96302125143056683</v>
      </c>
      <c r="CE94" s="219"/>
      <c r="CF94" s="210">
        <f t="shared" ref="CF94:CF98" ca="1" si="334">S94+AM94+BG94+CA94</f>
        <v>8133571</v>
      </c>
      <c r="CG94" s="171">
        <f t="shared" ca="1" si="331"/>
        <v>0</v>
      </c>
      <c r="CH94" s="218">
        <f t="shared" ca="1" si="332"/>
        <v>7858806</v>
      </c>
      <c r="CI94" s="167">
        <f t="shared" ca="1" si="333"/>
        <v>0.96621840517529134</v>
      </c>
    </row>
    <row r="95" spans="1:87" s="105" customFormat="1" ht="13.15">
      <c r="A95" s="482" t="s">
        <v>11</v>
      </c>
      <c r="B95" s="285"/>
      <c r="C95" s="123">
        <v>617179</v>
      </c>
      <c r="D95" s="124">
        <f t="shared" ca="1" si="267"/>
        <v>699616</v>
      </c>
      <c r="E95" s="134">
        <f t="shared" ca="1" si="297"/>
        <v>0.88216821799387091</v>
      </c>
      <c r="F95" s="81">
        <f t="shared" ca="1" si="268"/>
        <v>664627</v>
      </c>
      <c r="G95" s="137">
        <f t="shared" ca="1" si="298"/>
        <v>0.94998827928463614</v>
      </c>
      <c r="H95" s="140">
        <v>751634</v>
      </c>
      <c r="I95" s="98">
        <f t="shared" ca="1" si="269"/>
        <v>792844</v>
      </c>
      <c r="J95" s="145">
        <f t="shared" ca="1" si="299"/>
        <v>0.94802256181543909</v>
      </c>
      <c r="K95" s="81">
        <f t="shared" ca="1" si="270"/>
        <v>792783</v>
      </c>
      <c r="L95" s="145">
        <f t="shared" ca="1" si="300"/>
        <v>0.99992306178769086</v>
      </c>
      <c r="M95" s="123">
        <v>989798</v>
      </c>
      <c r="N95" s="124">
        <f t="shared" ca="1" si="271"/>
        <v>1052820</v>
      </c>
      <c r="O95" s="134">
        <f t="shared" ca="1" si="301"/>
        <v>0.94013981497311983</v>
      </c>
      <c r="P95" s="81">
        <f t="shared" ca="1" si="272"/>
        <v>997294</v>
      </c>
      <c r="Q95" s="134">
        <f t="shared" ca="1" si="302"/>
        <v>0.94725974050644934</v>
      </c>
      <c r="R95" s="96">
        <v>960740</v>
      </c>
      <c r="S95" s="179">
        <f t="shared" ca="1" si="273"/>
        <v>2545280</v>
      </c>
      <c r="T95" s="171">
        <f t="shared" ca="1" si="303"/>
        <v>0.37745945436258488</v>
      </c>
      <c r="U95" s="86">
        <f t="shared" ca="1" si="273"/>
        <v>2454704</v>
      </c>
      <c r="V95" s="167">
        <f t="shared" ca="1" si="304"/>
        <v>0.96441413125471465</v>
      </c>
      <c r="W95" s="123">
        <v>787860</v>
      </c>
      <c r="X95" s="124">
        <f t="shared" ca="1" si="274"/>
        <v>879600</v>
      </c>
      <c r="Y95" s="134">
        <f t="shared" ca="1" si="305"/>
        <v>0.8957025920873124</v>
      </c>
      <c r="Z95" s="81">
        <f t="shared" ca="1" si="275"/>
        <v>819673</v>
      </c>
      <c r="AA95" s="137">
        <f t="shared" ca="1" si="306"/>
        <v>0.93187016825829927</v>
      </c>
      <c r="AB95" s="140">
        <v>934925</v>
      </c>
      <c r="AC95" s="98">
        <f t="shared" ca="1" si="276"/>
        <v>957264</v>
      </c>
      <c r="AD95" s="145">
        <f t="shared" ca="1" si="307"/>
        <v>0.97666369987798562</v>
      </c>
      <c r="AE95" s="81">
        <f t="shared" ca="1" si="277"/>
        <v>946691</v>
      </c>
      <c r="AF95" s="145">
        <f t="shared" ca="1" si="308"/>
        <v>0.98895498002640858</v>
      </c>
      <c r="AG95" s="123">
        <v>426292</v>
      </c>
      <c r="AH95" s="124">
        <f t="shared" ca="1" si="278"/>
        <v>458478</v>
      </c>
      <c r="AI95" s="134">
        <f t="shared" ca="1" si="309"/>
        <v>0.92979815825404932</v>
      </c>
      <c r="AJ95" s="81">
        <f t="shared" ca="1" si="279"/>
        <v>444889</v>
      </c>
      <c r="AK95" s="134">
        <f t="shared" ca="1" si="310"/>
        <v>0.97036062799087419</v>
      </c>
      <c r="AL95" s="96">
        <v>944603</v>
      </c>
      <c r="AM95" s="179">
        <f t="shared" ca="1" si="280"/>
        <v>2295342</v>
      </c>
      <c r="AN95" s="171">
        <f t="shared" ca="1" si="311"/>
        <v>0.41153039503481398</v>
      </c>
      <c r="AO95" s="86">
        <f t="shared" ca="1" si="281"/>
        <v>2211253</v>
      </c>
      <c r="AP95" s="167">
        <f t="shared" ca="1" si="312"/>
        <v>0.96336537213190887</v>
      </c>
      <c r="AQ95" s="123">
        <v>242490</v>
      </c>
      <c r="AR95" s="124">
        <f t="shared" ca="1" si="282"/>
        <v>292604</v>
      </c>
      <c r="AS95" s="134">
        <f t="shared" ca="1" si="313"/>
        <v>0.82873098112124233</v>
      </c>
      <c r="AT95" s="81">
        <f t="shared" ca="1" si="283"/>
        <v>261140</v>
      </c>
      <c r="AU95" s="137">
        <f t="shared" ca="1" si="314"/>
        <v>0.89246900247433392</v>
      </c>
      <c r="AV95" s="140">
        <v>267406</v>
      </c>
      <c r="AW95" s="98">
        <f t="shared" ca="1" si="284"/>
        <v>339668</v>
      </c>
      <c r="AX95" s="145">
        <f t="shared" ca="1" si="315"/>
        <v>0.78725696856930882</v>
      </c>
      <c r="AY95" s="81">
        <f t="shared" ca="1" si="285"/>
        <v>307357</v>
      </c>
      <c r="AZ95" s="145">
        <f t="shared" ca="1" si="316"/>
        <v>0.90487476005982315</v>
      </c>
      <c r="BA95" s="123">
        <v>477010</v>
      </c>
      <c r="BB95" s="124">
        <f t="shared" ca="1" si="286"/>
        <v>533357</v>
      </c>
      <c r="BC95" s="134">
        <f t="shared" ca="1" si="317"/>
        <v>0.89435406303845266</v>
      </c>
      <c r="BD95" s="81">
        <f t="shared" ca="1" si="287"/>
        <v>516060</v>
      </c>
      <c r="BE95" s="134">
        <f t="shared" ca="1" si="318"/>
        <v>0.96756956410059303</v>
      </c>
      <c r="BF95" s="96">
        <v>634093</v>
      </c>
      <c r="BG95" s="176">
        <f t="shared" ca="1" si="288"/>
        <v>1165629</v>
      </c>
      <c r="BH95" s="171">
        <f t="shared" ca="1" si="319"/>
        <v>0.54399212785543261</v>
      </c>
      <c r="BI95" s="86">
        <f t="shared" ca="1" si="320"/>
        <v>1084557</v>
      </c>
      <c r="BJ95" s="167">
        <f t="shared" ca="1" si="321"/>
        <v>0.93044785261862906</v>
      </c>
      <c r="BK95" s="123">
        <v>816028</v>
      </c>
      <c r="BL95" s="124">
        <f t="shared" ca="1" si="289"/>
        <v>891074</v>
      </c>
      <c r="BM95" s="134">
        <f t="shared" ca="1" si="322"/>
        <v>0.91578028311902271</v>
      </c>
      <c r="BN95" s="81">
        <f t="shared" ca="1" si="290"/>
        <v>854588</v>
      </c>
      <c r="BO95" s="137">
        <f t="shared" ca="1" si="323"/>
        <v>0.95905390573622396</v>
      </c>
      <c r="BP95" s="140">
        <v>754038</v>
      </c>
      <c r="BQ95" s="98">
        <f t="shared" ca="1" si="291"/>
        <v>814970</v>
      </c>
      <c r="BR95" s="145">
        <f t="shared" ca="1" si="324"/>
        <v>0.92523405769537526</v>
      </c>
      <c r="BS95" s="81">
        <f t="shared" ca="1" si="292"/>
        <v>785642</v>
      </c>
      <c r="BT95" s="145">
        <f t="shared" ca="1" si="325"/>
        <v>0.96401339926623064</v>
      </c>
      <c r="BU95" s="123">
        <v>154096</v>
      </c>
      <c r="BV95" s="124">
        <f t="shared" ca="1" si="293"/>
        <v>184659</v>
      </c>
      <c r="BW95" s="134">
        <f t="shared" ca="1" si="326"/>
        <v>0.83448951851791686</v>
      </c>
      <c r="BX95" s="81">
        <f t="shared" ca="1" si="294"/>
        <v>191750</v>
      </c>
      <c r="BY95" s="134">
        <f t="shared" ca="1" si="327"/>
        <v>1.0384005112125594</v>
      </c>
      <c r="BZ95" s="96">
        <v>516461</v>
      </c>
      <c r="CA95" s="185">
        <f ca="1">BL95+BQ95+BV95</f>
        <v>1890703</v>
      </c>
      <c r="CB95" s="171">
        <f t="shared" ca="1" si="328"/>
        <v>0.27315818507719086</v>
      </c>
      <c r="CC95" s="86">
        <f t="shared" ca="1" si="329"/>
        <v>1831980</v>
      </c>
      <c r="CD95" s="167">
        <f t="shared" ca="1" si="330"/>
        <v>0.9689411821951941</v>
      </c>
      <c r="CE95" s="219">
        <v>178896</v>
      </c>
      <c r="CF95" s="210">
        <f t="shared" ca="1" si="334"/>
        <v>7896954</v>
      </c>
      <c r="CG95" s="171">
        <f t="shared" ca="1" si="331"/>
        <v>2.2653797907395686E-2</v>
      </c>
      <c r="CH95" s="218">
        <f t="shared" ca="1" si="332"/>
        <v>7582494</v>
      </c>
      <c r="CI95" s="167">
        <f t="shared" ca="1" si="333"/>
        <v>0.96017958316586371</v>
      </c>
    </row>
    <row r="96" spans="1:87" s="105" customFormat="1" ht="13.15">
      <c r="A96" s="30" t="s">
        <v>73</v>
      </c>
      <c r="B96" s="285"/>
      <c r="C96" s="123">
        <v>812366</v>
      </c>
      <c r="D96" s="124">
        <f t="shared" ca="1" si="267"/>
        <v>868240</v>
      </c>
      <c r="E96" s="134">
        <f t="shared" ca="1" si="297"/>
        <v>0.93564682576246194</v>
      </c>
      <c r="F96" s="81">
        <f t="shared" ca="1" si="268"/>
        <v>858973</v>
      </c>
      <c r="G96" s="137">
        <f t="shared" ca="1" si="298"/>
        <v>0.98932668386621214</v>
      </c>
      <c r="H96" s="140">
        <v>462869</v>
      </c>
      <c r="I96" s="98">
        <f t="shared" ca="1" si="269"/>
        <v>555767</v>
      </c>
      <c r="J96" s="145">
        <f t="shared" ca="1" si="299"/>
        <v>0.83284721834869646</v>
      </c>
      <c r="K96" s="81">
        <f t="shared" ca="1" si="270"/>
        <v>479450</v>
      </c>
      <c r="L96" s="145">
        <f t="shared" ca="1" si="300"/>
        <v>0.8626816633589256</v>
      </c>
      <c r="M96" s="123">
        <v>746659</v>
      </c>
      <c r="N96" s="124">
        <f t="shared" ca="1" si="271"/>
        <v>826840</v>
      </c>
      <c r="O96" s="134">
        <f t="shared" ca="1" si="301"/>
        <v>0.9030271878477093</v>
      </c>
      <c r="P96" s="81">
        <f t="shared" ca="1" si="272"/>
        <v>793853</v>
      </c>
      <c r="Q96" s="134">
        <f t="shared" ca="1" si="302"/>
        <v>0.96010473610372016</v>
      </c>
      <c r="R96" s="96">
        <v>905092</v>
      </c>
      <c r="S96" s="179">
        <f ca="1">D96+I96+N96</f>
        <v>2250847</v>
      </c>
      <c r="T96" s="171">
        <f t="shared" ca="1" si="303"/>
        <v>0.40211173838115161</v>
      </c>
      <c r="U96" s="86">
        <f ca="1">F96+K96+P96</f>
        <v>2132276</v>
      </c>
      <c r="V96" s="167">
        <f t="shared" ca="1" si="304"/>
        <v>0.94732160826568845</v>
      </c>
      <c r="W96" s="123">
        <v>304496</v>
      </c>
      <c r="X96" s="124">
        <f t="shared" ca="1" si="274"/>
        <v>333153</v>
      </c>
      <c r="Y96" s="134">
        <f t="shared" ca="1" si="305"/>
        <v>0.91398246451330167</v>
      </c>
      <c r="Z96" s="81">
        <f t="shared" ca="1" si="275"/>
        <v>325184</v>
      </c>
      <c r="AA96" s="137">
        <f t="shared" ca="1" si="306"/>
        <v>0.97608005931208786</v>
      </c>
      <c r="AB96" s="140">
        <v>348050</v>
      </c>
      <c r="AC96" s="98">
        <f t="shared" ca="1" si="276"/>
        <v>394990</v>
      </c>
      <c r="AD96" s="145">
        <f t="shared" ca="1" si="307"/>
        <v>0.88116154839363026</v>
      </c>
      <c r="AE96" s="81">
        <f t="shared" ca="1" si="277"/>
        <v>376428</v>
      </c>
      <c r="AF96" s="145">
        <f t="shared" ca="1" si="308"/>
        <v>0.95300640522544877</v>
      </c>
      <c r="AG96" s="123">
        <v>490609</v>
      </c>
      <c r="AH96" s="124">
        <f t="shared" ca="1" si="278"/>
        <v>545578</v>
      </c>
      <c r="AI96" s="134">
        <f t="shared" ca="1" si="309"/>
        <v>0.89924630391987947</v>
      </c>
      <c r="AJ96" s="81">
        <f t="shared" ca="1" si="279"/>
        <v>501135</v>
      </c>
      <c r="AK96" s="134">
        <f t="shared" ca="1" si="310"/>
        <v>0.91853960386965749</v>
      </c>
      <c r="AL96" s="96">
        <v>279510</v>
      </c>
      <c r="AM96" s="179">
        <f t="shared" ca="1" si="280"/>
        <v>1273721</v>
      </c>
      <c r="AN96" s="171">
        <f t="shared" ca="1" si="311"/>
        <v>0.21944366152399153</v>
      </c>
      <c r="AO96" s="86">
        <f ca="1">Z96+AE96+AJ96</f>
        <v>1202747</v>
      </c>
      <c r="AP96" s="167">
        <f t="shared" ca="1" si="312"/>
        <v>0.94427822105468939</v>
      </c>
      <c r="AQ96" s="123">
        <v>725433</v>
      </c>
      <c r="AR96" s="124">
        <f t="shared" ca="1" si="282"/>
        <v>782906</v>
      </c>
      <c r="AS96" s="134">
        <f t="shared" ca="1" si="313"/>
        <v>0.92659016535829331</v>
      </c>
      <c r="AT96" s="81">
        <f t="shared" ca="1" si="283"/>
        <v>770843</v>
      </c>
      <c r="AU96" s="137">
        <f t="shared" ca="1" si="314"/>
        <v>0.9845920199870738</v>
      </c>
      <c r="AV96" s="140">
        <v>161092</v>
      </c>
      <c r="AW96" s="98">
        <f t="shared" ca="1" si="284"/>
        <v>201838</v>
      </c>
      <c r="AX96" s="145">
        <f t="shared" ca="1" si="315"/>
        <v>0.79812522914416517</v>
      </c>
      <c r="AY96" s="81">
        <f t="shared" ca="1" si="285"/>
        <v>192709</v>
      </c>
      <c r="AZ96" s="145">
        <f t="shared" ca="1" si="316"/>
        <v>0.95477065765614011</v>
      </c>
      <c r="BA96" s="123">
        <v>516163</v>
      </c>
      <c r="BB96" s="124">
        <f t="shared" ca="1" si="286"/>
        <v>544907</v>
      </c>
      <c r="BC96" s="134">
        <f t="shared" ca="1" si="317"/>
        <v>0.94724971417140902</v>
      </c>
      <c r="BD96" s="81">
        <f t="shared" ca="1" si="287"/>
        <v>531950</v>
      </c>
      <c r="BE96" s="134">
        <f t="shared" ca="1" si="318"/>
        <v>0.97622163048006361</v>
      </c>
      <c r="BF96" s="96">
        <v>477364</v>
      </c>
      <c r="BG96" s="176">
        <f ca="1">AR96+AW96+BB96</f>
        <v>1529651</v>
      </c>
      <c r="BH96" s="171">
        <f t="shared" ca="1" si="319"/>
        <v>0.31207379984061723</v>
      </c>
      <c r="BI96" s="86">
        <f t="shared" ca="1" si="320"/>
        <v>1495502</v>
      </c>
      <c r="BJ96" s="167">
        <f t="shared" ca="1" si="321"/>
        <v>0.97767529979060586</v>
      </c>
      <c r="BK96" s="123">
        <v>643589</v>
      </c>
      <c r="BL96" s="124">
        <f t="shared" ca="1" si="289"/>
        <v>656415</v>
      </c>
      <c r="BM96" s="134">
        <f t="shared" ca="1" si="322"/>
        <v>0.98046053182818793</v>
      </c>
      <c r="BN96" s="81">
        <f t="shared" ca="1" si="290"/>
        <v>687656</v>
      </c>
      <c r="BO96" s="137">
        <f t="shared" ca="1" si="323"/>
        <v>1.0475933670010589</v>
      </c>
      <c r="BP96" s="140">
        <v>810657</v>
      </c>
      <c r="BQ96" s="98">
        <f t="shared" ca="1" si="291"/>
        <v>858338</v>
      </c>
      <c r="BR96" s="145">
        <f t="shared" ca="1" si="324"/>
        <v>0.94444962240981989</v>
      </c>
      <c r="BS96" s="81">
        <f t="shared" ca="1" si="292"/>
        <v>848316</v>
      </c>
      <c r="BT96" s="145">
        <f t="shared" ca="1" si="325"/>
        <v>0.98832394697659898</v>
      </c>
      <c r="BU96" s="123">
        <v>531640</v>
      </c>
      <c r="BV96" s="124">
        <f t="shared" ca="1" si="293"/>
        <v>561282</v>
      </c>
      <c r="BW96" s="134">
        <f t="shared" ca="1" si="326"/>
        <v>0.9471887571666292</v>
      </c>
      <c r="BX96" s="81">
        <f t="shared" ca="1" si="294"/>
        <v>557825</v>
      </c>
      <c r="BY96" s="134">
        <f t="shared" ca="1" si="327"/>
        <v>0.99384088568669582</v>
      </c>
      <c r="BZ96" s="96">
        <v>680273</v>
      </c>
      <c r="CA96" s="185">
        <f t="shared" ca="1" si="295"/>
        <v>2076035</v>
      </c>
      <c r="CB96" s="171">
        <f t="shared" ca="1" si="328"/>
        <v>0.32767896495001286</v>
      </c>
      <c r="CC96" s="86">
        <f t="shared" ca="1" si="329"/>
        <v>2093797</v>
      </c>
      <c r="CD96" s="167">
        <f t="shared" ca="1" si="330"/>
        <v>1.0085557324418903</v>
      </c>
      <c r="CE96" s="219">
        <v>172635</v>
      </c>
      <c r="CF96" s="210">
        <f t="shared" ca="1" si="334"/>
        <v>7130254</v>
      </c>
      <c r="CG96" s="171">
        <f t="shared" ca="1" si="331"/>
        <v>2.4211619950705823E-2</v>
      </c>
      <c r="CH96" s="218">
        <f t="shared" ca="1" si="332"/>
        <v>6924322</v>
      </c>
      <c r="CI96" s="167">
        <f t="shared" ca="1" si="333"/>
        <v>0.97111856043277001</v>
      </c>
    </row>
    <row r="97" spans="1:88" s="105" customFormat="1" ht="13.15">
      <c r="A97" s="12" t="s">
        <v>170</v>
      </c>
      <c r="B97" s="285"/>
      <c r="C97" s="124">
        <v>627862</v>
      </c>
      <c r="D97" s="124">
        <f t="shared" ca="1" si="267"/>
        <v>704917</v>
      </c>
      <c r="E97" s="134">
        <f t="shared" ca="1" si="297"/>
        <v>0.89068925845170421</v>
      </c>
      <c r="F97" s="81">
        <f t="shared" ca="1" si="268"/>
        <v>672825</v>
      </c>
      <c r="G97" s="137">
        <f t="shared" ca="1" si="298"/>
        <v>0.95447407283410668</v>
      </c>
      <c r="H97" s="141">
        <v>800660</v>
      </c>
      <c r="I97" s="98">
        <f t="shared" ca="1" si="269"/>
        <v>848795</v>
      </c>
      <c r="J97" s="145">
        <f t="shared" ca="1" si="299"/>
        <v>0.94329019374525058</v>
      </c>
      <c r="K97" s="81">
        <f t="shared" ca="1" si="270"/>
        <v>814420</v>
      </c>
      <c r="L97" s="145">
        <f t="shared" ca="1" si="300"/>
        <v>0.95950141082357931</v>
      </c>
      <c r="M97" s="143">
        <v>258829</v>
      </c>
      <c r="N97" s="124">
        <f t="shared" ca="1" si="271"/>
        <v>271334</v>
      </c>
      <c r="O97" s="134">
        <f t="shared" ca="1" si="301"/>
        <v>0.95391288964891974</v>
      </c>
      <c r="P97" s="81">
        <f t="shared" ca="1" si="272"/>
        <v>303642</v>
      </c>
      <c r="Q97" s="134">
        <f t="shared" ca="1" si="302"/>
        <v>1.1190709605136104</v>
      </c>
      <c r="R97" s="101"/>
      <c r="S97" s="179">
        <f ca="1">D97+I97+N97</f>
        <v>1825046</v>
      </c>
      <c r="T97" s="171">
        <f t="shared" ca="1" si="303"/>
        <v>0</v>
      </c>
      <c r="U97" s="86">
        <f ca="1">F97+K97+P97</f>
        <v>1790887</v>
      </c>
      <c r="V97" s="167">
        <f t="shared" ca="1" si="304"/>
        <v>0.98128321149165554</v>
      </c>
      <c r="W97" s="124">
        <v>520997</v>
      </c>
      <c r="X97" s="124">
        <f t="shared" ca="1" si="274"/>
        <v>560855</v>
      </c>
      <c r="Y97" s="134">
        <f t="shared" ca="1" si="305"/>
        <v>0.92893350331190772</v>
      </c>
      <c r="Z97" s="81">
        <f t="shared" ca="1" si="275"/>
        <v>546929</v>
      </c>
      <c r="AA97" s="137">
        <f t="shared" ca="1" si="306"/>
        <v>0.97517005286571401</v>
      </c>
      <c r="AB97" s="141">
        <v>368358</v>
      </c>
      <c r="AC97" s="98">
        <f t="shared" ca="1" si="276"/>
        <v>451519</v>
      </c>
      <c r="AD97" s="145">
        <f t="shared" ca="1" si="307"/>
        <v>0.81581948932381587</v>
      </c>
      <c r="AE97" s="81">
        <f t="shared" ca="1" si="277"/>
        <v>377945</v>
      </c>
      <c r="AF97" s="145">
        <f t="shared" ca="1" si="308"/>
        <v>0.83705226136663136</v>
      </c>
      <c r="AG97" s="143">
        <v>451758</v>
      </c>
      <c r="AH97" s="124">
        <f t="shared" ca="1" si="278"/>
        <v>535467</v>
      </c>
      <c r="AI97" s="134">
        <f t="shared" ca="1" si="309"/>
        <v>0.84367103855139536</v>
      </c>
      <c r="AJ97" s="81">
        <f t="shared" ca="1" si="279"/>
        <v>461992</v>
      </c>
      <c r="AK97" s="134">
        <f t="shared" ca="1" si="310"/>
        <v>0.86278332745061792</v>
      </c>
      <c r="AL97" s="101"/>
      <c r="AM97" s="179">
        <f t="shared" ca="1" si="280"/>
        <v>1547841</v>
      </c>
      <c r="AN97" s="171">
        <f t="shared" ca="1" si="311"/>
        <v>0</v>
      </c>
      <c r="AO97" s="86">
        <f ca="1">Z97+AE97+AJ97</f>
        <v>1386866</v>
      </c>
      <c r="AP97" s="167">
        <f t="shared" ca="1" si="312"/>
        <v>0.89600029977239259</v>
      </c>
      <c r="AQ97" s="124"/>
      <c r="AR97" s="124">
        <f t="shared" ca="1" si="282"/>
        <v>33455</v>
      </c>
      <c r="AS97" s="134">
        <f t="shared" ca="1" si="313"/>
        <v>0</v>
      </c>
      <c r="AT97" s="81">
        <f t="shared" ca="1" si="283"/>
        <v>25740</v>
      </c>
      <c r="AU97" s="137">
        <f t="shared" ca="1" si="314"/>
        <v>0.76939172022119262</v>
      </c>
      <c r="AV97" s="141">
        <v>110116</v>
      </c>
      <c r="AW97" s="98">
        <f t="shared" ca="1" si="284"/>
        <v>185195</v>
      </c>
      <c r="AX97" s="145">
        <f t="shared" ca="1" si="315"/>
        <v>0.59459488647101699</v>
      </c>
      <c r="AY97" s="81">
        <f t="shared" ca="1" si="285"/>
        <v>146590</v>
      </c>
      <c r="AZ97" s="145">
        <f t="shared" ca="1" si="316"/>
        <v>0.79154404816544721</v>
      </c>
      <c r="BA97" s="143">
        <v>249114</v>
      </c>
      <c r="BB97" s="124">
        <f t="shared" ca="1" si="286"/>
        <v>288499</v>
      </c>
      <c r="BC97" s="134">
        <f t="shared" ca="1" si="317"/>
        <v>0.86348306233297167</v>
      </c>
      <c r="BD97" s="81">
        <f t="shared" ca="1" si="287"/>
        <v>284781</v>
      </c>
      <c r="BE97" s="134">
        <f t="shared" ca="1" si="318"/>
        <v>0.98711260697610737</v>
      </c>
      <c r="BF97" s="101"/>
      <c r="BG97" s="176">
        <f ca="1">AR97+AW97+BB97</f>
        <v>507149</v>
      </c>
      <c r="BH97" s="171">
        <f t="shared" ca="1" si="319"/>
        <v>0</v>
      </c>
      <c r="BI97" s="86">
        <f t="shared" ca="1" si="320"/>
        <v>457111</v>
      </c>
      <c r="BJ97" s="167">
        <f t="shared" ca="1" si="321"/>
        <v>0.90133471622738093</v>
      </c>
      <c r="BK97" s="124">
        <v>920001</v>
      </c>
      <c r="BL97" s="124">
        <f t="shared" ca="1" si="289"/>
        <v>1018286</v>
      </c>
      <c r="BM97" s="134">
        <f t="shared" ca="1" si="322"/>
        <v>0.90347996535354502</v>
      </c>
      <c r="BN97" s="81">
        <f t="shared" ca="1" si="290"/>
        <v>939011</v>
      </c>
      <c r="BO97" s="137">
        <f t="shared" ca="1" si="323"/>
        <v>0.92214859086739875</v>
      </c>
      <c r="BP97" s="141">
        <v>503278</v>
      </c>
      <c r="BQ97" s="98">
        <f t="shared" ca="1" si="291"/>
        <v>598954</v>
      </c>
      <c r="BR97" s="145">
        <f t="shared" ca="1" si="324"/>
        <v>0.84026152258771125</v>
      </c>
      <c r="BS97" s="81">
        <f t="shared" ca="1" si="292"/>
        <v>547258</v>
      </c>
      <c r="BT97" s="145">
        <f t="shared" ca="1" si="325"/>
        <v>0.91368953208426695</v>
      </c>
      <c r="BU97" s="143">
        <v>734624</v>
      </c>
      <c r="BV97" s="124">
        <f t="shared" ca="1" si="293"/>
        <v>770231</v>
      </c>
      <c r="BW97" s="134">
        <f t="shared" ca="1" si="326"/>
        <v>0.95377101155367672</v>
      </c>
      <c r="BX97" s="81">
        <f t="shared" ca="1" si="294"/>
        <v>764935</v>
      </c>
      <c r="BY97" s="134">
        <f t="shared" ca="1" si="327"/>
        <v>0.99312414067987398</v>
      </c>
      <c r="BZ97" s="101"/>
      <c r="CA97" s="185">
        <f t="shared" ca="1" si="295"/>
        <v>2387471</v>
      </c>
      <c r="CB97" s="171">
        <f t="shared" ca="1" si="328"/>
        <v>0</v>
      </c>
      <c r="CC97" s="86">
        <f t="shared" ca="1" si="329"/>
        <v>2251204</v>
      </c>
      <c r="CD97" s="167">
        <f t="shared" ca="1" si="330"/>
        <v>0.9429241234762642</v>
      </c>
      <c r="CE97" s="220"/>
      <c r="CF97" s="210">
        <f t="shared" ca="1" si="334"/>
        <v>6267507</v>
      </c>
      <c r="CG97" s="171">
        <f t="shared" ca="1" si="331"/>
        <v>0</v>
      </c>
      <c r="CH97" s="218">
        <f t="shared" ca="1" si="332"/>
        <v>5886068</v>
      </c>
      <c r="CI97" s="167">
        <f t="shared" ca="1" si="333"/>
        <v>0.93914023550352632</v>
      </c>
    </row>
    <row r="98" spans="1:88" s="7" customFormat="1" ht="13.15">
      <c r="A98" s="572" t="s">
        <v>77</v>
      </c>
      <c r="B98" s="573"/>
      <c r="C98" s="574">
        <v>740916</v>
      </c>
      <c r="D98" s="124">
        <f t="shared" ca="1" si="267"/>
        <v>795378</v>
      </c>
      <c r="E98" s="575">
        <f t="shared" ca="1" si="297"/>
        <v>0.93152689664536859</v>
      </c>
      <c r="F98" s="81">
        <f t="shared" ca="1" si="268"/>
        <v>768243</v>
      </c>
      <c r="G98" s="575">
        <f t="shared" ca="1" si="298"/>
        <v>0.9658841456515016</v>
      </c>
      <c r="H98" s="576">
        <v>243741</v>
      </c>
      <c r="I98" s="98">
        <f t="shared" ca="1" si="269"/>
        <v>328739</v>
      </c>
      <c r="J98" s="577">
        <f t="shared" ca="1" si="299"/>
        <v>0.74144229921001159</v>
      </c>
      <c r="K98" s="81">
        <f t="shared" ca="1" si="270"/>
        <v>276082</v>
      </c>
      <c r="L98" s="578">
        <f t="shared" ca="1" si="300"/>
        <v>0.83982125637663918</v>
      </c>
      <c r="M98" s="579">
        <v>696174</v>
      </c>
      <c r="N98" s="124">
        <f t="shared" ca="1" si="271"/>
        <v>752548</v>
      </c>
      <c r="O98" s="580">
        <f t="shared" ca="1" si="301"/>
        <v>0.92508916374769445</v>
      </c>
      <c r="P98" s="81">
        <f t="shared" ca="1" si="272"/>
        <v>739433</v>
      </c>
      <c r="Q98" s="575">
        <f t="shared" ca="1" si="302"/>
        <v>0.98257254022334783</v>
      </c>
      <c r="R98" s="581">
        <v>289057</v>
      </c>
      <c r="S98" s="582">
        <f ca="1">D98+I98+N98</f>
        <v>1876665</v>
      </c>
      <c r="T98" s="583">
        <f t="shared" ca="1" si="303"/>
        <v>0.15402695739516642</v>
      </c>
      <c r="U98" s="584">
        <f ca="1">F98+K98+P98</f>
        <v>1783758</v>
      </c>
      <c r="V98" s="585">
        <f t="shared" ca="1" si="304"/>
        <v>0.95049356171719512</v>
      </c>
      <c r="W98" s="574">
        <v>689537</v>
      </c>
      <c r="X98" s="124">
        <f t="shared" ca="1" si="274"/>
        <v>756665</v>
      </c>
      <c r="Y98" s="575">
        <f t="shared" ca="1" si="305"/>
        <v>0.91128438608895612</v>
      </c>
      <c r="Z98" s="81">
        <f t="shared" ca="1" si="275"/>
        <v>732140</v>
      </c>
      <c r="AA98" s="575">
        <f t="shared" ca="1" si="306"/>
        <v>0.96758803433487739</v>
      </c>
      <c r="AB98" s="576">
        <v>349450</v>
      </c>
      <c r="AC98" s="98">
        <f t="shared" ca="1" si="276"/>
        <v>404110</v>
      </c>
      <c r="AD98" s="577">
        <f t="shared" ca="1" si="307"/>
        <v>0.86473979856969641</v>
      </c>
      <c r="AE98" s="81">
        <f t="shared" ca="1" si="277"/>
        <v>365357</v>
      </c>
      <c r="AF98" s="578">
        <f t="shared" ca="1" si="308"/>
        <v>0.90410284328524415</v>
      </c>
      <c r="AG98" s="579">
        <v>985295</v>
      </c>
      <c r="AH98" s="124">
        <f t="shared" ca="1" si="278"/>
        <v>1028434</v>
      </c>
      <c r="AI98" s="580">
        <f t="shared" ca="1" si="309"/>
        <v>0.95805370106394772</v>
      </c>
      <c r="AJ98" s="81">
        <f t="shared" ca="1" si="279"/>
        <v>1025169</v>
      </c>
      <c r="AK98" s="575">
        <f t="shared" ca="1" si="310"/>
        <v>0.99682527026527712</v>
      </c>
      <c r="AL98" s="581">
        <v>483198</v>
      </c>
      <c r="AM98" s="582">
        <f t="shared" ca="1" si="280"/>
        <v>2189209</v>
      </c>
      <c r="AN98" s="583">
        <f t="shared" ca="1" si="311"/>
        <v>0.22071807671172555</v>
      </c>
      <c r="AO98" s="584">
        <f ca="1">Z98+AE98+AJ98</f>
        <v>2122666</v>
      </c>
      <c r="AP98" s="585">
        <f t="shared" ca="1" si="312"/>
        <v>0.96960408987903846</v>
      </c>
      <c r="AQ98" s="574">
        <v>771018</v>
      </c>
      <c r="AR98" s="124">
        <f t="shared" ca="1" si="282"/>
        <v>792814</v>
      </c>
      <c r="AS98" s="575">
        <f t="shared" ca="1" si="313"/>
        <v>0.97250805359138459</v>
      </c>
      <c r="AT98" s="81">
        <f t="shared" ca="1" si="283"/>
        <v>813466</v>
      </c>
      <c r="AU98" s="575">
        <f t="shared" ca="1" si="314"/>
        <v>1.0260489850078329</v>
      </c>
      <c r="AV98" s="576">
        <v>797243</v>
      </c>
      <c r="AW98" s="98">
        <f t="shared" ca="1" si="284"/>
        <v>826105</v>
      </c>
      <c r="AX98" s="577">
        <f t="shared" ca="1" si="315"/>
        <v>0.96506255258108831</v>
      </c>
      <c r="AY98" s="81">
        <f t="shared" ca="1" si="285"/>
        <v>840188</v>
      </c>
      <c r="AZ98" s="578">
        <f t="shared" ca="1" si="316"/>
        <v>1.0170474697526344</v>
      </c>
      <c r="BA98" s="579">
        <v>935275</v>
      </c>
      <c r="BB98" s="124">
        <f t="shared" ca="1" si="286"/>
        <v>1023259</v>
      </c>
      <c r="BC98" s="580">
        <f t="shared" ca="1" si="317"/>
        <v>0.91401590408684408</v>
      </c>
      <c r="BD98" s="81">
        <f t="shared" ca="1" si="287"/>
        <v>969224</v>
      </c>
      <c r="BE98" s="575">
        <f t="shared" ca="1" si="318"/>
        <v>0.94719323260288935</v>
      </c>
      <c r="BF98" s="581">
        <v>443249</v>
      </c>
      <c r="BG98" s="586">
        <f ca="1">AR98+AW98+BB98</f>
        <v>2642178</v>
      </c>
      <c r="BH98" s="583">
        <f t="shared" ca="1" si="319"/>
        <v>0.16775894735328203</v>
      </c>
      <c r="BI98" s="46">
        <f t="shared" ca="1" si="320"/>
        <v>2622878</v>
      </c>
      <c r="BJ98" s="585">
        <f t="shared" ca="1" si="321"/>
        <v>0.99269542021771429</v>
      </c>
      <c r="BK98" s="574">
        <v>854726</v>
      </c>
      <c r="BL98" s="124">
        <f t="shared" ca="1" si="289"/>
        <v>903327</v>
      </c>
      <c r="BM98" s="575">
        <f t="shared" ca="1" si="322"/>
        <v>0.9461977777703976</v>
      </c>
      <c r="BN98" s="81">
        <f t="shared" ca="1" si="290"/>
        <v>886378</v>
      </c>
      <c r="BO98" s="575">
        <f t="shared" ca="1" si="323"/>
        <v>0.98123713782495159</v>
      </c>
      <c r="BP98" s="576">
        <v>362077</v>
      </c>
      <c r="BQ98" s="98">
        <f t="shared" ca="1" si="291"/>
        <v>408692</v>
      </c>
      <c r="BR98" s="577">
        <f t="shared" ca="1" si="324"/>
        <v>0.88594100202597559</v>
      </c>
      <c r="BS98" s="81">
        <f t="shared" ca="1" si="292"/>
        <v>377632</v>
      </c>
      <c r="BT98" s="578">
        <f t="shared" ca="1" si="325"/>
        <v>0.92400144852358257</v>
      </c>
      <c r="BU98" s="579">
        <v>956543</v>
      </c>
      <c r="BV98" s="124">
        <f t="shared" ca="1" si="293"/>
        <v>1000587</v>
      </c>
      <c r="BW98" s="580">
        <f t="shared" ca="1" si="326"/>
        <v>0.95598183866070618</v>
      </c>
      <c r="BX98" s="81">
        <f t="shared" ca="1" si="294"/>
        <v>980909</v>
      </c>
      <c r="BY98" s="575">
        <f t="shared" ca="1" si="327"/>
        <v>0.98033354420954899</v>
      </c>
      <c r="BZ98" s="581">
        <v>552297</v>
      </c>
      <c r="CA98" s="587">
        <f t="shared" ca="1" si="295"/>
        <v>2312606</v>
      </c>
      <c r="CB98" s="583">
        <f t="shared" ca="1" si="328"/>
        <v>0.23882018813407904</v>
      </c>
      <c r="CC98" s="46">
        <f t="shared" ca="1" si="329"/>
        <v>2244919</v>
      </c>
      <c r="CD98" s="585">
        <f t="shared" ca="1" si="330"/>
        <v>0.97073128756044047</v>
      </c>
      <c r="CE98" s="588">
        <v>441604</v>
      </c>
      <c r="CF98" s="589">
        <f t="shared" ca="1" si="334"/>
        <v>9020658</v>
      </c>
      <c r="CG98" s="583">
        <f t="shared" ca="1" si="331"/>
        <v>4.8954743656172313E-2</v>
      </c>
      <c r="CH98" s="232">
        <f t="shared" ca="1" si="332"/>
        <v>8774221</v>
      </c>
      <c r="CI98" s="585">
        <f t="shared" ca="1" si="333"/>
        <v>0.97268081774079007</v>
      </c>
    </row>
    <row r="99" spans="1:88" s="272" customFormat="1" ht="13.5" thickBot="1">
      <c r="A99" s="273" t="s">
        <v>74</v>
      </c>
      <c r="B99" s="265"/>
      <c r="C99" s="265">
        <f>SUM(C82:C88,C89:C98)</f>
        <v>10198303</v>
      </c>
      <c r="D99" s="265">
        <f ca="1">SUM(D82:D88,D89:D98)</f>
        <v>11436046</v>
      </c>
      <c r="E99" s="267">
        <f ca="1">IFERROR(C99/D99,0)</f>
        <v>0.89176827375475753</v>
      </c>
      <c r="F99" s="268">
        <f ca="1">SUM(F82:F88,F89:F98)</f>
        <v>10836416</v>
      </c>
      <c r="G99" s="269">
        <f t="shared" ref="G99" ca="1" si="335">IFERROR(F99/D99,0)</f>
        <v>0.94756666771015086</v>
      </c>
      <c r="H99" s="265">
        <f>SUM(H82:H88,H89:H98)</f>
        <v>9091861</v>
      </c>
      <c r="I99" s="265">
        <f ca="1">SUM(I82:I88,I89:I98)</f>
        <v>10077630</v>
      </c>
      <c r="J99" s="267">
        <f ca="1">IFERROR(H99/I99,0)</f>
        <v>0.9021824575817925</v>
      </c>
      <c r="K99" s="268">
        <f ca="1">SUM(K82:K88,K89:K98)</f>
        <v>9569471</v>
      </c>
      <c r="L99" s="269">
        <f t="shared" ref="L99" ca="1" si="336">IFERROR(K99/I99,0)</f>
        <v>0.9495755450438248</v>
      </c>
      <c r="M99" s="265">
        <f>SUM(M82:M88,M89:M98)</f>
        <v>9393925</v>
      </c>
      <c r="N99" s="265">
        <f ca="1">SUM(N82:N88,N89:N98)</f>
        <v>10266025</v>
      </c>
      <c r="O99" s="267">
        <f ca="1">IFERROR(M99/N99,0)</f>
        <v>0.91504988542303378</v>
      </c>
      <c r="P99" s="268">
        <f ca="1">SUM(P82:P88,P89:P98)</f>
        <v>9915395</v>
      </c>
      <c r="Q99" s="269">
        <f t="shared" ref="Q99" ca="1" si="337">IFERROR(P99/N99,0)</f>
        <v>0.96584559262226621</v>
      </c>
      <c r="R99" s="265">
        <f>SUM(R82:R88,R89:R98)</f>
        <v>5233696</v>
      </c>
      <c r="S99" s="265">
        <f ca="1">SUM(S82:S88,S89:S98)</f>
        <v>31779701</v>
      </c>
      <c r="T99" s="267">
        <f ca="1">IFERROR(R99/S99,0)</f>
        <v>0.16468676026876403</v>
      </c>
      <c r="U99" s="268">
        <f ca="1">SUM(U82:U88,U89:U98)</f>
        <v>30321282</v>
      </c>
      <c r="V99" s="269">
        <f t="shared" ref="V99" ca="1" si="338">IFERROR(U99/S99,0)</f>
        <v>0.95410847320432624</v>
      </c>
      <c r="W99" s="265">
        <f>SUM(W82:W88,W89:W98)</f>
        <v>10317078</v>
      </c>
      <c r="X99" s="265">
        <f ca="1">SUM(X82:X88,X89:X98)</f>
        <v>11322036</v>
      </c>
      <c r="Y99" s="426">
        <f ca="1">IFERROR(W99/X99,0)</f>
        <v>0.91123875599759618</v>
      </c>
      <c r="Z99" s="268">
        <f ca="1">SUM(Z82:Z88,Z89:Z98)</f>
        <v>10838142</v>
      </c>
      <c r="AA99" s="270">
        <f t="shared" ref="AA99" ca="1" si="339">IFERROR(Z99/X99,0)</f>
        <v>0.95726086721504855</v>
      </c>
      <c r="AB99" s="265">
        <f>SUM(AB82:AB88,AB89:AB98)</f>
        <v>9443644</v>
      </c>
      <c r="AC99" s="265">
        <f ca="1">SUM(AC82:AC88,AC89:AC98)</f>
        <v>10448932</v>
      </c>
      <c r="AD99" s="426">
        <f ca="1">IFERROR(AB99/AC99,0)</f>
        <v>0.90379035867014923</v>
      </c>
      <c r="AE99" s="268">
        <f ca="1">SUM(AE82:AE88,AE89:AE98)</f>
        <v>9885031</v>
      </c>
      <c r="AF99" s="270">
        <f t="shared" ref="AF99" ca="1" si="340">IFERROR(AE99/AC99,0)</f>
        <v>0.9460326663050348</v>
      </c>
      <c r="AG99" s="265">
        <f>SUM(AG82:AG88,AG89:AG98)</f>
        <v>11256561</v>
      </c>
      <c r="AH99" s="265">
        <f ca="1">SUM(AH82:AH88,AH89:AH98)</f>
        <v>12317619</v>
      </c>
      <c r="AI99" s="426">
        <f ca="1">IFERROR(AG99/AH99,0)</f>
        <v>0.91385851437684507</v>
      </c>
      <c r="AJ99" s="268">
        <f ca="1">SUM(AJ82:AJ88,AJ89:AJ98)</f>
        <v>11653891</v>
      </c>
      <c r="AK99" s="270">
        <f t="shared" ref="AK99" ca="1" si="341">IFERROR(AJ99/AH99,0)</f>
        <v>0.94611556015817666</v>
      </c>
      <c r="AL99" s="265">
        <f>SUM(AL82:AL88,AL89:AL98)</f>
        <v>6656410</v>
      </c>
      <c r="AM99" s="265">
        <f ca="1">SUM(AM82:AM88,AM89:AM98)</f>
        <v>34088587</v>
      </c>
      <c r="AN99" s="426">
        <f ca="1">IFERROR(AL99/AM99,0)</f>
        <v>0.19526799394765174</v>
      </c>
      <c r="AO99" s="268">
        <f ca="1">SUM(AO82:AO88,AO89:AO98)</f>
        <v>32377064</v>
      </c>
      <c r="AP99" s="270">
        <f t="shared" ref="AP99" ca="1" si="342">IFERROR(AO99/AM99,0)</f>
        <v>0.94979190542570746</v>
      </c>
      <c r="AQ99" s="265">
        <f>SUM(AQ82:AQ88,AQ89:AQ98)</f>
        <v>6685041</v>
      </c>
      <c r="AR99" s="265">
        <f ca="1">SUM(AR82:AR88,AR89:AR98)</f>
        <v>7461291</v>
      </c>
      <c r="AS99" s="267">
        <f ca="1">IFERROR(AQ99/AR99,0)</f>
        <v>0.89596304446509323</v>
      </c>
      <c r="AT99" s="268">
        <f ca="1">SUM(AT82:AT88,AT89:AT98)</f>
        <v>7257794</v>
      </c>
      <c r="AU99" s="269">
        <f t="shared" ref="AU99" ca="1" si="343">IFERROR(AT99/AR99,0)</f>
        <v>0.97272630165476726</v>
      </c>
      <c r="AV99" s="265">
        <f>SUM(AV82:AV88,AV89:AV98)</f>
        <v>9413788</v>
      </c>
      <c r="AW99" s="265">
        <f ca="1">SUM(AW82:AW88,AW89:AW98)</f>
        <v>10465733</v>
      </c>
      <c r="AX99" s="267">
        <f ca="1">IFERROR(AV99/AW99,0)</f>
        <v>0.8994867344695302</v>
      </c>
      <c r="AY99" s="268">
        <f ca="1">SUM(AY82:AY88,AY89:AY98)</f>
        <v>9940938</v>
      </c>
      <c r="AZ99" s="269">
        <f t="shared" ref="AZ99" ca="1" si="344">IFERROR(AY99/AW99,0)</f>
        <v>0.94985587727109033</v>
      </c>
      <c r="BA99" s="265">
        <f>SUM(BA82:BA88,BA89:BA98)</f>
        <v>9494007</v>
      </c>
      <c r="BB99" s="265">
        <f ca="1">SUM(BB82:BB88,BB89:BB98)</f>
        <v>10203222</v>
      </c>
      <c r="BC99" s="267">
        <f ca="1">IFERROR(BA99/BB99,0)</f>
        <v>0.9304910742900625</v>
      </c>
      <c r="BD99" s="268">
        <f ca="1">SUM(BD82:BD88,BD89:BD98)</f>
        <v>10024296</v>
      </c>
      <c r="BE99" s="269">
        <f t="shared" ref="BE99" ca="1" si="345">IFERROR(BD99/BB99,0)</f>
        <v>0.98246377467823398</v>
      </c>
      <c r="BF99" s="265">
        <f>SUM(BF82:BF88,BF89:BF98)</f>
        <v>5658905</v>
      </c>
      <c r="BG99" s="265">
        <f ca="1">SUM(BG82:BG88,BG89:BG98)</f>
        <v>28130246</v>
      </c>
      <c r="BH99" s="267">
        <f ca="1">IFERROR(BF99/BG99,0)</f>
        <v>0.20116798836384153</v>
      </c>
      <c r="BI99" s="268">
        <f ca="1">SUM(BI82:BI88,BI89:BI98)</f>
        <v>27223028</v>
      </c>
      <c r="BJ99" s="269">
        <f t="shared" ref="BJ99" ca="1" si="346">IFERROR(BI99/BG99,0)</f>
        <v>0.96774937552981233</v>
      </c>
      <c r="BK99" s="265">
        <f>SUM(BK82:BK88,BK89:BK98)</f>
        <v>11119443</v>
      </c>
      <c r="BL99" s="265">
        <f ca="1">SUM(BL82:BL88,BL89:BL98)</f>
        <v>12111436</v>
      </c>
      <c r="BM99" s="267">
        <f ca="1">IFERROR(BK99/BL99,0)</f>
        <v>0.91809451827182176</v>
      </c>
      <c r="BN99" s="268">
        <f ca="1">SUM(BN82:BN88,BN89:BN98)</f>
        <v>11625869</v>
      </c>
      <c r="BO99" s="269">
        <f t="shared" ref="BO99" ca="1" si="347">IFERROR(BN99/BL99,0)</f>
        <v>0.95990838741169915</v>
      </c>
      <c r="BP99" s="265">
        <f>SUM(BP82:BP88,BP89:BP98)</f>
        <v>11038428</v>
      </c>
      <c r="BQ99" s="265">
        <f ca="1">SUM(BQ82:BQ88,BQ89:BQ98)</f>
        <v>11909061</v>
      </c>
      <c r="BR99" s="267">
        <f ca="1">IFERROR(BP99/BQ99,0)</f>
        <v>0.92689322860971157</v>
      </c>
      <c r="BS99" s="268">
        <f ca="1">SUM(BS82:BS88,BS89:BS98)</f>
        <v>11495646</v>
      </c>
      <c r="BT99" s="269">
        <f t="shared" ref="BT99" ca="1" si="348">IFERROR(BS99/BQ99,0)</f>
        <v>0.96528567617547678</v>
      </c>
      <c r="BU99" s="265">
        <f>SUM(BU82:BU88,BU89:BU98)</f>
        <v>8496192</v>
      </c>
      <c r="BV99" s="265">
        <f ca="1">SUM(BV82:BV88,BV89:BV98)</f>
        <v>9349111</v>
      </c>
      <c r="BW99" s="267">
        <f ca="1">IFERROR(BU99/BV99,0)</f>
        <v>0.90877004241365833</v>
      </c>
      <c r="BX99" s="268">
        <f ca="1">SUM(BX82:BX88,BX89:BX98)</f>
        <v>9041030</v>
      </c>
      <c r="BY99" s="269">
        <f t="shared" ref="BY99" ca="1" si="349">IFERROR(BX99/BV99,0)</f>
        <v>0.96704702725210989</v>
      </c>
      <c r="BZ99" s="265">
        <f>SUM(BZ82:BZ88,BZ89:BZ98)</f>
        <v>5681508</v>
      </c>
      <c r="CA99" s="265">
        <f ca="1">SUM(CA82:CA88,CA89:CA98)</f>
        <v>33369608</v>
      </c>
      <c r="CB99" s="267">
        <f ca="1">IFERROR(BZ99/CA99,0)</f>
        <v>0.17025995630515048</v>
      </c>
      <c r="CC99" s="268">
        <f ca="1">SUM(CC82:CC88,CC89:CC98)</f>
        <v>32162545</v>
      </c>
      <c r="CD99" s="270">
        <f t="shared" ref="CD99" ca="1" si="350">IFERROR(CC99/CA99,0)</f>
        <v>0.96382747438927063</v>
      </c>
      <c r="CE99" s="265">
        <f>SUM(CE82:CE88,CE89:CE98)</f>
        <v>4860433</v>
      </c>
      <c r="CF99" s="265">
        <f ca="1">SUM(CF82:CF88,CF89:CF98)</f>
        <v>127368142</v>
      </c>
      <c r="CG99" s="267">
        <f ca="1">IFERROR(CE99/CF99,0)</f>
        <v>3.8160507986369149E-2</v>
      </c>
      <c r="CH99" s="268">
        <f ca="1">SUM(CH82:CH88,CH89:CH98)</f>
        <v>122083919</v>
      </c>
      <c r="CI99" s="271">
        <f t="shared" ref="CI99" ca="1" si="351">IFERROR(CH99/CF99,0)</f>
        <v>0.95851220786434965</v>
      </c>
      <c r="CJ99" s="263"/>
    </row>
    <row r="102" spans="1:88" s="7" customFormat="1" ht="29.25" customHeight="1" thickBot="1">
      <c r="A102" s="8" t="s">
        <v>113</v>
      </c>
      <c r="B102" s="8"/>
      <c r="C102" s="510" t="s">
        <v>16</v>
      </c>
      <c r="D102" s="496"/>
      <c r="E102" s="496"/>
      <c r="F102" s="496"/>
      <c r="G102" s="497"/>
      <c r="H102" s="498" t="s">
        <v>22</v>
      </c>
      <c r="I102" s="499"/>
      <c r="J102" s="499"/>
      <c r="K102" s="499"/>
      <c r="L102" s="511"/>
      <c r="M102" s="510" t="s">
        <v>23</v>
      </c>
      <c r="N102" s="496"/>
      <c r="O102" s="496"/>
      <c r="P102" s="496"/>
      <c r="Q102" s="497"/>
      <c r="R102" s="490" t="s">
        <v>24</v>
      </c>
      <c r="S102" s="491"/>
      <c r="T102" s="491"/>
      <c r="U102" s="491"/>
      <c r="V102" s="492"/>
      <c r="W102" s="495" t="s">
        <v>10</v>
      </c>
      <c r="X102" s="496"/>
      <c r="Y102" s="496"/>
      <c r="Z102" s="496"/>
      <c r="AA102" s="497"/>
      <c r="AB102" s="498" t="s">
        <v>9</v>
      </c>
      <c r="AC102" s="499"/>
      <c r="AD102" s="499"/>
      <c r="AE102" s="499"/>
      <c r="AF102" s="500"/>
      <c r="AG102" s="495" t="s">
        <v>15</v>
      </c>
      <c r="AH102" s="496"/>
      <c r="AI102" s="496"/>
      <c r="AJ102" s="496"/>
      <c r="AK102" s="497"/>
      <c r="AL102" s="490" t="s">
        <v>25</v>
      </c>
      <c r="AM102" s="491"/>
      <c r="AN102" s="491"/>
      <c r="AO102" s="491"/>
      <c r="AP102" s="492"/>
      <c r="AQ102" s="495" t="s">
        <v>8</v>
      </c>
      <c r="AR102" s="496"/>
      <c r="AS102" s="496"/>
      <c r="AT102" s="496"/>
      <c r="AU102" s="497"/>
      <c r="AV102" s="498" t="s">
        <v>12</v>
      </c>
      <c r="AW102" s="499"/>
      <c r="AX102" s="499"/>
      <c r="AY102" s="499"/>
      <c r="AZ102" s="500"/>
      <c r="BA102" s="495" t="s">
        <v>14</v>
      </c>
      <c r="BB102" s="496"/>
      <c r="BC102" s="496"/>
      <c r="BD102" s="496"/>
      <c r="BE102" s="497"/>
      <c r="BF102" s="490" t="s">
        <v>26</v>
      </c>
      <c r="BG102" s="491"/>
      <c r="BH102" s="491"/>
      <c r="BI102" s="491"/>
      <c r="BJ102" s="492"/>
      <c r="BK102" s="495" t="s">
        <v>27</v>
      </c>
      <c r="BL102" s="496"/>
      <c r="BM102" s="496"/>
      <c r="BN102" s="496"/>
      <c r="BO102" s="497"/>
      <c r="BP102" s="498" t="s">
        <v>17</v>
      </c>
      <c r="BQ102" s="499"/>
      <c r="BR102" s="499"/>
      <c r="BS102" s="499"/>
      <c r="BT102" s="500"/>
      <c r="BU102" s="495" t="s">
        <v>28</v>
      </c>
      <c r="BV102" s="496"/>
      <c r="BW102" s="496"/>
      <c r="BX102" s="496"/>
      <c r="BY102" s="497"/>
      <c r="BZ102" s="490" t="s">
        <v>29</v>
      </c>
      <c r="CA102" s="491"/>
      <c r="CB102" s="491"/>
      <c r="CC102" s="491"/>
      <c r="CD102" s="492"/>
      <c r="CE102" s="493">
        <v>2021</v>
      </c>
      <c r="CF102" s="494"/>
      <c r="CG102" s="494"/>
      <c r="CH102" s="494"/>
      <c r="CI102" s="494"/>
    </row>
    <row r="103" spans="1:88" s="59" customFormat="1" ht="13.15">
      <c r="A103" s="58"/>
      <c r="B103" s="58"/>
      <c r="C103" s="259" t="s">
        <v>114</v>
      </c>
      <c r="D103" s="260" t="s">
        <v>81</v>
      </c>
      <c r="E103" s="261" t="s">
        <v>33</v>
      </c>
      <c r="F103" s="125" t="s">
        <v>34</v>
      </c>
      <c r="G103" s="262" t="s">
        <v>35</v>
      </c>
      <c r="H103" s="259" t="s">
        <v>114</v>
      </c>
      <c r="I103" s="260" t="s">
        <v>81</v>
      </c>
      <c r="J103" s="261" t="s">
        <v>33</v>
      </c>
      <c r="K103" s="261" t="s">
        <v>34</v>
      </c>
      <c r="L103" s="262" t="s">
        <v>35</v>
      </c>
      <c r="M103" s="259" t="s">
        <v>114</v>
      </c>
      <c r="N103" s="260" t="s">
        <v>81</v>
      </c>
      <c r="O103" s="261" t="s">
        <v>33</v>
      </c>
      <c r="P103" s="261" t="s">
        <v>34</v>
      </c>
      <c r="Q103" s="262" t="s">
        <v>35</v>
      </c>
      <c r="R103" s="259" t="s">
        <v>114</v>
      </c>
      <c r="S103" s="260" t="s">
        <v>81</v>
      </c>
      <c r="T103" s="261" t="s">
        <v>33</v>
      </c>
      <c r="U103" s="261" t="s">
        <v>34</v>
      </c>
      <c r="V103" s="262" t="s">
        <v>35</v>
      </c>
      <c r="W103" s="259" t="s">
        <v>114</v>
      </c>
      <c r="X103" s="260" t="s">
        <v>81</v>
      </c>
      <c r="Y103" s="170" t="s">
        <v>33</v>
      </c>
      <c r="Z103" s="261" t="s">
        <v>34</v>
      </c>
      <c r="AA103" s="136" t="s">
        <v>35</v>
      </c>
      <c r="AB103" s="259" t="s">
        <v>114</v>
      </c>
      <c r="AC103" s="260" t="s">
        <v>81</v>
      </c>
      <c r="AD103" s="170" t="s">
        <v>33</v>
      </c>
      <c r="AE103" s="261" t="s">
        <v>34</v>
      </c>
      <c r="AF103" s="136" t="s">
        <v>35</v>
      </c>
      <c r="AG103" s="259" t="s">
        <v>114</v>
      </c>
      <c r="AH103" s="260" t="s">
        <v>81</v>
      </c>
      <c r="AI103" s="170" t="s">
        <v>33</v>
      </c>
      <c r="AJ103" s="261" t="s">
        <v>34</v>
      </c>
      <c r="AK103" s="136" t="s">
        <v>35</v>
      </c>
      <c r="AL103" s="259" t="s">
        <v>114</v>
      </c>
      <c r="AM103" s="260" t="s">
        <v>81</v>
      </c>
      <c r="AN103" s="170" t="s">
        <v>33</v>
      </c>
      <c r="AO103" s="261" t="s">
        <v>34</v>
      </c>
      <c r="AP103" s="136" t="s">
        <v>35</v>
      </c>
      <c r="AQ103" s="259" t="s">
        <v>114</v>
      </c>
      <c r="AR103" s="260" t="s">
        <v>81</v>
      </c>
      <c r="AS103" s="261" t="s">
        <v>33</v>
      </c>
      <c r="AT103" s="261" t="s">
        <v>34</v>
      </c>
      <c r="AU103" s="262" t="s">
        <v>35</v>
      </c>
      <c r="AV103" s="259" t="s">
        <v>114</v>
      </c>
      <c r="AW103" s="260" t="s">
        <v>81</v>
      </c>
      <c r="AX103" s="261" t="s">
        <v>33</v>
      </c>
      <c r="AY103" s="261" t="s">
        <v>34</v>
      </c>
      <c r="AZ103" s="262" t="s">
        <v>35</v>
      </c>
      <c r="BA103" s="259" t="s">
        <v>114</v>
      </c>
      <c r="BB103" s="260" t="s">
        <v>81</v>
      </c>
      <c r="BC103" s="261" t="s">
        <v>33</v>
      </c>
      <c r="BD103" s="261" t="s">
        <v>34</v>
      </c>
      <c r="BE103" s="262" t="s">
        <v>35</v>
      </c>
      <c r="BF103" s="259" t="s">
        <v>114</v>
      </c>
      <c r="BG103" s="260" t="s">
        <v>81</v>
      </c>
      <c r="BH103" s="261" t="s">
        <v>33</v>
      </c>
      <c r="BI103" s="261" t="s">
        <v>34</v>
      </c>
      <c r="BJ103" s="262" t="s">
        <v>35</v>
      </c>
      <c r="BK103" s="259" t="s">
        <v>114</v>
      </c>
      <c r="BL103" s="260" t="s">
        <v>81</v>
      </c>
      <c r="BM103" s="261" t="s">
        <v>33</v>
      </c>
      <c r="BN103" s="261" t="s">
        <v>34</v>
      </c>
      <c r="BO103" s="262" t="s">
        <v>35</v>
      </c>
      <c r="BP103" s="259" t="s">
        <v>114</v>
      </c>
      <c r="BQ103" s="260" t="s">
        <v>81</v>
      </c>
      <c r="BR103" s="261" t="s">
        <v>33</v>
      </c>
      <c r="BS103" s="261" t="s">
        <v>34</v>
      </c>
      <c r="BT103" s="262" t="s">
        <v>35</v>
      </c>
      <c r="BU103" s="259" t="s">
        <v>114</v>
      </c>
      <c r="BV103" s="260" t="s">
        <v>81</v>
      </c>
      <c r="BW103" s="261" t="s">
        <v>33</v>
      </c>
      <c r="BX103" s="261" t="s">
        <v>34</v>
      </c>
      <c r="BY103" s="262" t="s">
        <v>35</v>
      </c>
      <c r="BZ103" s="259" t="s">
        <v>80</v>
      </c>
      <c r="CA103" s="261" t="s">
        <v>81</v>
      </c>
      <c r="CB103" s="261" t="s">
        <v>33</v>
      </c>
      <c r="CC103" s="261" t="s">
        <v>34</v>
      </c>
      <c r="CD103" s="262" t="s">
        <v>35</v>
      </c>
      <c r="CE103" s="259" t="s">
        <v>80</v>
      </c>
      <c r="CF103" s="260" t="s">
        <v>81</v>
      </c>
      <c r="CG103" s="261" t="s">
        <v>33</v>
      </c>
      <c r="CH103" s="261" t="s">
        <v>34</v>
      </c>
      <c r="CI103" s="262" t="s">
        <v>35</v>
      </c>
    </row>
    <row r="104" spans="1:88" s="105" customFormat="1" ht="13.15">
      <c r="A104" s="34" t="s">
        <v>115</v>
      </c>
      <c r="B104" s="285"/>
      <c r="C104" s="107">
        <f>'Compulse SaaS Detail'!D15</f>
        <v>6820</v>
      </c>
      <c r="D104" s="80">
        <f t="shared" ref="D104:D106" ca="1" si="352">C104+RANDBETWEEN(10000,100000)</f>
        <v>43017</v>
      </c>
      <c r="E104" s="130">
        <f t="shared" ref="E104:E106" ca="1" si="353">IFERROR(C104/D104,"")</f>
        <v>0.15854197177859916</v>
      </c>
      <c r="F104" s="81">
        <f t="shared" ref="F104:F106" ca="1" si="354">C104+RANDBETWEEN(5000,50000)</f>
        <v>33263</v>
      </c>
      <c r="G104" s="130">
        <f t="shared" ref="G104:G106" ca="1" si="355">IFERROR(F104/D104,"")</f>
        <v>0.77325243508380404</v>
      </c>
      <c r="H104" s="108">
        <f>'Compulse SaaS Detail'!I15</f>
        <v>21838</v>
      </c>
      <c r="I104" s="98">
        <f t="shared" ref="I104:I106" ca="1" si="356">H104+RANDBETWEEN(10000,100000)</f>
        <v>96127</v>
      </c>
      <c r="J104" s="149">
        <f t="shared" ref="J104:J106" ca="1" si="357">IFERROR(H104/I104,"")</f>
        <v>0.22717862827301383</v>
      </c>
      <c r="K104" s="81">
        <f t="shared" ref="K104:K106" ca="1" si="358">H104+RANDBETWEEN(5000,50000)</f>
        <v>33349</v>
      </c>
      <c r="L104" s="145">
        <f t="shared" ref="L104:L106" ca="1" si="359">IFERROR(K104/I104,"")</f>
        <v>0.34692646186815357</v>
      </c>
      <c r="M104" s="107">
        <f>'Compulse SaaS Detail'!N15</f>
        <v>30964</v>
      </c>
      <c r="N104" s="80">
        <f t="shared" ref="N104:N106" ca="1" si="360">M104+RANDBETWEEN(10000,100000)</f>
        <v>54418</v>
      </c>
      <c r="O104" s="115">
        <f t="shared" ref="O104:O106" ca="1" si="361">IFERROR(M104/N104,"")</f>
        <v>0.56900290345106397</v>
      </c>
      <c r="P104" s="81">
        <f t="shared" ref="P104:P106" ca="1" si="362">M104+RANDBETWEEN(5000,50000)</f>
        <v>76513</v>
      </c>
      <c r="Q104" s="130">
        <f t="shared" ref="Q104:Q106" ca="1" si="363">IFERROR(P104/N104,"")</f>
        <v>1.4060237421441435</v>
      </c>
      <c r="R104" s="96">
        <f>M104+H104+C104</f>
        <v>59622</v>
      </c>
      <c r="S104" s="96">
        <f ca="1">N104+I104+D104</f>
        <v>193562</v>
      </c>
      <c r="T104" s="167">
        <f t="shared" ref="T104:T106" ca="1" si="364">IFERROR(R104/S104,"")</f>
        <v>0.30802533555139955</v>
      </c>
      <c r="U104" s="163">
        <f ca="1">P104+K104+F104</f>
        <v>143125</v>
      </c>
      <c r="V104" s="167">
        <f t="shared" ref="V104:V106" ca="1" si="365">IFERROR(U104/S104,"")</f>
        <v>0.73942716028972633</v>
      </c>
      <c r="W104" s="107">
        <f>'Compulse SaaS Detail'!X15</f>
        <v>56001</v>
      </c>
      <c r="X104" s="80">
        <f t="shared" ref="X104:X106" ca="1" si="366">W104+RANDBETWEEN(10000,100000)</f>
        <v>152930</v>
      </c>
      <c r="Y104" s="115">
        <f t="shared" ref="Y104:Y106" ca="1" si="367">IFERROR(W104/X104,"")</f>
        <v>0.36618714444517098</v>
      </c>
      <c r="Z104" s="81">
        <f t="shared" ref="Z104:Z106" ca="1" si="368">W104+RANDBETWEEN(5000,50000)</f>
        <v>95615</v>
      </c>
      <c r="AA104" s="130">
        <f t="shared" ref="AA104:AA106" ca="1" si="369">IFERROR(Z104/X104,"")</f>
        <v>0.62522068920421103</v>
      </c>
      <c r="AB104" s="108">
        <f>'Compulse SaaS Detail'!AC15</f>
        <v>50999</v>
      </c>
      <c r="AC104" s="98">
        <f t="shared" ref="AC104:AC106" ca="1" si="370">AB104+RANDBETWEEN(10000,100000)</f>
        <v>143950</v>
      </c>
      <c r="AD104" s="149">
        <f t="shared" ref="AD104:AD106" ca="1" si="371">IFERROR(AB104/AC104,"")</f>
        <v>0.35428273706147967</v>
      </c>
      <c r="AE104" s="81">
        <f t="shared" ref="AE104:AE106" ca="1" si="372">AB104+RANDBETWEEN(5000,50000)</f>
        <v>80097</v>
      </c>
      <c r="AF104" s="145">
        <f t="shared" ref="AF104:AF106" ca="1" si="373">IFERROR(AE104/AC104,"")</f>
        <v>0.55642236887808272</v>
      </c>
      <c r="AG104" s="107">
        <f>'Compulse SaaS Detail'!AH15</f>
        <v>40008</v>
      </c>
      <c r="AH104" s="95">
        <f t="shared" ref="AH104:AH106" ca="1" si="374">AG104+RANDBETWEEN(10000,100000)</f>
        <v>129148</v>
      </c>
      <c r="AI104" s="115">
        <f t="shared" ref="AI104:AI106" ca="1" si="375">IFERROR(AG104/AH104,"")</f>
        <v>0.30978412364109392</v>
      </c>
      <c r="AJ104" s="81">
        <f t="shared" ref="AJ104:AJ106" ca="1" si="376">AG104+RANDBETWEEN(5000,50000)</f>
        <v>55480</v>
      </c>
      <c r="AK104" s="130">
        <f t="shared" ref="AK104:AK106" ca="1" si="377">IFERROR(AJ104/AH104,"")</f>
        <v>0.42958466255768574</v>
      </c>
      <c r="AL104" s="156">
        <f>AG104+AB104+W104</f>
        <v>147008</v>
      </c>
      <c r="AM104" s="176">
        <f ca="1">AH104+AC104+X104</f>
        <v>426028</v>
      </c>
      <c r="AN104" s="167">
        <f t="shared" ref="AN104:AN106" ca="1" si="378">IFERROR(AL104/AM104,"")</f>
        <v>0.34506652144929439</v>
      </c>
      <c r="AO104" s="163">
        <f ca="1">AJ104+AE104+Z104</f>
        <v>231192</v>
      </c>
      <c r="AP104" s="167">
        <f t="shared" ref="AP104:AP106" ca="1" si="379">IFERROR(AO104/AM104,"")</f>
        <v>0.54266855699625371</v>
      </c>
      <c r="AQ104" s="107">
        <f>'Compulse SaaS Detail'!AR15</f>
        <v>47109</v>
      </c>
      <c r="AR104" s="95">
        <f t="shared" ref="AR104:AR106" ca="1" si="380">AQ104+RANDBETWEEN(10000,100000)</f>
        <v>66987</v>
      </c>
      <c r="AS104" s="115">
        <f t="shared" ref="AS104:AS106" ca="1" si="381">IFERROR(AQ104/AR104,"")</f>
        <v>0.70325585561377579</v>
      </c>
      <c r="AT104" s="81">
        <f t="shared" ref="AT104:AT106" ca="1" si="382">AQ104+RANDBETWEEN(5000,50000)</f>
        <v>94369</v>
      </c>
      <c r="AU104" s="130">
        <f t="shared" ref="AU104:AU106" ca="1" si="383">IFERROR(AT104/AR104,"")</f>
        <v>1.4087658799468554</v>
      </c>
      <c r="AV104" s="180">
        <f>'Compulse SaaS Detail'!AW15</f>
        <v>49798</v>
      </c>
      <c r="AW104" s="98">
        <f t="shared" ref="AW104:AW106" ca="1" si="384">AV104+RANDBETWEEN(10000,100000)</f>
        <v>73184</v>
      </c>
      <c r="AX104" s="148">
        <f t="shared" ref="AX104:AX106" ca="1" si="385">IFERROR(AV104/AW104,"")</f>
        <v>0.68044927853082637</v>
      </c>
      <c r="AY104" s="81">
        <f t="shared" ref="AY104:AY106" ca="1" si="386">AV104+RANDBETWEEN(5000,50000)</f>
        <v>87430</v>
      </c>
      <c r="AZ104" s="145">
        <f t="shared" ref="AZ104:AZ106" ca="1" si="387">IFERROR(AY104/AW104,"")</f>
        <v>1.1946600349803236</v>
      </c>
      <c r="BA104" s="107">
        <f>'Compulse SaaS Detail'!BB15</f>
        <v>32462</v>
      </c>
      <c r="BB104" s="95">
        <f t="shared" ref="BB104:BB106" ca="1" si="388">BA104+RANDBETWEEN(10000,100000)</f>
        <v>58586</v>
      </c>
      <c r="BC104" s="115">
        <f t="shared" ref="BC104:BC106" ca="1" si="389">IFERROR(BA104/BB104,"")</f>
        <v>0.55409142115863863</v>
      </c>
      <c r="BD104" s="81">
        <f t="shared" ref="BD104:BD106" ca="1" si="390">BA104+RANDBETWEEN(5000,50000)</f>
        <v>63628</v>
      </c>
      <c r="BE104" s="130">
        <f t="shared" ref="BE104:BE106" ca="1" si="391">IFERROR(BD104/BB104,"")</f>
        <v>1.0860615164032363</v>
      </c>
      <c r="BF104" s="156">
        <f t="shared" ref="BF104:BF106" si="392">AQ104+AV104+BA104</f>
        <v>129369</v>
      </c>
      <c r="BG104" s="183">
        <f ca="1">AR104+AW104+BB104</f>
        <v>198757</v>
      </c>
      <c r="BH104" s="167">
        <f t="shared" ref="BH104:BH106" ca="1" si="393">IFERROR(BF104/BG104,"")</f>
        <v>0.65089028310952568</v>
      </c>
      <c r="BI104" s="186">
        <f ca="1">AT104+AY104+BD104</f>
        <v>245427</v>
      </c>
      <c r="BJ104" s="167">
        <f t="shared" ref="BJ104:BJ106" ca="1" si="394">IFERROR(BI104/BG104,"")</f>
        <v>1.2348093400484008</v>
      </c>
      <c r="BK104" s="107">
        <f>'Compulse SaaS Detail'!BL15</f>
        <v>47003</v>
      </c>
      <c r="BL104" s="95">
        <f t="shared" ref="BL104:BL106" ca="1" si="395">BK104+RANDBETWEEN(10000,100000)</f>
        <v>91184</v>
      </c>
      <c r="BM104" s="115">
        <f t="shared" ref="BM104:BM106" ca="1" si="396">IFERROR(BK104/BL104,"")</f>
        <v>0.51547420600105287</v>
      </c>
      <c r="BN104" s="81">
        <f t="shared" ref="BN104:BN106" ca="1" si="397">BK104+RANDBETWEEN(5000,50000)</f>
        <v>75253</v>
      </c>
      <c r="BO104" s="130">
        <f t="shared" ref="BO104:BO106" ca="1" si="398">IFERROR(BN104/BL104,"")</f>
        <v>0.82528733111072117</v>
      </c>
      <c r="BP104" s="195">
        <f>'Compulse SaaS Detail'!BQ15</f>
        <v>44323</v>
      </c>
      <c r="BQ104" s="98">
        <f t="shared" ref="BQ104:BQ106" ca="1" si="399">BP104+RANDBETWEEN(10000,100000)</f>
        <v>101568</v>
      </c>
      <c r="BR104" s="202">
        <f t="shared" ref="BR104:BR106" ca="1" si="400">IFERROR(BP104/BQ104,"")</f>
        <v>0.43638744486452424</v>
      </c>
      <c r="BS104" s="81">
        <f t="shared" ref="BS104:BS106" ca="1" si="401">BP104+RANDBETWEEN(5000,50000)</f>
        <v>83148</v>
      </c>
      <c r="BT104" s="203">
        <f t="shared" ref="BT104:BT106" ca="1" si="402">IFERROR(BS104/BQ104,"")</f>
        <v>0.81864366729678639</v>
      </c>
      <c r="BU104" s="107">
        <f>'Compulse SaaS Detail'!BV15</f>
        <v>47838</v>
      </c>
      <c r="BV104" s="95">
        <f t="shared" ref="BV104:BV106" ca="1" si="403">BU104+RANDBETWEEN(10000,100000)</f>
        <v>129646</v>
      </c>
      <c r="BW104" s="115">
        <f t="shared" ref="BW104:BW106" ca="1" si="404">IFERROR(BU104/BV104,"")</f>
        <v>0.36898940190981594</v>
      </c>
      <c r="BX104" s="81">
        <f t="shared" ref="BX104:BX106" ca="1" si="405">BU104+RANDBETWEEN(5000,50000)</f>
        <v>97604</v>
      </c>
      <c r="BY104" s="130">
        <f t="shared" ref="BY104:BY106" ca="1" si="406">IFERROR(BX104/BV104,"")</f>
        <v>0.75285006864847348</v>
      </c>
      <c r="BZ104" s="96">
        <f>BK104+BP104+BU104</f>
        <v>139164</v>
      </c>
      <c r="CA104" s="85">
        <f ca="1">BL104+BQ104+BV104</f>
        <v>322398</v>
      </c>
      <c r="CB104" s="167">
        <f t="shared" ref="CB104:CB106" ca="1" si="407">IFERROR(BZ104/CA104,"")</f>
        <v>0.43165280181638843</v>
      </c>
      <c r="CC104" s="198">
        <f t="shared" ref="CC104:CC106" ca="1" si="408">BN104+BS104+BX104</f>
        <v>256005</v>
      </c>
      <c r="CD104" s="167">
        <f t="shared" ref="CD104:CD106" ca="1" si="409">IFERROR(CC104/CA104,"")</f>
        <v>0.79406509965942718</v>
      </c>
      <c r="CE104" s="87">
        <f t="shared" ref="CE104:CE105" si="410">R104+AL104+BF104+BZ104</f>
        <v>475163</v>
      </c>
      <c r="CF104" s="208">
        <f t="shared" ref="CF104:CF105" ca="1" si="411">S104+AM104+BG104+CA104</f>
        <v>1140745</v>
      </c>
      <c r="CG104" s="201">
        <f t="shared" ref="CG104:CG106" ca="1" si="412">IFERROR(CE104/CF104,"")</f>
        <v>0.41653743825307143</v>
      </c>
      <c r="CH104" s="89">
        <f ca="1">U104+AO104+BI104+CC104</f>
        <v>875749</v>
      </c>
      <c r="CI104" s="167">
        <f t="shared" ref="CI104:CI106" ca="1" si="413">IFERROR(CH104/CF104,"")</f>
        <v>0.76769917904527307</v>
      </c>
    </row>
    <row r="105" spans="1:88" s="105" customFormat="1" ht="13.15">
      <c r="A105" s="13" t="s">
        <v>116</v>
      </c>
      <c r="B105" s="285"/>
      <c r="C105" s="107">
        <f>'Compulse Management Fees'!D12</f>
        <v>233699</v>
      </c>
      <c r="D105" s="80">
        <f t="shared" ca="1" si="352"/>
        <v>264202</v>
      </c>
      <c r="E105" s="130">
        <f t="shared" ca="1" si="353"/>
        <v>0.88454667262170616</v>
      </c>
      <c r="F105" s="81">
        <f t="shared" ca="1" si="354"/>
        <v>255046</v>
      </c>
      <c r="G105" s="130">
        <f t="shared" ca="1" si="355"/>
        <v>0.96534469837472847</v>
      </c>
      <c r="H105" s="108">
        <f>'Compulse Management Fees'!I12</f>
        <v>182771</v>
      </c>
      <c r="I105" s="98">
        <f t="shared" ca="1" si="356"/>
        <v>192830</v>
      </c>
      <c r="J105" s="149">
        <f t="shared" ca="1" si="357"/>
        <v>0.94783488046465803</v>
      </c>
      <c r="K105" s="81">
        <f t="shared" ca="1" si="358"/>
        <v>215940</v>
      </c>
      <c r="L105" s="145">
        <f t="shared" ca="1" si="359"/>
        <v>1.1198464969143807</v>
      </c>
      <c r="M105" s="107">
        <f>'Compulse Management Fees'!N12+'Compulse Wholesale'!J15</f>
        <v>382936</v>
      </c>
      <c r="N105" s="80">
        <f t="shared" ca="1" si="360"/>
        <v>426616</v>
      </c>
      <c r="O105" s="115">
        <f t="shared" ca="1" si="361"/>
        <v>0.89761284152493104</v>
      </c>
      <c r="P105" s="81">
        <f t="shared" ca="1" si="362"/>
        <v>389897</v>
      </c>
      <c r="Q105" s="130">
        <f t="shared" ca="1" si="363"/>
        <v>0.91392962289271851</v>
      </c>
      <c r="R105" s="96">
        <f t="shared" ref="R105:S106" si="414">M105+H105+C105</f>
        <v>799406</v>
      </c>
      <c r="S105" s="96">
        <f t="shared" ca="1" si="414"/>
        <v>883648</v>
      </c>
      <c r="T105" s="167">
        <f t="shared" ca="1" si="364"/>
        <v>0.90466565872383575</v>
      </c>
      <c r="U105" s="163">
        <f t="shared" ref="U105:U106" ca="1" si="415">P105+K105+F105</f>
        <v>860883</v>
      </c>
      <c r="V105" s="167">
        <f t="shared" ca="1" si="365"/>
        <v>0.97423747917722892</v>
      </c>
      <c r="W105" s="107">
        <f>'Compulse Management Fees'!X12+'Compulse Wholesale'!P15</f>
        <v>613662</v>
      </c>
      <c r="X105" s="80">
        <f t="shared" ca="1" si="366"/>
        <v>667422</v>
      </c>
      <c r="Y105" s="115">
        <f t="shared" ca="1" si="367"/>
        <v>0.91945126172047076</v>
      </c>
      <c r="Z105" s="81">
        <f t="shared" ca="1" si="368"/>
        <v>632688</v>
      </c>
      <c r="AA105" s="130">
        <f t="shared" ca="1" si="369"/>
        <v>0.94795796362721041</v>
      </c>
      <c r="AB105" s="108">
        <f>'Compulse Management Fees'!AC12+'Compulse Wholesale'!S15</f>
        <v>509526</v>
      </c>
      <c r="AC105" s="98">
        <f t="shared" ca="1" si="370"/>
        <v>555391</v>
      </c>
      <c r="AD105" s="149">
        <f t="shared" ca="1" si="371"/>
        <v>0.91741853937136175</v>
      </c>
      <c r="AE105" s="81">
        <f t="shared" ca="1" si="372"/>
        <v>558548</v>
      </c>
      <c r="AF105" s="145">
        <f t="shared" ca="1" si="373"/>
        <v>1.0056842836848274</v>
      </c>
      <c r="AG105" s="107">
        <f>'Compulse Management Fees'!AH12+'Compulse Wholesale'!V15</f>
        <v>350857</v>
      </c>
      <c r="AH105" s="95">
        <f t="shared" ca="1" si="374"/>
        <v>378673</v>
      </c>
      <c r="AI105" s="115">
        <f t="shared" ca="1" si="375"/>
        <v>0.92654348210725346</v>
      </c>
      <c r="AJ105" s="81">
        <f t="shared" ca="1" si="376"/>
        <v>374535</v>
      </c>
      <c r="AK105" s="130">
        <f t="shared" ca="1" si="377"/>
        <v>0.98907236586712022</v>
      </c>
      <c r="AL105" s="156">
        <f t="shared" ref="AL105:AL106" si="416">AG105+AB105+W105</f>
        <v>1474045</v>
      </c>
      <c r="AM105" s="176">
        <f ca="1">AH105+AC105+X105</f>
        <v>1601486</v>
      </c>
      <c r="AN105" s="167">
        <f t="shared" ca="1" si="378"/>
        <v>0.92042328187695677</v>
      </c>
      <c r="AO105" s="163">
        <f t="shared" ref="AO105:AO106" ca="1" si="417">AJ105+AE105+Z105</f>
        <v>1565771</v>
      </c>
      <c r="AP105" s="167">
        <f t="shared" ca="1" si="379"/>
        <v>0.97769883720494588</v>
      </c>
      <c r="AQ105" s="107">
        <f>'Compulse Management Fees'!AR12+'Compulse Wholesale'!AB15</f>
        <v>459382</v>
      </c>
      <c r="AR105" s="95">
        <f t="shared" ca="1" si="380"/>
        <v>508853</v>
      </c>
      <c r="AS105" s="115">
        <f t="shared" ca="1" si="381"/>
        <v>0.90277938815335668</v>
      </c>
      <c r="AT105" s="81">
        <f t="shared" ca="1" si="382"/>
        <v>507172</v>
      </c>
      <c r="AU105" s="130">
        <f t="shared" ca="1" si="383"/>
        <v>0.99669649191416776</v>
      </c>
      <c r="AV105" s="180">
        <f>'Compulse Management Fees'!AW12+'Compulse Wholesale'!AE15</f>
        <v>558018</v>
      </c>
      <c r="AW105" s="98">
        <f t="shared" ca="1" si="384"/>
        <v>611053</v>
      </c>
      <c r="AX105" s="148">
        <f t="shared" ca="1" si="385"/>
        <v>0.91320720133932731</v>
      </c>
      <c r="AY105" s="81">
        <f t="shared" ca="1" si="386"/>
        <v>577510</v>
      </c>
      <c r="AZ105" s="145">
        <f t="shared" ca="1" si="387"/>
        <v>0.94510623464740373</v>
      </c>
      <c r="BA105" s="107">
        <f>'Compulse Management Fees'!BB12+'Compulse Wholesale'!AH15</f>
        <v>349144</v>
      </c>
      <c r="BB105" s="95">
        <f t="shared" ca="1" si="388"/>
        <v>360041</v>
      </c>
      <c r="BC105" s="115">
        <f t="shared" ca="1" si="389"/>
        <v>0.96973400251638009</v>
      </c>
      <c r="BD105" s="81">
        <f t="shared" ca="1" si="390"/>
        <v>394676</v>
      </c>
      <c r="BE105" s="130">
        <f t="shared" ca="1" si="391"/>
        <v>1.0961973775208935</v>
      </c>
      <c r="BF105" s="156">
        <f t="shared" si="392"/>
        <v>1366544</v>
      </c>
      <c r="BG105" s="183">
        <f ca="1">AR105+AW105+BB105</f>
        <v>1479947</v>
      </c>
      <c r="BH105" s="167">
        <f t="shared" ca="1" si="393"/>
        <v>0.92337360729809914</v>
      </c>
      <c r="BI105" s="186">
        <f ca="1">AT105+AY105+BD105</f>
        <v>1479358</v>
      </c>
      <c r="BJ105" s="167">
        <f t="shared" ca="1" si="394"/>
        <v>0.99960201277478178</v>
      </c>
      <c r="BK105" s="107">
        <f>'Compulse Management Fees'!BL12+'Compulse Wholesale'!AN15</f>
        <v>545034</v>
      </c>
      <c r="BL105" s="95">
        <f t="shared" ca="1" si="395"/>
        <v>560739</v>
      </c>
      <c r="BM105" s="115">
        <f t="shared" ca="1" si="396"/>
        <v>0.97199231728130198</v>
      </c>
      <c r="BN105" s="81">
        <f t="shared" ca="1" si="397"/>
        <v>592612</v>
      </c>
      <c r="BO105" s="130">
        <f t="shared" ca="1" si="398"/>
        <v>1.0568410615277339</v>
      </c>
      <c r="BP105" s="195">
        <f>'Compulse Management Fees'!BQ12+'Compulse Wholesale'!AQ15</f>
        <v>641274</v>
      </c>
      <c r="BQ105" s="98">
        <f t="shared" ca="1" si="399"/>
        <v>679638</v>
      </c>
      <c r="BR105" s="202">
        <f t="shared" ca="1" si="400"/>
        <v>0.94355230284357261</v>
      </c>
      <c r="BS105" s="81">
        <f t="shared" ca="1" si="401"/>
        <v>675914</v>
      </c>
      <c r="BT105" s="203">
        <f t="shared" ca="1" si="402"/>
        <v>0.99452061244368328</v>
      </c>
      <c r="BU105" s="107">
        <f>'Compulse Management Fees'!BV12+'Compulse Wholesale'!AT15</f>
        <v>517656</v>
      </c>
      <c r="BV105" s="95">
        <f t="shared" ca="1" si="403"/>
        <v>605556</v>
      </c>
      <c r="BW105" s="115">
        <f t="shared" ca="1" si="404"/>
        <v>0.85484414323365632</v>
      </c>
      <c r="BX105" s="81">
        <f t="shared" ca="1" si="405"/>
        <v>540726</v>
      </c>
      <c r="BY105" s="130">
        <f t="shared" ca="1" si="406"/>
        <v>0.89294136297881621</v>
      </c>
      <c r="BZ105" s="96">
        <f t="shared" ref="BZ105:BZ106" si="418">BK105+BP105+BU105</f>
        <v>1703964</v>
      </c>
      <c r="CA105" s="85">
        <f ca="1">BL105+BQ105+BV105</f>
        <v>1845933</v>
      </c>
      <c r="CB105" s="167">
        <f t="shared" ca="1" si="407"/>
        <v>0.92309092475187349</v>
      </c>
      <c r="CC105" s="198">
        <f t="shared" ca="1" si="408"/>
        <v>1809252</v>
      </c>
      <c r="CD105" s="167">
        <f t="shared" ca="1" si="409"/>
        <v>0.98012874790146776</v>
      </c>
      <c r="CE105" s="87">
        <f t="shared" si="410"/>
        <v>5343959</v>
      </c>
      <c r="CF105" s="208">
        <f t="shared" ca="1" si="411"/>
        <v>5811014</v>
      </c>
      <c r="CG105" s="201">
        <f t="shared" ca="1" si="412"/>
        <v>0.91962590349980222</v>
      </c>
      <c r="CH105" s="89">
        <f t="shared" ref="CH105:CH106" ca="1" si="419">U105+AO105+BI105+CC105</f>
        <v>5715264</v>
      </c>
      <c r="CI105" s="167">
        <f t="shared" ca="1" si="413"/>
        <v>0.98352266919336284</v>
      </c>
    </row>
    <row r="106" spans="1:88" s="105" customFormat="1" ht="13.15">
      <c r="A106" s="34" t="s">
        <v>117</v>
      </c>
      <c r="B106" s="285"/>
      <c r="C106" s="107">
        <f>'Compulse Media_Data Pass Thru'!D12+'Compulse Media_Data Pass Thru'!E12</f>
        <v>652196</v>
      </c>
      <c r="D106" s="80">
        <f t="shared" ca="1" si="352"/>
        <v>685584</v>
      </c>
      <c r="E106" s="130">
        <f t="shared" ca="1" si="353"/>
        <v>0.95129991365026023</v>
      </c>
      <c r="F106" s="81">
        <f t="shared" ca="1" si="354"/>
        <v>689670</v>
      </c>
      <c r="G106" s="130">
        <f t="shared" ca="1" si="355"/>
        <v>1.0059598823776517</v>
      </c>
      <c r="H106" s="108">
        <f>'Compulse Media_Data Pass Thru'!J12+'Compulse Media_Data Pass Thru'!K12</f>
        <v>626096</v>
      </c>
      <c r="I106" s="98">
        <f t="shared" ca="1" si="356"/>
        <v>688287</v>
      </c>
      <c r="J106" s="149">
        <f t="shared" ca="1" si="357"/>
        <v>0.90964379684637364</v>
      </c>
      <c r="K106" s="81">
        <f t="shared" ca="1" si="358"/>
        <v>669619</v>
      </c>
      <c r="L106" s="145">
        <f t="shared" ca="1" si="359"/>
        <v>0.97287759321329614</v>
      </c>
      <c r="M106" s="107">
        <f>'Compulse Media_Data Pass Thru'!P12+'Compulse Media_Data Pass Thru'!Q12</f>
        <v>676759</v>
      </c>
      <c r="N106" s="80">
        <f t="shared" ca="1" si="360"/>
        <v>737780</v>
      </c>
      <c r="O106" s="115">
        <f t="shared" ca="1" si="361"/>
        <v>0.91729106237631819</v>
      </c>
      <c r="P106" s="81">
        <f t="shared" ca="1" si="362"/>
        <v>723531</v>
      </c>
      <c r="Q106" s="130">
        <f t="shared" ca="1" si="363"/>
        <v>0.98068665455826942</v>
      </c>
      <c r="R106" s="96">
        <f t="shared" si="414"/>
        <v>1955051</v>
      </c>
      <c r="S106" s="96">
        <f t="shared" ca="1" si="414"/>
        <v>2111651</v>
      </c>
      <c r="T106" s="167">
        <f t="shared" ca="1" si="364"/>
        <v>0.925840018071168</v>
      </c>
      <c r="U106" s="163">
        <f t="shared" ca="1" si="415"/>
        <v>2082820</v>
      </c>
      <c r="V106" s="167">
        <f t="shared" ca="1" si="365"/>
        <v>0.98634670217758524</v>
      </c>
      <c r="W106" s="107">
        <f>'Compulse Media_Data Pass Thru'!AB12+'Compulse Media_Data Pass Thru'!AC12</f>
        <v>665876</v>
      </c>
      <c r="X106" s="80">
        <f t="shared" ca="1" si="366"/>
        <v>705564</v>
      </c>
      <c r="Y106" s="115">
        <f t="shared" ca="1" si="367"/>
        <v>0.94374996456735316</v>
      </c>
      <c r="Z106" s="81">
        <f t="shared" ca="1" si="368"/>
        <v>674228</v>
      </c>
      <c r="AA106" s="130">
        <f t="shared" ca="1" si="369"/>
        <v>0.95558730320707974</v>
      </c>
      <c r="AB106" s="108">
        <f>'Compulse Media_Data Pass Thru'!AH12+'Compulse Media_Data Pass Thru'!AI12</f>
        <v>570520</v>
      </c>
      <c r="AC106" s="98">
        <f t="shared" ca="1" si="370"/>
        <v>658738</v>
      </c>
      <c r="AD106" s="149">
        <f t="shared" ca="1" si="371"/>
        <v>0.86608029292374211</v>
      </c>
      <c r="AE106" s="81">
        <f t="shared" ca="1" si="372"/>
        <v>583205</v>
      </c>
      <c r="AF106" s="145">
        <f t="shared" ca="1" si="373"/>
        <v>0.88533681068953063</v>
      </c>
      <c r="AG106" s="107">
        <f>'Compulse Media_Data Pass Thru'!AN12+'Compulse Media_Data Pass Thru'!AO12</f>
        <v>642247</v>
      </c>
      <c r="AH106" s="95">
        <f t="shared" ca="1" si="374"/>
        <v>720780</v>
      </c>
      <c r="AI106" s="115">
        <f t="shared" ca="1" si="375"/>
        <v>0.89104442409611806</v>
      </c>
      <c r="AJ106" s="81">
        <f t="shared" ca="1" si="376"/>
        <v>659200</v>
      </c>
      <c r="AK106" s="130">
        <f t="shared" ca="1" si="377"/>
        <v>0.91456477704708783</v>
      </c>
      <c r="AL106" s="156">
        <f t="shared" si="416"/>
        <v>1878643</v>
      </c>
      <c r="AM106" s="176">
        <f ca="1">AH106+AC106+X106</f>
        <v>2085082</v>
      </c>
      <c r="AN106" s="167">
        <f t="shared" ca="1" si="378"/>
        <v>0.90099238303337714</v>
      </c>
      <c r="AO106" s="163">
        <f t="shared" ca="1" si="417"/>
        <v>1916633</v>
      </c>
      <c r="AP106" s="167">
        <f t="shared" ca="1" si="379"/>
        <v>0.91921228997228888</v>
      </c>
      <c r="AQ106" s="107">
        <f>'Compulse Media_Data Pass Thru'!AZ12+'Compulse Media_Data Pass Thru'!BA12</f>
        <v>684675</v>
      </c>
      <c r="AR106" s="95">
        <f t="shared" ca="1" si="380"/>
        <v>715618</v>
      </c>
      <c r="AS106" s="115">
        <f t="shared" ca="1" si="381"/>
        <v>0.95676045040789914</v>
      </c>
      <c r="AT106" s="81">
        <f t="shared" ca="1" si="382"/>
        <v>727780</v>
      </c>
      <c r="AU106" s="130">
        <f t="shared" ca="1" si="383"/>
        <v>1.0169951007381033</v>
      </c>
      <c r="AV106" s="180">
        <f>'Compulse Media_Data Pass Thru'!BF12+'Compulse Media_Data Pass Thru'!BG12</f>
        <v>757041</v>
      </c>
      <c r="AW106" s="98">
        <f t="shared" ca="1" si="384"/>
        <v>843956</v>
      </c>
      <c r="AX106" s="148">
        <f t="shared" ca="1" si="385"/>
        <v>0.8970147732820194</v>
      </c>
      <c r="AY106" s="81">
        <f t="shared" ca="1" si="386"/>
        <v>792955</v>
      </c>
      <c r="AZ106" s="145">
        <f t="shared" ca="1" si="387"/>
        <v>0.93956912445672525</v>
      </c>
      <c r="BA106" s="107">
        <f>'Compulse Media_Data Pass Thru'!BL12+'Compulse Media_Data Pass Thru'!BM12</f>
        <v>624679</v>
      </c>
      <c r="BB106" s="95">
        <f t="shared" ca="1" si="388"/>
        <v>671598</v>
      </c>
      <c r="BC106" s="115">
        <f t="shared" ca="1" si="389"/>
        <v>0.93013826723724613</v>
      </c>
      <c r="BD106" s="81">
        <f t="shared" ca="1" si="390"/>
        <v>654467</v>
      </c>
      <c r="BE106" s="130">
        <f t="shared" ca="1" si="391"/>
        <v>0.97449218133466742</v>
      </c>
      <c r="BF106" s="156">
        <f t="shared" si="392"/>
        <v>2066395</v>
      </c>
      <c r="BG106" s="183">
        <f ca="1">AR106+AW106+BB106</f>
        <v>2231172</v>
      </c>
      <c r="BH106" s="167">
        <f t="shared" ca="1" si="393"/>
        <v>0.92614778242107731</v>
      </c>
      <c r="BI106" s="186">
        <f ca="1">AT106+AY106+BD106</f>
        <v>2175202</v>
      </c>
      <c r="BJ106" s="167">
        <f t="shared" ca="1" si="394"/>
        <v>0.97491452922499922</v>
      </c>
      <c r="BK106" s="107">
        <f>'Compulse Media_Data Pass Thru'!BX12+'Compulse Media_Data Pass Thru'!BY12</f>
        <v>726211</v>
      </c>
      <c r="BL106" s="95">
        <f t="shared" ca="1" si="395"/>
        <v>794594</v>
      </c>
      <c r="BM106" s="115">
        <f t="shared" ca="1" si="396"/>
        <v>0.9139396975058961</v>
      </c>
      <c r="BN106" s="81">
        <f t="shared" ca="1" si="397"/>
        <v>762967</v>
      </c>
      <c r="BO106" s="130">
        <f t="shared" ca="1" si="398"/>
        <v>0.96019728314082409</v>
      </c>
      <c r="BP106" s="195">
        <f>'Compulse Media_Data Pass Thru'!CD12+'Compulse Media_Data Pass Thru'!CE12</f>
        <v>660570</v>
      </c>
      <c r="BQ106" s="98">
        <f t="shared" ca="1" si="399"/>
        <v>684934</v>
      </c>
      <c r="BR106" s="202">
        <f t="shared" ca="1" si="400"/>
        <v>0.96442868947957028</v>
      </c>
      <c r="BS106" s="81">
        <f t="shared" ca="1" si="401"/>
        <v>685119</v>
      </c>
      <c r="BT106" s="203">
        <f t="shared" ca="1" si="402"/>
        <v>1.0002700990168396</v>
      </c>
      <c r="BU106" s="107">
        <f>'Compulse Media_Data Pass Thru'!CJ12+'Compulse Media_Data Pass Thru'!CK12</f>
        <v>571641</v>
      </c>
      <c r="BV106" s="95">
        <f t="shared" ca="1" si="403"/>
        <v>604422</v>
      </c>
      <c r="BW106" s="115">
        <f t="shared" ca="1" si="404"/>
        <v>0.94576471405739704</v>
      </c>
      <c r="BX106" s="81">
        <f t="shared" ca="1" si="405"/>
        <v>578094</v>
      </c>
      <c r="BY106" s="130">
        <f t="shared" ca="1" si="406"/>
        <v>0.95644102961176136</v>
      </c>
      <c r="BZ106" s="96">
        <f t="shared" si="418"/>
        <v>1958422</v>
      </c>
      <c r="CA106" s="85">
        <f ca="1">BL106+BQ106+BV106</f>
        <v>2083950</v>
      </c>
      <c r="CB106" s="167">
        <f t="shared" ca="1" si="407"/>
        <v>0.93976438974063681</v>
      </c>
      <c r="CC106" s="198">
        <f t="shared" ca="1" si="408"/>
        <v>2026180</v>
      </c>
      <c r="CD106" s="167">
        <f t="shared" ca="1" si="409"/>
        <v>0.97227860553276235</v>
      </c>
      <c r="CE106" s="87">
        <f>R106+AL106+BF106+BZ106</f>
        <v>7858511</v>
      </c>
      <c r="CF106" s="208">
        <f ca="1">S106+AM106+BG106+CA106</f>
        <v>8511855</v>
      </c>
      <c r="CG106" s="201">
        <f t="shared" ca="1" si="412"/>
        <v>0.92324305336498336</v>
      </c>
      <c r="CH106" s="89">
        <f t="shared" ca="1" si="419"/>
        <v>8200835</v>
      </c>
      <c r="CI106" s="167">
        <f t="shared" ca="1" si="413"/>
        <v>0.96346037379631111</v>
      </c>
    </row>
    <row r="107" spans="1:88" s="272" customFormat="1" ht="13.5" thickBot="1">
      <c r="A107" s="266"/>
      <c r="B107" s="266"/>
      <c r="C107" s="265">
        <f>SUM(C104:C106)</f>
        <v>892715</v>
      </c>
      <c r="D107" s="265">
        <f ca="1">SUM(D104:D106)</f>
        <v>992803</v>
      </c>
      <c r="E107" s="267">
        <f ca="1">SUM(C107/D107,0)</f>
        <v>0.89918644484353893</v>
      </c>
      <c r="F107" s="268">
        <f ca="1">SUM(F104:F106)</f>
        <v>977979</v>
      </c>
      <c r="G107" s="269">
        <f ca="1">SUM(F107/D107,0)</f>
        <v>0.98506853826992868</v>
      </c>
      <c r="H107" s="264">
        <f>SUM(H104:H106)</f>
        <v>830705</v>
      </c>
      <c r="I107" s="265">
        <f ca="1">SUM(I104:I106)</f>
        <v>977244</v>
      </c>
      <c r="J107" s="267">
        <f ca="1">SUM(H107/I107,0)</f>
        <v>0.85004870840854485</v>
      </c>
      <c r="K107" s="268">
        <f ca="1">SUM(K104:K106)</f>
        <v>918908</v>
      </c>
      <c r="L107" s="269">
        <f ca="1">IFERROR(K107/I107,0)</f>
        <v>0.94030559409932424</v>
      </c>
      <c r="M107" s="264">
        <f>SUM(M104:M106)</f>
        <v>1090659</v>
      </c>
      <c r="N107" s="265">
        <f ca="1">SUM(N104:N106)</f>
        <v>1218814</v>
      </c>
      <c r="O107" s="267">
        <f ca="1">SUM(M107/N107,0)</f>
        <v>0.89485270106841563</v>
      </c>
      <c r="P107" s="268">
        <f ca="1">SUM(P104:P106)</f>
        <v>1189941</v>
      </c>
      <c r="Q107" s="269">
        <f ca="1">IFERROR(P107/N107,0)</f>
        <v>0.97631057733173399</v>
      </c>
      <c r="R107" s="264">
        <f>SUM(R104:R106)</f>
        <v>2814079</v>
      </c>
      <c r="S107" s="265">
        <f ca="1">SUM(S104:S106)</f>
        <v>3188861</v>
      </c>
      <c r="T107" s="267">
        <f ca="1">SUM(R107/S107,0)</f>
        <v>0.88247151569165294</v>
      </c>
      <c r="U107" s="268">
        <f ca="1">SUM(U104:U106)</f>
        <v>3086828</v>
      </c>
      <c r="V107" s="269">
        <f ca="1">IFERROR(U107/S107,0)</f>
        <v>0.96800330901848652</v>
      </c>
      <c r="W107" s="264">
        <f>SUM(W104:W106)</f>
        <v>1335539</v>
      </c>
      <c r="X107" s="265">
        <f ca="1">SUM(X104:X106)</f>
        <v>1525916</v>
      </c>
      <c r="Y107" s="426">
        <f ca="1">SUM(W107/X107,0)</f>
        <v>0.87523756222491933</v>
      </c>
      <c r="Z107" s="268">
        <f ca="1">SUM(Z104:Z106)</f>
        <v>1402531</v>
      </c>
      <c r="AA107" s="270">
        <f ca="1">IFERROR(Z107/X107,0)</f>
        <v>0.91914037207814847</v>
      </c>
      <c r="AB107" s="264">
        <f>SUM(AB104:AB106)</f>
        <v>1131045</v>
      </c>
      <c r="AC107" s="265">
        <f ca="1">SUM(AC104:AC106)</f>
        <v>1358079</v>
      </c>
      <c r="AD107" s="426">
        <f ca="1">SUM(AB107/AC107,0)</f>
        <v>0.83282710357792145</v>
      </c>
      <c r="AE107" s="268">
        <f ca="1">SUM(AE104:AE106)</f>
        <v>1221850</v>
      </c>
      <c r="AF107" s="270">
        <f ca="1">IFERROR(AE107/AC107,0)</f>
        <v>0.89968992967272154</v>
      </c>
      <c r="AG107" s="264">
        <f>SUM(AG104:AG106)</f>
        <v>1033112</v>
      </c>
      <c r="AH107" s="265">
        <f ca="1">SUM(AH104:AH106)</f>
        <v>1228601</v>
      </c>
      <c r="AI107" s="426">
        <f ca="1">SUM(AG107/AH107,0)</f>
        <v>0.84088487637565001</v>
      </c>
      <c r="AJ107" s="268">
        <f ca="1">SUM(AJ104:AJ106)</f>
        <v>1089215</v>
      </c>
      <c r="AK107" s="270">
        <f ca="1">IFERROR(AJ107/AH107,0)</f>
        <v>0.88654900980871743</v>
      </c>
      <c r="AL107" s="264">
        <f>SUM(AL104:AL106)</f>
        <v>3499696</v>
      </c>
      <c r="AM107" s="265">
        <f ca="1">SUM(AM104:AM106)</f>
        <v>4112596</v>
      </c>
      <c r="AN107" s="426">
        <f ca="1">SUM(AL107/AM107,0)</f>
        <v>0.85097004422510747</v>
      </c>
      <c r="AO107" s="268">
        <f ca="1">SUM(AO104:AO106)</f>
        <v>3713596</v>
      </c>
      <c r="AP107" s="270">
        <f ca="1">IFERROR(AO107/AM107,0)</f>
        <v>0.90298098816416683</v>
      </c>
      <c r="AQ107" s="264">
        <f>SUM(AQ104:AQ106)</f>
        <v>1191166</v>
      </c>
      <c r="AR107" s="265">
        <f ca="1">SUM(AR104:AR106)</f>
        <v>1291458</v>
      </c>
      <c r="AS107" s="267">
        <f ca="1">SUM(AQ107/AR107,0)</f>
        <v>0.92234203512619073</v>
      </c>
      <c r="AT107" s="268">
        <f ca="1">SUM(AT104:AT106)</f>
        <v>1329321</v>
      </c>
      <c r="AU107" s="269">
        <f ca="1">IFERROR(AT107/AR107,0)</f>
        <v>1.0293180266024911</v>
      </c>
      <c r="AV107" s="264">
        <f>SUM(AV104:AV106)</f>
        <v>1364857</v>
      </c>
      <c r="AW107" s="265">
        <f ca="1">SUM(AW104:AW106)</f>
        <v>1528193</v>
      </c>
      <c r="AX107" s="267">
        <f ca="1">SUM(AV107/AW107,0)</f>
        <v>0.89311821216299248</v>
      </c>
      <c r="AY107" s="268">
        <f ca="1">SUM(AY104:AY106)</f>
        <v>1457895</v>
      </c>
      <c r="AZ107" s="269">
        <f ca="1">IFERROR(AY107/AW107,0)</f>
        <v>0.95399926579954231</v>
      </c>
      <c r="BA107" s="264">
        <f>SUM(BA104:BA106)</f>
        <v>1006285</v>
      </c>
      <c r="BB107" s="265">
        <f ca="1">SUM(BB104:BB106)</f>
        <v>1090225</v>
      </c>
      <c r="BC107" s="267">
        <f ca="1">SUM(BA107/BB107,0)</f>
        <v>0.9230067187965787</v>
      </c>
      <c r="BD107" s="268">
        <f ca="1">SUM(BD104:BD106)</f>
        <v>1112771</v>
      </c>
      <c r="BE107" s="269">
        <f ca="1">IFERROR(BD107/BB107,0)</f>
        <v>1.0206801348345524</v>
      </c>
      <c r="BF107" s="264">
        <f>SUM(BF104:BF106)</f>
        <v>3562308</v>
      </c>
      <c r="BG107" s="265">
        <f ca="1">SUM(BG104:BG106)</f>
        <v>3909876</v>
      </c>
      <c r="BH107" s="267">
        <f ca="1">SUM(BF107/BG107,0)</f>
        <v>0.91110510921573984</v>
      </c>
      <c r="BI107" s="268">
        <f ca="1">SUM(BI104:BI106)</f>
        <v>3899987</v>
      </c>
      <c r="BJ107" s="269">
        <f ca="1">IFERROR(BI107/BG107,0)</f>
        <v>0.99747076377869781</v>
      </c>
      <c r="BK107" s="264">
        <f>SUM(BK104:BK106)</f>
        <v>1318248</v>
      </c>
      <c r="BL107" s="265">
        <f ca="1">SUM(BL104:BL106)</f>
        <v>1446517</v>
      </c>
      <c r="BM107" s="267">
        <f ca="1">SUM(BK107/BL107,0)</f>
        <v>0.9113256187103228</v>
      </c>
      <c r="BN107" s="268">
        <f ca="1">SUM(BN104:BN106)</f>
        <v>1430832</v>
      </c>
      <c r="BO107" s="269">
        <f ca="1">IFERROR(BN107/BL107,0)</f>
        <v>0.98915671229581126</v>
      </c>
      <c r="BP107" s="264">
        <f>SUM(BP104:BP106)</f>
        <v>1346167</v>
      </c>
      <c r="BQ107" s="265">
        <f ca="1">SUM(BQ104:BQ106)</f>
        <v>1466140</v>
      </c>
      <c r="BR107" s="267">
        <f ca="1">SUM(BP107/BQ107,0)</f>
        <v>0.91817084316640973</v>
      </c>
      <c r="BS107" s="268">
        <f ca="1">SUM(BS104:BS106)</f>
        <v>1444181</v>
      </c>
      <c r="BT107" s="269">
        <f ca="1">IFERROR(BS107/BQ107,0)</f>
        <v>0.98502257628875822</v>
      </c>
      <c r="BU107" s="264">
        <f>SUM(BU104:BU106)</f>
        <v>1137135</v>
      </c>
      <c r="BV107" s="265">
        <f ca="1">SUM(BV104:BV106)</f>
        <v>1339624</v>
      </c>
      <c r="BW107" s="267">
        <f ca="1">SUM(BU107/BV107,0)</f>
        <v>0.84884639271915108</v>
      </c>
      <c r="BX107" s="268">
        <f ca="1">SUM(BX104:BX106)</f>
        <v>1216424</v>
      </c>
      <c r="BY107" s="269">
        <f ca="1">IFERROR(BX107/BV107,0)</f>
        <v>0.90803389607830254</v>
      </c>
      <c r="BZ107" s="264">
        <f>SUM(BZ104:BZ106)</f>
        <v>3801550</v>
      </c>
      <c r="CA107" s="265">
        <f ca="1">SUM(CA104:CA106)</f>
        <v>4252281</v>
      </c>
      <c r="CB107" s="267">
        <f ca="1">SUM(BZ107/CA107,0)</f>
        <v>0.89400253652098716</v>
      </c>
      <c r="CC107" s="268">
        <f ca="1">SUM(CC104:CC106)</f>
        <v>4091437</v>
      </c>
      <c r="CD107" s="270">
        <f ca="1">IFERROR(CC107/CA107,0)</f>
        <v>0.96217465402686231</v>
      </c>
      <c r="CE107" s="264">
        <f>SUM(CE104:CE106)</f>
        <v>13677633</v>
      </c>
      <c r="CF107" s="265">
        <f ca="1">SUM(CF104:CF106)</f>
        <v>15463614</v>
      </c>
      <c r="CG107" s="267">
        <f ca="1">SUM(CE107/CF107,0)</f>
        <v>0.88450429505030326</v>
      </c>
      <c r="CH107" s="268">
        <f ca="1">SUM(CH104:CH106)</f>
        <v>14791848</v>
      </c>
      <c r="CI107" s="271">
        <f ca="1">IFERROR(CH107/CF107,0)</f>
        <v>0.95655827932590665</v>
      </c>
      <c r="CJ107" s="263"/>
    </row>
    <row r="108" spans="1:88" ht="14.65" thickTop="1"/>
    <row r="134" spans="4:6">
      <c r="D134" s="619"/>
      <c r="E134" s="619"/>
      <c r="F134" s="128"/>
    </row>
    <row r="135" spans="4:6">
      <c r="D135" s="619"/>
      <c r="E135" s="619"/>
      <c r="F135" s="128"/>
    </row>
    <row r="136" spans="4:6">
      <c r="D136" s="619"/>
      <c r="E136" s="619"/>
      <c r="F136" s="128"/>
    </row>
    <row r="137" spans="4:6">
      <c r="D137" s="619"/>
      <c r="E137" s="619"/>
      <c r="F137" s="128"/>
    </row>
    <row r="138" spans="4:6">
      <c r="D138" s="619"/>
      <c r="E138" s="619"/>
      <c r="F138" s="128"/>
    </row>
  </sheetData>
  <mergeCells count="103">
    <mergeCell ref="CE34:CI34"/>
    <mergeCell ref="BU34:BY34"/>
    <mergeCell ref="AB34:AF34"/>
    <mergeCell ref="AG34:AK34"/>
    <mergeCell ref="AL34:AP34"/>
    <mergeCell ref="CE9:CI9"/>
    <mergeCell ref="C8:L8"/>
    <mergeCell ref="AG9:AK9"/>
    <mergeCell ref="AL9:AP9"/>
    <mergeCell ref="AQ9:AU9"/>
    <mergeCell ref="AV9:AZ9"/>
    <mergeCell ref="BA9:BE9"/>
    <mergeCell ref="BF9:BJ9"/>
    <mergeCell ref="C9:G9"/>
    <mergeCell ref="H9:L9"/>
    <mergeCell ref="M9:Q9"/>
    <mergeCell ref="R9:V9"/>
    <mergeCell ref="W9:AA9"/>
    <mergeCell ref="AB9:AF9"/>
    <mergeCell ref="M57:Q57"/>
    <mergeCell ref="R57:V57"/>
    <mergeCell ref="W57:AA57"/>
    <mergeCell ref="AB57:AF57"/>
    <mergeCell ref="AG57:AK57"/>
    <mergeCell ref="AL57:AP57"/>
    <mergeCell ref="AQ57:AU57"/>
    <mergeCell ref="W34:AA34"/>
    <mergeCell ref="BK9:BO9"/>
    <mergeCell ref="CE1:CI1"/>
    <mergeCell ref="BP80:BT80"/>
    <mergeCell ref="BU80:BY80"/>
    <mergeCell ref="BZ80:CD80"/>
    <mergeCell ref="CE80:CI80"/>
    <mergeCell ref="C1:G1"/>
    <mergeCell ref="H1:L1"/>
    <mergeCell ref="M1:Q1"/>
    <mergeCell ref="R1:V1"/>
    <mergeCell ref="W1:AA1"/>
    <mergeCell ref="AB1:AF1"/>
    <mergeCell ref="AG1:AK1"/>
    <mergeCell ref="AL1:AP1"/>
    <mergeCell ref="AQ1:AU1"/>
    <mergeCell ref="AV1:AZ1"/>
    <mergeCell ref="BA1:BE1"/>
    <mergeCell ref="BF1:BJ1"/>
    <mergeCell ref="BU57:BY57"/>
    <mergeCell ref="BZ57:CD57"/>
    <mergeCell ref="CE57:CI57"/>
    <mergeCell ref="C80:G80"/>
    <mergeCell ref="H80:L80"/>
    <mergeCell ref="M80:Q80"/>
    <mergeCell ref="AV57:AZ57"/>
    <mergeCell ref="R80:V80"/>
    <mergeCell ref="C102:G102"/>
    <mergeCell ref="H102:L102"/>
    <mergeCell ref="M102:Q102"/>
    <mergeCell ref="R102:V102"/>
    <mergeCell ref="W102:AA102"/>
    <mergeCell ref="BK1:BO1"/>
    <mergeCell ref="BP1:BT1"/>
    <mergeCell ref="BU1:BY1"/>
    <mergeCell ref="C34:G34"/>
    <mergeCell ref="H34:L34"/>
    <mergeCell ref="M34:Q34"/>
    <mergeCell ref="R34:V34"/>
    <mergeCell ref="AQ34:AU34"/>
    <mergeCell ref="BA57:BE57"/>
    <mergeCell ref="BF57:BJ57"/>
    <mergeCell ref="BK57:BO57"/>
    <mergeCell ref="BP57:BT57"/>
    <mergeCell ref="BA34:BE34"/>
    <mergeCell ref="BF34:BJ34"/>
    <mergeCell ref="BK34:BO34"/>
    <mergeCell ref="BP34:BT34"/>
    <mergeCell ref="C57:G57"/>
    <mergeCell ref="H57:L57"/>
    <mergeCell ref="BZ1:CD1"/>
    <mergeCell ref="W80:AA80"/>
    <mergeCell ref="AB80:AF80"/>
    <mergeCell ref="AG80:AK80"/>
    <mergeCell ref="AL80:AP80"/>
    <mergeCell ref="AQ80:AU80"/>
    <mergeCell ref="AV80:AZ80"/>
    <mergeCell ref="BA80:BE80"/>
    <mergeCell ref="BF80:BJ80"/>
    <mergeCell ref="BK80:BO80"/>
    <mergeCell ref="BZ34:CD34"/>
    <mergeCell ref="AV34:AZ34"/>
    <mergeCell ref="BP9:BT9"/>
    <mergeCell ref="BU9:BY9"/>
    <mergeCell ref="BZ9:CD9"/>
    <mergeCell ref="BZ102:CD102"/>
    <mergeCell ref="CE102:CI102"/>
    <mergeCell ref="BA102:BE102"/>
    <mergeCell ref="BF102:BJ102"/>
    <mergeCell ref="BK102:BO102"/>
    <mergeCell ref="BP102:BT102"/>
    <mergeCell ref="BU102:BY102"/>
    <mergeCell ref="AB102:AF102"/>
    <mergeCell ref="AG102:AK102"/>
    <mergeCell ref="AL102:AP102"/>
    <mergeCell ref="AQ102:AU102"/>
    <mergeCell ref="AV102:AZ102"/>
  </mergeCells>
  <pageMargins left="0.7" right="0.7" top="0.75" bottom="0.75" header="0.3" footer="0.3"/>
  <pageSetup orientation="portrait" r:id="rId1"/>
  <ignoredErrors>
    <ignoredError sqref="G6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ZM_Revenue">
                <anchor moveWithCells="1" sizeWithCells="1">
                  <from>
                    <xdr:col>0</xdr:col>
                    <xdr:colOff>38100</xdr:colOff>
                    <xdr:row>0</xdr:row>
                    <xdr:rowOff>23813</xdr:rowOff>
                  </from>
                  <to>
                    <xdr:col>0</xdr:col>
                    <xdr:colOff>2490788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2BD81-3BA9-4B11-819D-4DBF6B7F41DC}">
  <sheetPr codeName="Sheet3">
    <tabColor theme="9"/>
  </sheetPr>
  <dimension ref="A1:AJ48"/>
  <sheetViews>
    <sheetView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ColWidth="8.796875" defaultRowHeight="14.25"/>
  <cols>
    <col min="1" max="1" width="15" style="74" bestFit="1" customWidth="1"/>
    <col min="2" max="2" width="31.46484375" style="74" bestFit="1" customWidth="1"/>
    <col min="3" max="3" width="9.9296875" style="20" bestFit="1" customWidth="1"/>
    <col min="4" max="4" width="11.19921875" style="20" bestFit="1" customWidth="1"/>
    <col min="5" max="5" width="9.46484375" style="20" bestFit="1" customWidth="1"/>
    <col min="6" max="6" width="10.1328125" style="20" bestFit="1" customWidth="1"/>
    <col min="7" max="7" width="9.9296875" style="20" bestFit="1" customWidth="1"/>
    <col min="8" max="8" width="11.19921875" style="20" bestFit="1" customWidth="1"/>
    <col min="9" max="10" width="10.1328125" style="20" bestFit="1" customWidth="1"/>
    <col min="11" max="11" width="9.9296875" style="20" bestFit="1" customWidth="1"/>
    <col min="12" max="12" width="10.19921875" style="20" bestFit="1" customWidth="1"/>
    <col min="13" max="13" width="9.46484375" style="20" bestFit="1" customWidth="1"/>
    <col min="14" max="14" width="10.19921875" style="20" bestFit="1" customWidth="1"/>
    <col min="15" max="15" width="9.46484375" style="20" bestFit="1" customWidth="1"/>
    <col min="16" max="16" width="10.19921875" style="20" bestFit="1" customWidth="1"/>
    <col min="17" max="17" width="9.9296875" style="20" bestFit="1" customWidth="1"/>
    <col min="18" max="18" width="11.19921875" style="20" bestFit="1" customWidth="1"/>
    <col min="19" max="19" width="9.46484375" style="20" bestFit="1" customWidth="1"/>
    <col min="20" max="20" width="8.33203125" style="20" bestFit="1" customWidth="1"/>
    <col min="21" max="21" width="9.46484375" style="20" bestFit="1" customWidth="1"/>
    <col min="22" max="22" width="8.33203125" style="20" bestFit="1" customWidth="1"/>
    <col min="23" max="23" width="9.46484375" style="20" bestFit="1" customWidth="1"/>
    <col min="24" max="24" width="8.33203125" style="20" bestFit="1" customWidth="1"/>
    <col min="25" max="25" width="9.46484375" style="20" bestFit="1" customWidth="1"/>
    <col min="26" max="26" width="8.33203125" style="20" bestFit="1" customWidth="1"/>
    <col min="27" max="27" width="9.46484375" style="20" bestFit="1" customWidth="1"/>
    <col min="28" max="28" width="8.33203125" style="20" bestFit="1" customWidth="1"/>
    <col min="29" max="29" width="9.46484375" style="20" bestFit="1" customWidth="1"/>
    <col min="30" max="30" width="8.33203125" style="20" bestFit="1" customWidth="1"/>
    <col min="31" max="31" width="9.46484375" style="20" bestFit="1" customWidth="1"/>
    <col min="32" max="32" width="8.33203125" style="20" bestFit="1" customWidth="1"/>
    <col min="33" max="33" width="9.46484375" style="20" bestFit="1" customWidth="1"/>
    <col min="34" max="34" width="8.33203125" style="20" bestFit="1" customWidth="1"/>
    <col min="35" max="35" width="9.46484375" style="20" bestFit="1" customWidth="1"/>
    <col min="36" max="36" width="11.19921875" style="20" bestFit="1" customWidth="1"/>
  </cols>
  <sheetData>
    <row r="1" spans="1:36" ht="14.65" thickBot="1">
      <c r="A1" s="531" t="s">
        <v>110</v>
      </c>
      <c r="B1" s="532"/>
      <c r="C1" s="529" t="s">
        <v>16</v>
      </c>
      <c r="D1" s="530"/>
      <c r="E1" s="533" t="s">
        <v>22</v>
      </c>
      <c r="F1" s="534"/>
      <c r="G1" s="529" t="s">
        <v>23</v>
      </c>
      <c r="H1" s="530"/>
      <c r="I1" s="535" t="s">
        <v>24</v>
      </c>
      <c r="J1" s="536"/>
      <c r="K1" s="529" t="s">
        <v>10</v>
      </c>
      <c r="L1" s="530"/>
      <c r="M1" s="519" t="s">
        <v>9</v>
      </c>
      <c r="N1" s="520"/>
      <c r="O1" s="521" t="s">
        <v>15</v>
      </c>
      <c r="P1" s="522"/>
      <c r="Q1" s="523" t="s">
        <v>25</v>
      </c>
      <c r="R1" s="524"/>
      <c r="S1" s="521" t="s">
        <v>8</v>
      </c>
      <c r="T1" s="522"/>
      <c r="U1" s="519" t="s">
        <v>12</v>
      </c>
      <c r="V1" s="520"/>
      <c r="W1" s="521" t="s">
        <v>14</v>
      </c>
      <c r="X1" s="522"/>
      <c r="Y1" s="525" t="s">
        <v>26</v>
      </c>
      <c r="Z1" s="526"/>
      <c r="AA1" s="521" t="s">
        <v>27</v>
      </c>
      <c r="AB1" s="522"/>
      <c r="AC1" s="519" t="s">
        <v>17</v>
      </c>
      <c r="AD1" s="520"/>
      <c r="AE1" s="521" t="s">
        <v>28</v>
      </c>
      <c r="AF1" s="522"/>
      <c r="AG1" s="527" t="s">
        <v>29</v>
      </c>
      <c r="AH1" s="528"/>
      <c r="AI1" s="515">
        <v>2021</v>
      </c>
      <c r="AJ1" s="516"/>
    </row>
    <row r="2" spans="1:36">
      <c r="A2" s="66"/>
      <c r="B2" s="66" t="s">
        <v>111</v>
      </c>
      <c r="C2" s="23" t="s">
        <v>62</v>
      </c>
      <c r="D2" s="21" t="s">
        <v>34</v>
      </c>
      <c r="E2" s="23" t="s">
        <v>62</v>
      </c>
      <c r="F2" s="21" t="s">
        <v>34</v>
      </c>
      <c r="G2" s="23" t="s">
        <v>62</v>
      </c>
      <c r="H2" s="21" t="s">
        <v>34</v>
      </c>
      <c r="I2" s="23" t="s">
        <v>62</v>
      </c>
      <c r="J2" s="21" t="s">
        <v>34</v>
      </c>
      <c r="K2" s="23" t="s">
        <v>62</v>
      </c>
      <c r="L2" s="21" t="s">
        <v>34</v>
      </c>
      <c r="M2" s="23" t="s">
        <v>62</v>
      </c>
      <c r="N2" s="21" t="s">
        <v>34</v>
      </c>
      <c r="O2" s="23" t="s">
        <v>62</v>
      </c>
      <c r="P2" s="21" t="s">
        <v>34</v>
      </c>
      <c r="Q2" s="23" t="s">
        <v>62</v>
      </c>
      <c r="R2" s="21" t="s">
        <v>34</v>
      </c>
      <c r="S2" s="23" t="s">
        <v>62</v>
      </c>
      <c r="T2" s="21" t="s">
        <v>34</v>
      </c>
      <c r="U2" s="23" t="s">
        <v>62</v>
      </c>
      <c r="V2" s="21" t="s">
        <v>34</v>
      </c>
      <c r="W2" s="23" t="s">
        <v>62</v>
      </c>
      <c r="X2" s="21" t="s">
        <v>34</v>
      </c>
      <c r="Y2" s="23" t="s">
        <v>62</v>
      </c>
      <c r="Z2" s="21" t="s">
        <v>34</v>
      </c>
      <c r="AA2" s="23" t="s">
        <v>62</v>
      </c>
      <c r="AB2" s="21" t="s">
        <v>34</v>
      </c>
      <c r="AC2" s="23" t="s">
        <v>62</v>
      </c>
      <c r="AD2" s="21" t="s">
        <v>34</v>
      </c>
      <c r="AE2" s="23" t="s">
        <v>62</v>
      </c>
      <c r="AF2" s="21" t="s">
        <v>34</v>
      </c>
      <c r="AG2" s="23" t="s">
        <v>62</v>
      </c>
      <c r="AH2" s="21" t="s">
        <v>34</v>
      </c>
      <c r="AI2" s="23" t="s">
        <v>62</v>
      </c>
      <c r="AJ2" s="21" t="s">
        <v>34</v>
      </c>
    </row>
    <row r="3" spans="1:36">
      <c r="A3" s="67" t="s">
        <v>88</v>
      </c>
      <c r="B3" s="68" t="s">
        <v>19</v>
      </c>
      <c r="C3" s="229">
        <v>699979</v>
      </c>
      <c r="D3" s="230">
        <f ca="1">C3+RANDBETWEEN(10000,100000)</f>
        <v>793527</v>
      </c>
      <c r="E3" s="229">
        <v>386766</v>
      </c>
      <c r="F3" s="230">
        <f ca="1">E3+RANDBETWEEN(10000,100000)</f>
        <v>465272</v>
      </c>
      <c r="G3" s="229">
        <v>461093</v>
      </c>
      <c r="H3" s="230">
        <f ca="1">G3+RANDBETWEEN(10000,100000)</f>
        <v>539835</v>
      </c>
      <c r="I3" s="231">
        <v>224932</v>
      </c>
      <c r="J3" s="232">
        <f t="shared" ref="I3:J11" ca="1" si="0">D3+F3+H3</f>
        <v>1798634</v>
      </c>
      <c r="K3" s="229">
        <v>615948</v>
      </c>
      <c r="L3" s="230">
        <f ca="1">K3+RANDBETWEEN(10000,100000)</f>
        <v>655756</v>
      </c>
      <c r="M3" s="229"/>
      <c r="N3" s="230"/>
      <c r="O3" s="229"/>
      <c r="P3" s="230"/>
      <c r="Q3" s="231">
        <v>941101</v>
      </c>
      <c r="R3" s="232">
        <f t="shared" ref="Q3:R11" ca="1" si="1">L3+N3+P3</f>
        <v>655756</v>
      </c>
      <c r="S3" s="229"/>
      <c r="T3" s="230"/>
      <c r="U3" s="229"/>
      <c r="V3" s="230"/>
      <c r="W3" s="229"/>
      <c r="X3" s="230"/>
      <c r="Y3" s="231"/>
      <c r="Z3" s="232">
        <f t="shared" ref="Y3:Z11" si="2">T3+V3+X3</f>
        <v>0</v>
      </c>
      <c r="AA3" s="229"/>
      <c r="AB3" s="230"/>
      <c r="AC3" s="229"/>
      <c r="AD3" s="230"/>
      <c r="AE3" s="229"/>
      <c r="AF3" s="230"/>
      <c r="AG3" s="231"/>
      <c r="AH3" s="232">
        <f t="shared" ref="AG3:AH11" si="3">AB3+AD3+AF3</f>
        <v>0</v>
      </c>
      <c r="AI3" s="229">
        <v>552533</v>
      </c>
      <c r="AJ3" s="233">
        <f t="shared" ref="AI3:AJ11" ca="1" si="4">J3+R3+Z3+AH3</f>
        <v>2454390</v>
      </c>
    </row>
    <row r="4" spans="1:36">
      <c r="A4" s="67"/>
      <c r="B4" s="68"/>
      <c r="C4" s="229"/>
      <c r="D4" s="230"/>
      <c r="E4" s="229"/>
      <c r="F4" s="230"/>
      <c r="G4" s="229"/>
      <c r="H4" s="230"/>
      <c r="I4" s="231"/>
      <c r="J4" s="232">
        <f t="shared" si="0"/>
        <v>0</v>
      </c>
      <c r="K4" s="229"/>
      <c r="L4" s="230"/>
      <c r="M4" s="229"/>
      <c r="N4" s="230"/>
      <c r="O4" s="229"/>
      <c r="P4" s="230"/>
      <c r="Q4" s="231"/>
      <c r="R4" s="232">
        <f t="shared" si="1"/>
        <v>0</v>
      </c>
      <c r="S4" s="229"/>
      <c r="T4" s="230"/>
      <c r="U4" s="229"/>
      <c r="V4" s="230"/>
      <c r="W4" s="229"/>
      <c r="X4" s="230"/>
      <c r="Y4" s="231"/>
      <c r="Z4" s="232">
        <f t="shared" si="2"/>
        <v>0</v>
      </c>
      <c r="AA4" s="229"/>
      <c r="AB4" s="230"/>
      <c r="AC4" s="229"/>
      <c r="AD4" s="230"/>
      <c r="AE4" s="229"/>
      <c r="AF4" s="230"/>
      <c r="AG4" s="231"/>
      <c r="AH4" s="232">
        <f t="shared" si="3"/>
        <v>0</v>
      </c>
      <c r="AI4" s="229"/>
      <c r="AJ4" s="233">
        <f t="shared" si="4"/>
        <v>0</v>
      </c>
    </row>
    <row r="5" spans="1:36">
      <c r="A5" s="67"/>
      <c r="B5" s="68"/>
      <c r="C5" s="229"/>
      <c r="D5" s="230"/>
      <c r="E5" s="229"/>
      <c r="F5" s="230"/>
      <c r="G5" s="229"/>
      <c r="H5" s="230"/>
      <c r="I5" s="231"/>
      <c r="J5" s="232">
        <f t="shared" si="0"/>
        <v>0</v>
      </c>
      <c r="K5" s="229"/>
      <c r="L5" s="230"/>
      <c r="M5" s="229"/>
      <c r="N5" s="230"/>
      <c r="O5" s="229"/>
      <c r="P5" s="230"/>
      <c r="Q5" s="231"/>
      <c r="R5" s="232">
        <f t="shared" si="1"/>
        <v>0</v>
      </c>
      <c r="S5" s="229"/>
      <c r="T5" s="230"/>
      <c r="U5" s="229"/>
      <c r="V5" s="230"/>
      <c r="W5" s="229"/>
      <c r="X5" s="230"/>
      <c r="Y5" s="231"/>
      <c r="Z5" s="232">
        <f t="shared" si="2"/>
        <v>0</v>
      </c>
      <c r="AA5" s="229"/>
      <c r="AB5" s="230"/>
      <c r="AC5" s="229"/>
      <c r="AD5" s="230"/>
      <c r="AE5" s="229"/>
      <c r="AF5" s="230"/>
      <c r="AG5" s="231"/>
      <c r="AH5" s="232">
        <f t="shared" si="3"/>
        <v>0</v>
      </c>
      <c r="AI5" s="229"/>
      <c r="AJ5" s="233">
        <f t="shared" si="4"/>
        <v>0</v>
      </c>
    </row>
    <row r="6" spans="1:36">
      <c r="A6" s="67"/>
      <c r="B6" s="69"/>
      <c r="C6" s="234"/>
      <c r="D6" s="235"/>
      <c r="E6" s="234"/>
      <c r="F6" s="235"/>
      <c r="G6" s="234"/>
      <c r="H6" s="235"/>
      <c r="I6" s="236"/>
      <c r="J6" s="237">
        <f t="shared" si="0"/>
        <v>0</v>
      </c>
      <c r="K6" s="234"/>
      <c r="L6" s="235"/>
      <c r="M6" s="234"/>
      <c r="N6" s="235"/>
      <c r="O6" s="234"/>
      <c r="P6" s="235"/>
      <c r="Q6" s="236"/>
      <c r="R6" s="237">
        <f t="shared" si="1"/>
        <v>0</v>
      </c>
      <c r="S6" s="234"/>
      <c r="T6" s="235"/>
      <c r="U6" s="234"/>
      <c r="V6" s="235"/>
      <c r="W6" s="234"/>
      <c r="X6" s="235"/>
      <c r="Y6" s="236"/>
      <c r="Z6" s="237">
        <f t="shared" si="2"/>
        <v>0</v>
      </c>
      <c r="AA6" s="234"/>
      <c r="AB6" s="235"/>
      <c r="AC6" s="234"/>
      <c r="AD6" s="235"/>
      <c r="AE6" s="234"/>
      <c r="AF6" s="235"/>
      <c r="AG6" s="236"/>
      <c r="AH6" s="237">
        <f t="shared" si="3"/>
        <v>0</v>
      </c>
      <c r="AI6" s="234"/>
      <c r="AJ6" s="238">
        <f t="shared" si="4"/>
        <v>0</v>
      </c>
    </row>
    <row r="7" spans="1:36" ht="4.05" customHeight="1">
      <c r="A7" s="253"/>
      <c r="B7" s="254"/>
      <c r="C7" s="255"/>
      <c r="D7" s="255"/>
      <c r="E7" s="255"/>
      <c r="F7" s="255"/>
      <c r="G7" s="255"/>
      <c r="H7" s="255"/>
      <c r="I7" s="256"/>
      <c r="J7" s="257"/>
      <c r="K7" s="255"/>
      <c r="L7" s="255"/>
      <c r="M7" s="255"/>
      <c r="N7" s="255"/>
      <c r="O7" s="255"/>
      <c r="P7" s="255"/>
      <c r="Q7" s="256"/>
      <c r="R7" s="257"/>
      <c r="S7" s="255"/>
      <c r="T7" s="255"/>
      <c r="U7" s="255"/>
      <c r="V7" s="255"/>
      <c r="W7" s="255"/>
      <c r="X7" s="255"/>
      <c r="Y7" s="256"/>
      <c r="Z7" s="257"/>
      <c r="AA7" s="255"/>
      <c r="AB7" s="255"/>
      <c r="AC7" s="255"/>
      <c r="AD7" s="255"/>
      <c r="AE7" s="255"/>
      <c r="AF7" s="255"/>
      <c r="AG7" s="256"/>
      <c r="AH7" s="257"/>
      <c r="AI7" s="255"/>
      <c r="AJ7" s="258"/>
    </row>
    <row r="8" spans="1:36">
      <c r="A8" s="70" t="s">
        <v>89</v>
      </c>
      <c r="B8" s="71" t="s">
        <v>90</v>
      </c>
      <c r="C8" s="239">
        <f>C21</f>
        <v>0</v>
      </c>
      <c r="D8" s="240">
        <f t="shared" ref="D8" si="5">D21</f>
        <v>0</v>
      </c>
      <c r="E8" s="239">
        <f>E21</f>
        <v>0</v>
      </c>
      <c r="F8" s="240">
        <f t="shared" ref="F8" si="6">F21</f>
        <v>0</v>
      </c>
      <c r="G8" s="239">
        <f>G21</f>
        <v>0</v>
      </c>
      <c r="H8" s="240">
        <f>H21</f>
        <v>0</v>
      </c>
      <c r="I8" s="241">
        <f t="shared" si="0"/>
        <v>0</v>
      </c>
      <c r="J8" s="242">
        <f t="shared" si="0"/>
        <v>0</v>
      </c>
      <c r="K8" s="239">
        <f t="shared" ref="K8:P8" si="7">K21</f>
        <v>0</v>
      </c>
      <c r="L8" s="240">
        <f t="shared" si="7"/>
        <v>0</v>
      </c>
      <c r="M8" s="239">
        <f t="shared" si="7"/>
        <v>0</v>
      </c>
      <c r="N8" s="240">
        <f t="shared" si="7"/>
        <v>0</v>
      </c>
      <c r="O8" s="239">
        <f t="shared" si="7"/>
        <v>0</v>
      </c>
      <c r="P8" s="240">
        <f t="shared" si="7"/>
        <v>0</v>
      </c>
      <c r="Q8" s="241">
        <f t="shared" si="1"/>
        <v>0</v>
      </c>
      <c r="R8" s="242">
        <f t="shared" si="1"/>
        <v>0</v>
      </c>
      <c r="S8" s="239">
        <f t="shared" ref="S8:X8" si="8">S21</f>
        <v>0</v>
      </c>
      <c r="T8" s="240">
        <f t="shared" si="8"/>
        <v>0</v>
      </c>
      <c r="U8" s="239">
        <f t="shared" si="8"/>
        <v>0</v>
      </c>
      <c r="V8" s="240">
        <f t="shared" si="8"/>
        <v>0</v>
      </c>
      <c r="W8" s="239">
        <f t="shared" si="8"/>
        <v>0</v>
      </c>
      <c r="X8" s="240">
        <f t="shared" si="8"/>
        <v>0</v>
      </c>
      <c r="Y8" s="241">
        <f t="shared" si="2"/>
        <v>0</v>
      </c>
      <c r="Z8" s="242">
        <f t="shared" si="2"/>
        <v>0</v>
      </c>
      <c r="AA8" s="239">
        <f t="shared" ref="AA8:AF8" si="9">AA21</f>
        <v>0</v>
      </c>
      <c r="AB8" s="240">
        <f t="shared" si="9"/>
        <v>0</v>
      </c>
      <c r="AC8" s="239">
        <f t="shared" si="9"/>
        <v>0</v>
      </c>
      <c r="AD8" s="240">
        <f t="shared" si="9"/>
        <v>0</v>
      </c>
      <c r="AE8" s="239">
        <f t="shared" si="9"/>
        <v>0</v>
      </c>
      <c r="AF8" s="240">
        <f t="shared" si="9"/>
        <v>0</v>
      </c>
      <c r="AG8" s="241">
        <f t="shared" si="3"/>
        <v>0</v>
      </c>
      <c r="AH8" s="242">
        <f t="shared" si="3"/>
        <v>0</v>
      </c>
      <c r="AI8" s="239">
        <f t="shared" si="4"/>
        <v>0</v>
      </c>
      <c r="AJ8" s="243">
        <f t="shared" si="4"/>
        <v>0</v>
      </c>
    </row>
    <row r="9" spans="1:36">
      <c r="A9" s="67" t="s">
        <v>91</v>
      </c>
      <c r="B9" s="68" t="s">
        <v>90</v>
      </c>
      <c r="C9" s="229">
        <f>C30</f>
        <v>220645</v>
      </c>
      <c r="D9" s="244">
        <f t="shared" ref="D9" ca="1" si="10">D30</f>
        <v>260488</v>
      </c>
      <c r="E9" s="229">
        <f>E30</f>
        <v>279866</v>
      </c>
      <c r="F9" s="244">
        <f t="shared" ref="F9:H9" si="11">F30</f>
        <v>5396</v>
      </c>
      <c r="G9" s="229">
        <f>G30</f>
        <v>513448</v>
      </c>
      <c r="H9" s="244">
        <f t="shared" ca="1" si="11"/>
        <v>573159</v>
      </c>
      <c r="I9" s="231">
        <f t="shared" si="0"/>
        <v>1013959</v>
      </c>
      <c r="J9" s="232">
        <f t="shared" ca="1" si="0"/>
        <v>839043</v>
      </c>
      <c r="K9" s="229">
        <f t="shared" ref="K9:P9" si="12">K30</f>
        <v>710399</v>
      </c>
      <c r="L9" s="244">
        <f t="shared" ca="1" si="12"/>
        <v>804902</v>
      </c>
      <c r="M9" s="229">
        <f t="shared" si="12"/>
        <v>330807</v>
      </c>
      <c r="N9" s="244">
        <f t="shared" ca="1" si="12"/>
        <v>422862</v>
      </c>
      <c r="O9" s="229">
        <f t="shared" si="12"/>
        <v>505215</v>
      </c>
      <c r="P9" s="244">
        <f t="shared" ca="1" si="12"/>
        <v>583807</v>
      </c>
      <c r="Q9" s="231">
        <f t="shared" si="1"/>
        <v>1546421</v>
      </c>
      <c r="R9" s="232">
        <f t="shared" ca="1" si="1"/>
        <v>1811571</v>
      </c>
      <c r="S9" s="229">
        <f t="shared" ref="S9:X9" si="13">S30</f>
        <v>0</v>
      </c>
      <c r="T9" s="244">
        <f t="shared" si="13"/>
        <v>0</v>
      </c>
      <c r="U9" s="229">
        <f t="shared" si="13"/>
        <v>0</v>
      </c>
      <c r="V9" s="244">
        <f t="shared" si="13"/>
        <v>0</v>
      </c>
      <c r="W9" s="229">
        <f t="shared" si="13"/>
        <v>0</v>
      </c>
      <c r="X9" s="244">
        <f t="shared" si="13"/>
        <v>0</v>
      </c>
      <c r="Y9" s="231">
        <f t="shared" si="2"/>
        <v>0</v>
      </c>
      <c r="Z9" s="232">
        <f t="shared" si="2"/>
        <v>0</v>
      </c>
      <c r="AA9" s="229">
        <f t="shared" ref="AA9:AF9" si="14">AA30</f>
        <v>0</v>
      </c>
      <c r="AB9" s="244">
        <f t="shared" si="14"/>
        <v>0</v>
      </c>
      <c r="AC9" s="229">
        <f t="shared" si="14"/>
        <v>0</v>
      </c>
      <c r="AD9" s="244">
        <f t="shared" si="14"/>
        <v>0</v>
      </c>
      <c r="AE9" s="229">
        <f t="shared" si="14"/>
        <v>0</v>
      </c>
      <c r="AF9" s="244">
        <f t="shared" si="14"/>
        <v>0</v>
      </c>
      <c r="AG9" s="231">
        <f t="shared" si="3"/>
        <v>0</v>
      </c>
      <c r="AH9" s="232">
        <f t="shared" si="3"/>
        <v>0</v>
      </c>
      <c r="AI9" s="229">
        <f t="shared" si="4"/>
        <v>2560380</v>
      </c>
      <c r="AJ9" s="233">
        <f t="shared" ca="1" si="4"/>
        <v>2650614</v>
      </c>
    </row>
    <row r="10" spans="1:36">
      <c r="A10" s="67" t="s">
        <v>92</v>
      </c>
      <c r="B10" s="68" t="s">
        <v>90</v>
      </c>
      <c r="C10" s="229">
        <f>C39</f>
        <v>0</v>
      </c>
      <c r="D10" s="244">
        <f t="shared" ref="D10" si="15">D39</f>
        <v>0</v>
      </c>
      <c r="E10" s="229">
        <f>E39</f>
        <v>0</v>
      </c>
      <c r="F10" s="244">
        <f t="shared" ref="F10" si="16">F39</f>
        <v>0</v>
      </c>
      <c r="G10" s="229">
        <f>G39</f>
        <v>236224</v>
      </c>
      <c r="H10" s="244">
        <f ca="1">H39</f>
        <v>261404</v>
      </c>
      <c r="I10" s="231">
        <f t="shared" si="0"/>
        <v>236224</v>
      </c>
      <c r="J10" s="232">
        <f t="shared" ca="1" si="0"/>
        <v>261404</v>
      </c>
      <c r="K10" s="229">
        <f t="shared" ref="K10:P10" si="17">K39</f>
        <v>753607</v>
      </c>
      <c r="L10" s="244">
        <f t="shared" ca="1" si="17"/>
        <v>836798</v>
      </c>
      <c r="M10" s="229">
        <f t="shared" si="17"/>
        <v>566353</v>
      </c>
      <c r="N10" s="244">
        <f t="shared" ca="1" si="17"/>
        <v>577144</v>
      </c>
      <c r="O10" s="229">
        <f t="shared" si="17"/>
        <v>232055</v>
      </c>
      <c r="P10" s="244">
        <f t="shared" ca="1" si="17"/>
        <v>251566</v>
      </c>
      <c r="Q10" s="231">
        <f t="shared" si="1"/>
        <v>1552015</v>
      </c>
      <c r="R10" s="232">
        <f t="shared" ca="1" si="1"/>
        <v>1665508</v>
      </c>
      <c r="S10" s="229">
        <f t="shared" ref="S10:X10" si="18">S39</f>
        <v>0</v>
      </c>
      <c r="T10" s="244">
        <f t="shared" si="18"/>
        <v>0</v>
      </c>
      <c r="U10" s="229">
        <f t="shared" si="18"/>
        <v>0</v>
      </c>
      <c r="V10" s="244">
        <f t="shared" si="18"/>
        <v>0</v>
      </c>
      <c r="W10" s="229">
        <f t="shared" si="18"/>
        <v>0</v>
      </c>
      <c r="X10" s="244">
        <f t="shared" si="18"/>
        <v>0</v>
      </c>
      <c r="Y10" s="231">
        <f t="shared" si="2"/>
        <v>0</v>
      </c>
      <c r="Z10" s="232">
        <f t="shared" si="2"/>
        <v>0</v>
      </c>
      <c r="AA10" s="229">
        <f t="shared" ref="AA10:AF10" si="19">AA39</f>
        <v>0</v>
      </c>
      <c r="AB10" s="244">
        <f t="shared" si="19"/>
        <v>0</v>
      </c>
      <c r="AC10" s="229">
        <f t="shared" si="19"/>
        <v>0</v>
      </c>
      <c r="AD10" s="244">
        <f t="shared" si="19"/>
        <v>0</v>
      </c>
      <c r="AE10" s="229">
        <f t="shared" si="19"/>
        <v>0</v>
      </c>
      <c r="AF10" s="244">
        <f t="shared" si="19"/>
        <v>0</v>
      </c>
      <c r="AG10" s="231">
        <f t="shared" si="3"/>
        <v>0</v>
      </c>
      <c r="AH10" s="232">
        <f t="shared" si="3"/>
        <v>0</v>
      </c>
      <c r="AI10" s="229">
        <f t="shared" si="4"/>
        <v>1788239</v>
      </c>
      <c r="AJ10" s="233">
        <f t="shared" ca="1" si="4"/>
        <v>1926912</v>
      </c>
    </row>
    <row r="11" spans="1:36">
      <c r="A11" s="67" t="s">
        <v>93</v>
      </c>
      <c r="B11" s="68" t="s">
        <v>90</v>
      </c>
      <c r="C11" s="229">
        <f>C48</f>
        <v>347151</v>
      </c>
      <c r="D11" s="244">
        <f t="shared" ref="D11" ca="1" si="20">D48</f>
        <v>442240</v>
      </c>
      <c r="E11" s="229">
        <f>E48</f>
        <v>670819</v>
      </c>
      <c r="F11" s="244">
        <f ca="1">F48</f>
        <v>749369</v>
      </c>
      <c r="G11" s="229">
        <f>G48</f>
        <v>536565</v>
      </c>
      <c r="H11" s="244">
        <f ca="1">H48</f>
        <v>594255</v>
      </c>
      <c r="I11" s="231">
        <f t="shared" si="0"/>
        <v>1554535</v>
      </c>
      <c r="J11" s="232">
        <f t="shared" ca="1" si="0"/>
        <v>1785864</v>
      </c>
      <c r="K11" s="229">
        <f t="shared" ref="K11:P11" si="21">K48</f>
        <v>0</v>
      </c>
      <c r="L11" s="244">
        <f t="shared" si="21"/>
        <v>0</v>
      </c>
      <c r="M11" s="229">
        <f t="shared" si="21"/>
        <v>0</v>
      </c>
      <c r="N11" s="244">
        <f t="shared" si="21"/>
        <v>0</v>
      </c>
      <c r="O11" s="229">
        <f t="shared" si="21"/>
        <v>0</v>
      </c>
      <c r="P11" s="244">
        <f t="shared" si="21"/>
        <v>0</v>
      </c>
      <c r="Q11" s="231">
        <f t="shared" si="1"/>
        <v>0</v>
      </c>
      <c r="R11" s="232">
        <f t="shared" si="1"/>
        <v>0</v>
      </c>
      <c r="S11" s="229">
        <f t="shared" ref="S11:X11" si="22">S48</f>
        <v>0</v>
      </c>
      <c r="T11" s="244">
        <f t="shared" si="22"/>
        <v>0</v>
      </c>
      <c r="U11" s="229">
        <f t="shared" si="22"/>
        <v>0</v>
      </c>
      <c r="V11" s="244">
        <f t="shared" si="22"/>
        <v>0</v>
      </c>
      <c r="W11" s="229">
        <f t="shared" si="22"/>
        <v>0</v>
      </c>
      <c r="X11" s="244">
        <f t="shared" si="22"/>
        <v>0</v>
      </c>
      <c r="Y11" s="231">
        <f t="shared" si="2"/>
        <v>0</v>
      </c>
      <c r="Z11" s="232">
        <f t="shared" si="2"/>
        <v>0</v>
      </c>
      <c r="AA11" s="229">
        <f t="shared" ref="AA11:AF11" si="23">AA48</f>
        <v>0</v>
      </c>
      <c r="AB11" s="244">
        <f t="shared" si="23"/>
        <v>0</v>
      </c>
      <c r="AC11" s="229">
        <f t="shared" si="23"/>
        <v>0</v>
      </c>
      <c r="AD11" s="244">
        <f t="shared" si="23"/>
        <v>0</v>
      </c>
      <c r="AE11" s="229">
        <f t="shared" si="23"/>
        <v>0</v>
      </c>
      <c r="AF11" s="244">
        <f t="shared" si="23"/>
        <v>0</v>
      </c>
      <c r="AG11" s="231">
        <f t="shared" si="3"/>
        <v>0</v>
      </c>
      <c r="AH11" s="232">
        <f t="shared" si="3"/>
        <v>0</v>
      </c>
      <c r="AI11" s="229">
        <f t="shared" si="4"/>
        <v>1554535</v>
      </c>
      <c r="AJ11" s="233">
        <f t="shared" ca="1" si="4"/>
        <v>1785864</v>
      </c>
    </row>
    <row r="12" spans="1:36" ht="26.65">
      <c r="A12" s="64"/>
      <c r="B12" s="72" t="s">
        <v>109</v>
      </c>
      <c r="C12" s="248">
        <f t="shared" ref="C12:AJ12" si="24">SUM(C3:C11)</f>
        <v>1267775</v>
      </c>
      <c r="D12" s="248">
        <f t="shared" ca="1" si="24"/>
        <v>1496255</v>
      </c>
      <c r="E12" s="248">
        <f t="shared" si="24"/>
        <v>1337451</v>
      </c>
      <c r="F12" s="248">
        <f t="shared" ca="1" si="24"/>
        <v>1220037</v>
      </c>
      <c r="G12" s="248">
        <f>SUM(G3:G11)</f>
        <v>1747330</v>
      </c>
      <c r="H12" s="248">
        <f ca="1">SUM(H3:H11)</f>
        <v>1968653</v>
      </c>
      <c r="I12" s="248">
        <f t="shared" si="24"/>
        <v>3029650</v>
      </c>
      <c r="J12" s="248">
        <f t="shared" ca="1" si="24"/>
        <v>4684945</v>
      </c>
      <c r="K12" s="248">
        <f t="shared" si="24"/>
        <v>2079954</v>
      </c>
      <c r="L12" s="248">
        <f ca="1">SUM(L3:L11)</f>
        <v>2297456</v>
      </c>
      <c r="M12" s="248">
        <f t="shared" si="24"/>
        <v>897160</v>
      </c>
      <c r="N12" s="248">
        <f t="shared" ca="1" si="24"/>
        <v>1000006</v>
      </c>
      <c r="O12" s="248">
        <f t="shared" si="24"/>
        <v>737270</v>
      </c>
      <c r="P12" s="248">
        <f t="shared" ca="1" si="24"/>
        <v>835373</v>
      </c>
      <c r="Q12" s="248">
        <f t="shared" si="24"/>
        <v>4039537</v>
      </c>
      <c r="R12" s="248">
        <f t="shared" ca="1" si="24"/>
        <v>4132835</v>
      </c>
      <c r="S12" s="248">
        <f t="shared" si="24"/>
        <v>0</v>
      </c>
      <c r="T12" s="248">
        <f t="shared" si="24"/>
        <v>0</v>
      </c>
      <c r="U12" s="248">
        <f t="shared" si="24"/>
        <v>0</v>
      </c>
      <c r="V12" s="248">
        <f t="shared" si="24"/>
        <v>0</v>
      </c>
      <c r="W12" s="248">
        <f t="shared" si="24"/>
        <v>0</v>
      </c>
      <c r="X12" s="248">
        <f t="shared" si="24"/>
        <v>0</v>
      </c>
      <c r="Y12" s="248">
        <f t="shared" si="24"/>
        <v>0</v>
      </c>
      <c r="Z12" s="248">
        <f t="shared" si="24"/>
        <v>0</v>
      </c>
      <c r="AA12" s="248">
        <f t="shared" si="24"/>
        <v>0</v>
      </c>
      <c r="AB12" s="248">
        <f t="shared" si="24"/>
        <v>0</v>
      </c>
      <c r="AC12" s="248">
        <f t="shared" si="24"/>
        <v>0</v>
      </c>
      <c r="AD12" s="248">
        <f t="shared" si="24"/>
        <v>0</v>
      </c>
      <c r="AE12" s="248">
        <f t="shared" si="24"/>
        <v>0</v>
      </c>
      <c r="AF12" s="248">
        <f t="shared" si="24"/>
        <v>0</v>
      </c>
      <c r="AG12" s="248">
        <f t="shared" si="24"/>
        <v>0</v>
      </c>
      <c r="AH12" s="248">
        <f t="shared" si="24"/>
        <v>0</v>
      </c>
      <c r="AI12" s="248">
        <f t="shared" si="24"/>
        <v>6455687</v>
      </c>
      <c r="AJ12" s="248">
        <f t="shared" ca="1" si="24"/>
        <v>8817780</v>
      </c>
    </row>
    <row r="13" spans="1:36" ht="15.4">
      <c r="A13" s="67"/>
      <c r="B13" s="73"/>
      <c r="C13" s="47"/>
      <c r="D13" s="47"/>
      <c r="E13" s="47"/>
      <c r="F13" s="47"/>
      <c r="H13" s="47"/>
      <c r="J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</row>
    <row r="14" spans="1:36" ht="14.65" thickBot="1">
      <c r="A14"/>
      <c r="B14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249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</row>
    <row r="15" spans="1:36">
      <c r="A15" s="228" t="s">
        <v>94</v>
      </c>
      <c r="B15" s="66" t="s">
        <v>112</v>
      </c>
      <c r="C15" s="23" t="s">
        <v>62</v>
      </c>
      <c r="D15" s="21" t="s">
        <v>34</v>
      </c>
      <c r="E15" s="23" t="s">
        <v>62</v>
      </c>
      <c r="F15" s="21" t="s">
        <v>34</v>
      </c>
      <c r="G15" s="23" t="s">
        <v>62</v>
      </c>
      <c r="H15" s="21" t="s">
        <v>34</v>
      </c>
      <c r="I15" s="23" t="s">
        <v>62</v>
      </c>
      <c r="J15" s="21" t="s">
        <v>34</v>
      </c>
      <c r="K15" s="23" t="s">
        <v>62</v>
      </c>
      <c r="L15" s="21" t="s">
        <v>34</v>
      </c>
      <c r="M15" s="23" t="s">
        <v>62</v>
      </c>
      <c r="N15" s="21" t="s">
        <v>34</v>
      </c>
      <c r="O15" s="23" t="s">
        <v>62</v>
      </c>
      <c r="P15" s="21" t="s">
        <v>34</v>
      </c>
      <c r="Q15" s="23" t="s">
        <v>62</v>
      </c>
      <c r="R15" s="21" t="s">
        <v>34</v>
      </c>
      <c r="S15" s="23" t="s">
        <v>62</v>
      </c>
      <c r="T15" s="21" t="s">
        <v>34</v>
      </c>
      <c r="U15" s="23" t="s">
        <v>62</v>
      </c>
      <c r="V15" s="21" t="s">
        <v>34</v>
      </c>
      <c r="W15" s="23" t="s">
        <v>62</v>
      </c>
      <c r="X15" s="21" t="s">
        <v>34</v>
      </c>
      <c r="Y15" s="23" t="s">
        <v>62</v>
      </c>
      <c r="Z15" s="21" t="s">
        <v>34</v>
      </c>
      <c r="AA15" s="23" t="s">
        <v>62</v>
      </c>
      <c r="AB15" s="21" t="s">
        <v>34</v>
      </c>
      <c r="AC15" s="23" t="s">
        <v>62</v>
      </c>
      <c r="AD15" s="21" t="s">
        <v>34</v>
      </c>
      <c r="AE15" s="23" t="s">
        <v>62</v>
      </c>
      <c r="AF15" s="21" t="s">
        <v>34</v>
      </c>
      <c r="AG15" s="23" t="s">
        <v>62</v>
      </c>
      <c r="AH15" s="21" t="s">
        <v>34</v>
      </c>
      <c r="AI15" s="23" t="s">
        <v>62</v>
      </c>
      <c r="AJ15" s="21" t="s">
        <v>34</v>
      </c>
    </row>
    <row r="16" spans="1:36">
      <c r="A16" s="468"/>
      <c r="B16" s="469"/>
      <c r="C16" s="397"/>
      <c r="D16" s="470"/>
      <c r="E16" s="397"/>
      <c r="F16" s="470"/>
      <c r="G16" s="397"/>
      <c r="H16" s="470"/>
      <c r="I16" s="471"/>
      <c r="J16" s="472"/>
      <c r="K16" s="397"/>
      <c r="L16" s="245"/>
      <c r="M16" s="229"/>
      <c r="N16" s="245"/>
      <c r="O16" s="229"/>
      <c r="P16" s="245"/>
      <c r="Q16" s="246"/>
      <c r="R16" s="232"/>
      <c r="S16" s="229"/>
      <c r="T16" s="245"/>
      <c r="U16" s="229"/>
      <c r="V16" s="245"/>
      <c r="W16" s="229"/>
      <c r="X16" s="245"/>
      <c r="Y16" s="247"/>
      <c r="Z16" s="232"/>
      <c r="AA16" s="229"/>
      <c r="AB16" s="245"/>
      <c r="AC16" s="229"/>
      <c r="AD16" s="245"/>
      <c r="AE16" s="229"/>
      <c r="AF16" s="245"/>
      <c r="AG16" s="231"/>
      <c r="AH16" s="232"/>
      <c r="AI16" s="231"/>
      <c r="AJ16" s="232"/>
    </row>
    <row r="17" spans="1:36">
      <c r="A17" s="67"/>
      <c r="B17" s="68"/>
      <c r="C17" s="229"/>
      <c r="D17" s="245"/>
      <c r="E17" s="229"/>
      <c r="F17" s="245"/>
      <c r="G17" s="229"/>
      <c r="H17" s="245"/>
      <c r="I17" s="246"/>
      <c r="J17" s="232">
        <f t="shared" ref="J17:J20" si="25">D17+F17+H17</f>
        <v>0</v>
      </c>
      <c r="K17" s="229"/>
      <c r="L17" s="245"/>
      <c r="M17" s="229"/>
      <c r="N17" s="245"/>
      <c r="O17" s="229"/>
      <c r="P17" s="245"/>
      <c r="Q17" s="246"/>
      <c r="R17" s="232">
        <f t="shared" ref="R17:R20" si="26">L17+N17+P17</f>
        <v>0</v>
      </c>
      <c r="S17" s="229"/>
      <c r="T17" s="245"/>
      <c r="U17" s="229"/>
      <c r="V17" s="245"/>
      <c r="W17" s="229"/>
      <c r="X17" s="245"/>
      <c r="Y17" s="247"/>
      <c r="Z17" s="232">
        <f t="shared" ref="Z17:Z20" si="27">T17+V17+X17</f>
        <v>0</v>
      </c>
      <c r="AA17" s="229"/>
      <c r="AB17" s="245"/>
      <c r="AC17" s="229"/>
      <c r="AD17" s="245"/>
      <c r="AE17" s="229"/>
      <c r="AF17" s="245"/>
      <c r="AG17" s="231"/>
      <c r="AH17" s="232">
        <f t="shared" ref="AH17:AH20" si="28">AB17+AD17+AF17</f>
        <v>0</v>
      </c>
      <c r="AI17" s="231"/>
      <c r="AJ17" s="232">
        <f t="shared" ref="AJ17:AJ20" si="29">R17+Z17+AH17</f>
        <v>0</v>
      </c>
    </row>
    <row r="18" spans="1:36">
      <c r="A18" s="67"/>
      <c r="B18" s="68"/>
      <c r="C18" s="229"/>
      <c r="D18" s="245"/>
      <c r="E18" s="229"/>
      <c r="F18" s="245"/>
      <c r="G18" s="229"/>
      <c r="H18" s="245"/>
      <c r="I18" s="246"/>
      <c r="J18" s="232">
        <f t="shared" si="25"/>
        <v>0</v>
      </c>
      <c r="K18" s="229"/>
      <c r="L18" s="245"/>
      <c r="M18" s="229"/>
      <c r="N18" s="245"/>
      <c r="O18" s="229"/>
      <c r="P18" s="245"/>
      <c r="Q18" s="246"/>
      <c r="R18" s="232">
        <f t="shared" si="26"/>
        <v>0</v>
      </c>
      <c r="S18" s="229"/>
      <c r="T18" s="245"/>
      <c r="U18" s="229"/>
      <c r="V18" s="245"/>
      <c r="W18" s="229"/>
      <c r="X18" s="245"/>
      <c r="Y18" s="247"/>
      <c r="Z18" s="232">
        <f t="shared" si="27"/>
        <v>0</v>
      </c>
      <c r="AA18" s="229"/>
      <c r="AB18" s="245"/>
      <c r="AC18" s="229"/>
      <c r="AD18" s="245"/>
      <c r="AE18" s="229"/>
      <c r="AF18" s="245"/>
      <c r="AG18" s="231"/>
      <c r="AH18" s="232">
        <f t="shared" si="28"/>
        <v>0</v>
      </c>
      <c r="AI18" s="231"/>
      <c r="AJ18" s="232">
        <f t="shared" si="29"/>
        <v>0</v>
      </c>
    </row>
    <row r="19" spans="1:36">
      <c r="A19" s="67"/>
      <c r="B19" s="68"/>
      <c r="C19" s="229"/>
      <c r="D19" s="245"/>
      <c r="E19" s="229"/>
      <c r="F19" s="245"/>
      <c r="G19" s="229"/>
      <c r="H19" s="245"/>
      <c r="I19" s="246"/>
      <c r="J19" s="232">
        <f t="shared" si="25"/>
        <v>0</v>
      </c>
      <c r="K19" s="229"/>
      <c r="L19" s="245"/>
      <c r="M19" s="229"/>
      <c r="N19" s="245"/>
      <c r="O19" s="229"/>
      <c r="P19" s="245"/>
      <c r="Q19" s="246"/>
      <c r="R19" s="232">
        <f t="shared" si="26"/>
        <v>0</v>
      </c>
      <c r="S19" s="229"/>
      <c r="T19" s="245"/>
      <c r="U19" s="229"/>
      <c r="V19" s="245"/>
      <c r="W19" s="229"/>
      <c r="X19" s="245"/>
      <c r="Y19" s="247"/>
      <c r="Z19" s="232">
        <f t="shared" si="27"/>
        <v>0</v>
      </c>
      <c r="AA19" s="229"/>
      <c r="AB19" s="245"/>
      <c r="AC19" s="229"/>
      <c r="AD19" s="245"/>
      <c r="AE19" s="229"/>
      <c r="AF19" s="245"/>
      <c r="AG19" s="231"/>
      <c r="AH19" s="232">
        <f t="shared" si="28"/>
        <v>0</v>
      </c>
      <c r="AI19" s="231"/>
      <c r="AJ19" s="232">
        <f t="shared" si="29"/>
        <v>0</v>
      </c>
    </row>
    <row r="20" spans="1:36">
      <c r="A20" s="67"/>
      <c r="B20" s="68"/>
      <c r="C20" s="229"/>
      <c r="D20" s="245"/>
      <c r="E20" s="229"/>
      <c r="F20" s="245"/>
      <c r="G20" s="229"/>
      <c r="H20" s="245"/>
      <c r="I20" s="246"/>
      <c r="J20" s="232">
        <f t="shared" si="25"/>
        <v>0</v>
      </c>
      <c r="K20" s="229"/>
      <c r="L20" s="245"/>
      <c r="M20" s="229"/>
      <c r="N20" s="245"/>
      <c r="O20" s="229"/>
      <c r="P20" s="245"/>
      <c r="Q20" s="246"/>
      <c r="R20" s="232">
        <f t="shared" si="26"/>
        <v>0</v>
      </c>
      <c r="S20" s="229"/>
      <c r="T20" s="245"/>
      <c r="U20" s="229"/>
      <c r="V20" s="245"/>
      <c r="W20" s="229"/>
      <c r="X20" s="245"/>
      <c r="Y20" s="247"/>
      <c r="Z20" s="232">
        <f t="shared" si="27"/>
        <v>0</v>
      </c>
      <c r="AA20" s="229"/>
      <c r="AB20" s="245"/>
      <c r="AC20" s="229"/>
      <c r="AD20" s="245"/>
      <c r="AE20" s="229"/>
      <c r="AF20" s="245"/>
      <c r="AG20" s="231"/>
      <c r="AH20" s="232">
        <f t="shared" si="28"/>
        <v>0</v>
      </c>
      <c r="AI20" s="231"/>
      <c r="AJ20" s="232">
        <f t="shared" si="29"/>
        <v>0</v>
      </c>
    </row>
    <row r="21" spans="1:36">
      <c r="A21" s="66"/>
      <c r="B21" s="64" t="s">
        <v>97</v>
      </c>
      <c r="C21" s="250">
        <f>SUM(C15:C20)</f>
        <v>0</v>
      </c>
      <c r="D21" s="248">
        <f>SUM(D16:D20)</f>
        <v>0</v>
      </c>
      <c r="E21" s="248">
        <f>SUM(E15:E20)</f>
        <v>0</v>
      </c>
      <c r="F21" s="248">
        <f>SUM(F16:F20)</f>
        <v>0</v>
      </c>
      <c r="G21" s="248">
        <f>SUM(G15:G20)</f>
        <v>0</v>
      </c>
      <c r="H21" s="248">
        <v>0</v>
      </c>
      <c r="I21" s="248">
        <f>SUM(I15:I20)</f>
        <v>0</v>
      </c>
      <c r="J21" s="248">
        <f>SUM(J16:J20)</f>
        <v>0</v>
      </c>
      <c r="K21" s="248">
        <f>SUM(K15:K20)</f>
        <v>0</v>
      </c>
      <c r="L21" s="248">
        <f>SUM(L16:L20)</f>
        <v>0</v>
      </c>
      <c r="M21" s="248">
        <f>SUM(M15:M20)</f>
        <v>0</v>
      </c>
      <c r="N21" s="248">
        <f>SUM(N16:N20)</f>
        <v>0</v>
      </c>
      <c r="O21" s="248">
        <f>SUM(O15:O20)</f>
        <v>0</v>
      </c>
      <c r="P21" s="248">
        <f>SUM(P16:P20)</f>
        <v>0</v>
      </c>
      <c r="Q21" s="248">
        <f>SUM(Q15:Q20)</f>
        <v>0</v>
      </c>
      <c r="R21" s="248">
        <f>SUM(R16:R20)</f>
        <v>0</v>
      </c>
      <c r="S21" s="248"/>
      <c r="T21" s="248">
        <f>SUM(T16:T20)</f>
        <v>0</v>
      </c>
      <c r="U21" s="248"/>
      <c r="V21" s="248">
        <f>SUM(V16:V20)</f>
        <v>0</v>
      </c>
      <c r="W21" s="248"/>
      <c r="X21" s="248">
        <f>SUM(X16:X20)</f>
        <v>0</v>
      </c>
      <c r="Y21" s="248"/>
      <c r="Z21" s="248">
        <f>SUM(Z16:Z20)</f>
        <v>0</v>
      </c>
      <c r="AA21" s="248"/>
      <c r="AB21" s="248">
        <f>SUM(AB16:AB20)</f>
        <v>0</v>
      </c>
      <c r="AC21" s="248"/>
      <c r="AD21" s="248">
        <f>SUM(AD16:AD20)</f>
        <v>0</v>
      </c>
      <c r="AE21" s="248"/>
      <c r="AF21" s="248">
        <f>SUM(AF16:AF20)</f>
        <v>0</v>
      </c>
      <c r="AG21" s="248"/>
      <c r="AH21" s="248">
        <f>SUM(AH16:AH20)</f>
        <v>0</v>
      </c>
      <c r="AI21" s="248">
        <f>SUM(AI15:AI20)</f>
        <v>0</v>
      </c>
      <c r="AJ21" s="248">
        <f>SUM(AJ16:AJ20)</f>
        <v>0</v>
      </c>
    </row>
    <row r="22" spans="1:36" ht="14.65" thickBot="1">
      <c r="A22"/>
      <c r="B22" s="6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</row>
    <row r="23" spans="1:36">
      <c r="A23" s="66" t="s">
        <v>98</v>
      </c>
      <c r="B23" s="66" t="s">
        <v>111</v>
      </c>
      <c r="C23" s="23" t="s">
        <v>62</v>
      </c>
      <c r="D23" s="21" t="s">
        <v>34</v>
      </c>
      <c r="E23" s="23" t="s">
        <v>62</v>
      </c>
      <c r="F23" s="21" t="s">
        <v>34</v>
      </c>
      <c r="G23" s="23" t="s">
        <v>62</v>
      </c>
      <c r="H23" s="21" t="s">
        <v>34</v>
      </c>
      <c r="I23" s="23" t="s">
        <v>62</v>
      </c>
      <c r="J23" s="21" t="s">
        <v>34</v>
      </c>
      <c r="K23" s="23" t="s">
        <v>62</v>
      </c>
      <c r="L23" s="21" t="s">
        <v>34</v>
      </c>
      <c r="M23" s="23" t="s">
        <v>62</v>
      </c>
      <c r="N23" s="21" t="s">
        <v>34</v>
      </c>
      <c r="O23" s="23" t="s">
        <v>62</v>
      </c>
      <c r="P23" s="21" t="s">
        <v>34</v>
      </c>
      <c r="Q23" s="23" t="s">
        <v>62</v>
      </c>
      <c r="R23" s="21" t="s">
        <v>34</v>
      </c>
      <c r="S23" s="23"/>
      <c r="T23" s="21" t="s">
        <v>34</v>
      </c>
      <c r="U23" s="23"/>
      <c r="V23" s="21" t="s">
        <v>34</v>
      </c>
      <c r="W23" s="23"/>
      <c r="X23" s="21" t="s">
        <v>34</v>
      </c>
      <c r="Y23" s="23"/>
      <c r="Z23" s="21" t="s">
        <v>34</v>
      </c>
      <c r="AA23" s="23"/>
      <c r="AB23" s="21" t="s">
        <v>34</v>
      </c>
      <c r="AC23" s="23"/>
      <c r="AD23" s="21" t="s">
        <v>34</v>
      </c>
      <c r="AE23" s="23"/>
      <c r="AF23" s="21" t="s">
        <v>34</v>
      </c>
      <c r="AG23" s="23"/>
      <c r="AH23" s="21" t="s">
        <v>34</v>
      </c>
      <c r="AI23" s="23" t="s">
        <v>62</v>
      </c>
      <c r="AJ23" s="21" t="s">
        <v>34</v>
      </c>
    </row>
    <row r="24" spans="1:36">
      <c r="A24" s="67" t="s">
        <v>99</v>
      </c>
      <c r="B24" s="68" t="s">
        <v>106</v>
      </c>
      <c r="C24" s="229">
        <v>220645</v>
      </c>
      <c r="D24" s="230">
        <f ca="1">C24+RANDBETWEEN(10000,100000)</f>
        <v>260488</v>
      </c>
      <c r="E24" s="229">
        <v>279866</v>
      </c>
      <c r="F24" s="230">
        <f ca="1">E24+RANDBETWEEN(10000,100000)</f>
        <v>341517</v>
      </c>
      <c r="G24" s="229">
        <v>513448</v>
      </c>
      <c r="H24" s="230">
        <f ca="1">G24+RANDBETWEEN(10000,100000)</f>
        <v>573159</v>
      </c>
      <c r="I24" s="246">
        <v>812841</v>
      </c>
      <c r="J24" s="232">
        <f t="shared" ref="J24:J29" ca="1" si="30">D24+F24+H24</f>
        <v>1175164</v>
      </c>
      <c r="K24" s="229">
        <v>710399</v>
      </c>
      <c r="L24" s="230">
        <f ca="1">K24+RANDBETWEEN(10000,100000)</f>
        <v>804902</v>
      </c>
      <c r="M24" s="229">
        <v>330807</v>
      </c>
      <c r="N24" s="230">
        <f ca="1">M24+RANDBETWEEN(10000,100000)</f>
        <v>422862</v>
      </c>
      <c r="O24" s="229">
        <v>505215</v>
      </c>
      <c r="P24" s="230">
        <f ca="1">O24+RANDBETWEEN(10000,100000)</f>
        <v>583807</v>
      </c>
      <c r="Q24" s="246">
        <v>325448</v>
      </c>
      <c r="R24" s="232">
        <f t="shared" ref="R24:R29" ca="1" si="31">L24+N24+P24</f>
        <v>1811571</v>
      </c>
      <c r="S24" s="229"/>
      <c r="T24" s="245"/>
      <c r="U24" s="229"/>
      <c r="V24" s="245"/>
      <c r="W24" s="229"/>
      <c r="X24" s="245"/>
      <c r="Y24" s="247"/>
      <c r="Z24" s="232">
        <f t="shared" ref="Z24:Z29" si="32">T24+V24+X24</f>
        <v>0</v>
      </c>
      <c r="AA24" s="229"/>
      <c r="AB24" s="245"/>
      <c r="AC24" s="229"/>
      <c r="AD24" s="245"/>
      <c r="AE24" s="229"/>
      <c r="AF24" s="245"/>
      <c r="AG24" s="231"/>
      <c r="AH24" s="232">
        <f t="shared" ref="AH24:AH29" si="33">AB24+AD24+AF24</f>
        <v>0</v>
      </c>
      <c r="AI24" s="231">
        <v>732802</v>
      </c>
      <c r="AJ24" s="232">
        <f t="shared" ref="AJ24:AJ29" ca="1" si="34">R24+Z24+AH24</f>
        <v>1811571</v>
      </c>
    </row>
    <row r="25" spans="1:36">
      <c r="A25" s="67"/>
      <c r="B25" s="68" t="s">
        <v>180</v>
      </c>
      <c r="C25" s="229"/>
      <c r="D25" s="245"/>
      <c r="E25" s="229"/>
      <c r="F25" s="245"/>
      <c r="G25" s="229"/>
      <c r="H25" s="245"/>
      <c r="I25" s="246"/>
      <c r="J25" s="232">
        <f t="shared" si="30"/>
        <v>0</v>
      </c>
      <c r="K25" s="229"/>
      <c r="L25" s="245"/>
      <c r="M25" s="229"/>
      <c r="N25" s="245"/>
      <c r="O25" s="229"/>
      <c r="P25" s="245"/>
      <c r="Q25" s="246"/>
      <c r="R25" s="232">
        <f t="shared" si="31"/>
        <v>0</v>
      </c>
      <c r="S25" s="229"/>
      <c r="T25" s="245"/>
      <c r="U25" s="229"/>
      <c r="V25" s="245"/>
      <c r="W25" s="229"/>
      <c r="X25" s="245"/>
      <c r="Y25" s="247"/>
      <c r="Z25" s="232">
        <f t="shared" si="32"/>
        <v>0</v>
      </c>
      <c r="AA25" s="229"/>
      <c r="AB25" s="245"/>
      <c r="AC25" s="229"/>
      <c r="AD25" s="245"/>
      <c r="AE25" s="229"/>
      <c r="AF25" s="245"/>
      <c r="AG25" s="231"/>
      <c r="AH25" s="232">
        <f t="shared" si="33"/>
        <v>0</v>
      </c>
      <c r="AI25" s="231"/>
      <c r="AJ25" s="232">
        <f t="shared" si="34"/>
        <v>0</v>
      </c>
    </row>
    <row r="26" spans="1:36">
      <c r="A26" s="67"/>
      <c r="B26" s="68"/>
      <c r="C26" s="229"/>
      <c r="D26" s="245"/>
      <c r="E26" s="229"/>
      <c r="F26" s="245"/>
      <c r="G26" s="229"/>
      <c r="H26" s="245"/>
      <c r="I26" s="246"/>
      <c r="J26" s="232">
        <f t="shared" si="30"/>
        <v>0</v>
      </c>
      <c r="K26" s="229"/>
      <c r="L26" s="245"/>
      <c r="M26" s="229"/>
      <c r="N26" s="245"/>
      <c r="O26" s="229"/>
      <c r="P26" s="245"/>
      <c r="Q26" s="246"/>
      <c r="R26" s="232">
        <f t="shared" si="31"/>
        <v>0</v>
      </c>
      <c r="S26" s="229"/>
      <c r="T26" s="245"/>
      <c r="U26" s="229"/>
      <c r="V26" s="245"/>
      <c r="W26" s="229"/>
      <c r="X26" s="245"/>
      <c r="Y26" s="247"/>
      <c r="Z26" s="232">
        <f t="shared" si="32"/>
        <v>0</v>
      </c>
      <c r="AA26" s="229"/>
      <c r="AB26" s="245"/>
      <c r="AC26" s="229"/>
      <c r="AD26" s="245"/>
      <c r="AE26" s="229"/>
      <c r="AF26" s="245"/>
      <c r="AG26" s="231"/>
      <c r="AH26" s="232">
        <f t="shared" si="33"/>
        <v>0</v>
      </c>
      <c r="AI26" s="231"/>
      <c r="AJ26" s="232">
        <f t="shared" si="34"/>
        <v>0</v>
      </c>
    </row>
    <row r="27" spans="1:36">
      <c r="A27" s="67"/>
      <c r="B27" s="68"/>
      <c r="C27" s="229"/>
      <c r="D27" s="245"/>
      <c r="E27" s="229"/>
      <c r="F27" s="245"/>
      <c r="G27" s="229"/>
      <c r="H27" s="245"/>
      <c r="I27" s="246"/>
      <c r="J27" s="232">
        <f t="shared" si="30"/>
        <v>0</v>
      </c>
      <c r="K27" s="229"/>
      <c r="L27" s="245"/>
      <c r="M27" s="229"/>
      <c r="N27" s="245"/>
      <c r="O27" s="229"/>
      <c r="P27" s="245"/>
      <c r="Q27" s="246"/>
      <c r="R27" s="232">
        <f t="shared" si="31"/>
        <v>0</v>
      </c>
      <c r="S27" s="229"/>
      <c r="T27" s="245"/>
      <c r="U27" s="229"/>
      <c r="V27" s="245"/>
      <c r="W27" s="229"/>
      <c r="X27" s="245"/>
      <c r="Y27" s="247"/>
      <c r="Z27" s="232">
        <f t="shared" si="32"/>
        <v>0</v>
      </c>
      <c r="AA27" s="229"/>
      <c r="AB27" s="245"/>
      <c r="AC27" s="229"/>
      <c r="AD27" s="245"/>
      <c r="AE27" s="229"/>
      <c r="AF27" s="245"/>
      <c r="AG27" s="231"/>
      <c r="AH27" s="232">
        <f t="shared" si="33"/>
        <v>0</v>
      </c>
      <c r="AI27" s="231"/>
      <c r="AJ27" s="232">
        <f t="shared" si="34"/>
        <v>0</v>
      </c>
    </row>
    <row r="28" spans="1:36">
      <c r="A28" s="67"/>
      <c r="B28" s="68"/>
      <c r="C28" s="229"/>
      <c r="D28" s="245"/>
      <c r="E28" s="229"/>
      <c r="F28" s="245"/>
      <c r="G28" s="229"/>
      <c r="H28" s="245"/>
      <c r="I28" s="246"/>
      <c r="J28" s="232">
        <f t="shared" si="30"/>
        <v>0</v>
      </c>
      <c r="K28" s="229"/>
      <c r="L28" s="245"/>
      <c r="M28" s="229"/>
      <c r="N28" s="245"/>
      <c r="O28" s="229"/>
      <c r="P28" s="245"/>
      <c r="Q28" s="246"/>
      <c r="R28" s="232">
        <f t="shared" si="31"/>
        <v>0</v>
      </c>
      <c r="S28" s="229"/>
      <c r="T28" s="245"/>
      <c r="U28" s="229"/>
      <c r="V28" s="245"/>
      <c r="W28" s="229"/>
      <c r="X28" s="245"/>
      <c r="Y28" s="247"/>
      <c r="Z28" s="232">
        <f t="shared" si="32"/>
        <v>0</v>
      </c>
      <c r="AA28" s="229"/>
      <c r="AB28" s="245"/>
      <c r="AC28" s="229"/>
      <c r="AD28" s="245"/>
      <c r="AE28" s="229"/>
      <c r="AF28" s="245"/>
      <c r="AG28" s="231"/>
      <c r="AH28" s="232">
        <f t="shared" si="33"/>
        <v>0</v>
      </c>
      <c r="AI28" s="231"/>
      <c r="AJ28" s="232">
        <f t="shared" si="34"/>
        <v>0</v>
      </c>
    </row>
    <row r="29" spans="1:36">
      <c r="A29" s="67"/>
      <c r="B29" s="68"/>
      <c r="C29" s="229"/>
      <c r="D29" s="245"/>
      <c r="E29" s="229"/>
      <c r="F29" s="245"/>
      <c r="G29" s="229"/>
      <c r="H29" s="245"/>
      <c r="I29" s="246"/>
      <c r="J29" s="232">
        <f t="shared" si="30"/>
        <v>0</v>
      </c>
      <c r="K29" s="229"/>
      <c r="L29" s="245"/>
      <c r="M29" s="229"/>
      <c r="N29" s="245"/>
      <c r="O29" s="229"/>
      <c r="P29" s="245"/>
      <c r="Q29" s="246"/>
      <c r="R29" s="232">
        <f t="shared" si="31"/>
        <v>0</v>
      </c>
      <c r="S29" s="229"/>
      <c r="T29" s="245"/>
      <c r="U29" s="229"/>
      <c r="V29" s="245"/>
      <c r="W29" s="229"/>
      <c r="X29" s="245"/>
      <c r="Y29" s="247"/>
      <c r="Z29" s="232">
        <f t="shared" si="32"/>
        <v>0</v>
      </c>
      <c r="AA29" s="229"/>
      <c r="AB29" s="245"/>
      <c r="AC29" s="229"/>
      <c r="AD29" s="245"/>
      <c r="AE29" s="229"/>
      <c r="AF29" s="245"/>
      <c r="AG29" s="231"/>
      <c r="AH29" s="232">
        <f t="shared" si="33"/>
        <v>0</v>
      </c>
      <c r="AI29" s="231"/>
      <c r="AJ29" s="232">
        <f t="shared" si="34"/>
        <v>0</v>
      </c>
    </row>
    <row r="30" spans="1:36">
      <c r="A30" s="66"/>
      <c r="B30" s="64" t="s">
        <v>97</v>
      </c>
      <c r="C30" s="250">
        <f>SUM(C24:C29)</f>
        <v>220645</v>
      </c>
      <c r="D30" s="248">
        <f t="shared" ref="D30:AJ30" ca="1" si="35">SUM(D24:D29)</f>
        <v>260488</v>
      </c>
      <c r="E30" s="248">
        <f>SUM(E24:E29)</f>
        <v>279866</v>
      </c>
      <c r="F30" s="248">
        <v>5396</v>
      </c>
      <c r="G30" s="248">
        <f>SUM(G24:G29)</f>
        <v>513448</v>
      </c>
      <c r="H30" s="248">
        <f t="shared" ca="1" si="35"/>
        <v>573159</v>
      </c>
      <c r="I30" s="248">
        <f>SUM(I24:I29)</f>
        <v>812841</v>
      </c>
      <c r="J30" s="248">
        <f t="shared" ca="1" si="35"/>
        <v>1175164</v>
      </c>
      <c r="K30" s="248">
        <f>SUM(K24:K29)</f>
        <v>710399</v>
      </c>
      <c r="L30" s="248">
        <f t="shared" ca="1" si="35"/>
        <v>804902</v>
      </c>
      <c r="M30" s="248">
        <f>SUM(M24:M29)</f>
        <v>330807</v>
      </c>
      <c r="N30" s="248">
        <f t="shared" ca="1" si="35"/>
        <v>422862</v>
      </c>
      <c r="O30" s="248">
        <f>SUM(O24:O29)</f>
        <v>505215</v>
      </c>
      <c r="P30" s="248">
        <f t="shared" ca="1" si="35"/>
        <v>583807</v>
      </c>
      <c r="Q30" s="248">
        <f>SUM(Q24:Q29)</f>
        <v>325448</v>
      </c>
      <c r="R30" s="248">
        <f t="shared" ca="1" si="35"/>
        <v>1811571</v>
      </c>
      <c r="S30" s="248"/>
      <c r="T30" s="248">
        <f t="shared" si="35"/>
        <v>0</v>
      </c>
      <c r="U30" s="248"/>
      <c r="V30" s="248">
        <f t="shared" si="35"/>
        <v>0</v>
      </c>
      <c r="W30" s="248"/>
      <c r="X30" s="248">
        <f t="shared" si="35"/>
        <v>0</v>
      </c>
      <c r="Y30" s="248"/>
      <c r="Z30" s="248">
        <f t="shared" si="35"/>
        <v>0</v>
      </c>
      <c r="AA30" s="248"/>
      <c r="AB30" s="248">
        <f t="shared" si="35"/>
        <v>0</v>
      </c>
      <c r="AC30" s="248"/>
      <c r="AD30" s="248">
        <f t="shared" si="35"/>
        <v>0</v>
      </c>
      <c r="AE30" s="248"/>
      <c r="AF30" s="248">
        <f t="shared" si="35"/>
        <v>0</v>
      </c>
      <c r="AG30" s="248"/>
      <c r="AH30" s="248">
        <f t="shared" si="35"/>
        <v>0</v>
      </c>
      <c r="AI30" s="248">
        <f>SUM(AI24:AI29)</f>
        <v>732802</v>
      </c>
      <c r="AJ30" s="248">
        <f t="shared" ca="1" si="35"/>
        <v>1811571</v>
      </c>
    </row>
    <row r="31" spans="1:36" ht="14.65" thickBot="1">
      <c r="A31"/>
      <c r="B31" s="67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</row>
    <row r="32" spans="1:36">
      <c r="A32" s="66" t="s">
        <v>100</v>
      </c>
      <c r="B32" s="66" t="s">
        <v>111</v>
      </c>
      <c r="C32" s="23" t="s">
        <v>62</v>
      </c>
      <c r="D32" s="21" t="s">
        <v>34</v>
      </c>
      <c r="E32" s="23" t="s">
        <v>62</v>
      </c>
      <c r="F32" s="21" t="s">
        <v>34</v>
      </c>
      <c r="G32" s="23" t="s">
        <v>62</v>
      </c>
      <c r="H32" s="21" t="s">
        <v>34</v>
      </c>
      <c r="I32" s="23" t="s">
        <v>62</v>
      </c>
      <c r="J32" s="21" t="s">
        <v>34</v>
      </c>
      <c r="K32" s="23" t="s">
        <v>62</v>
      </c>
      <c r="L32" s="21" t="s">
        <v>34</v>
      </c>
      <c r="M32" s="23" t="s">
        <v>62</v>
      </c>
      <c r="N32" s="21" t="s">
        <v>34</v>
      </c>
      <c r="O32" s="23" t="s">
        <v>62</v>
      </c>
      <c r="P32" s="21" t="s">
        <v>34</v>
      </c>
      <c r="Q32" s="23" t="s">
        <v>62</v>
      </c>
      <c r="R32" s="21" t="s">
        <v>34</v>
      </c>
      <c r="S32" s="23"/>
      <c r="T32" s="21" t="s">
        <v>34</v>
      </c>
      <c r="U32" s="23"/>
      <c r="V32" s="21" t="s">
        <v>34</v>
      </c>
      <c r="W32" s="23"/>
      <c r="X32" s="21" t="s">
        <v>34</v>
      </c>
      <c r="Y32" s="23"/>
      <c r="Z32" s="21" t="s">
        <v>34</v>
      </c>
      <c r="AA32" s="23"/>
      <c r="AB32" s="21" t="s">
        <v>34</v>
      </c>
      <c r="AC32" s="23"/>
      <c r="AD32" s="21" t="s">
        <v>34</v>
      </c>
      <c r="AE32" s="23"/>
      <c r="AF32" s="21" t="s">
        <v>34</v>
      </c>
      <c r="AG32" s="23"/>
      <c r="AH32" s="21" t="s">
        <v>34</v>
      </c>
      <c r="AI32" s="23" t="s">
        <v>62</v>
      </c>
      <c r="AJ32" s="21" t="s">
        <v>34</v>
      </c>
    </row>
    <row r="33" spans="1:36">
      <c r="A33" s="67" t="s">
        <v>164</v>
      </c>
      <c r="B33" s="68" t="s">
        <v>104</v>
      </c>
      <c r="C33" s="229"/>
      <c r="D33" s="245"/>
      <c r="E33" s="229"/>
      <c r="F33" s="245"/>
      <c r="G33" s="229">
        <v>236224</v>
      </c>
      <c r="H33" s="230">
        <f ca="1">G33+RANDBETWEEN(10000,100000)</f>
        <v>261404</v>
      </c>
      <c r="I33" s="246">
        <v>847347</v>
      </c>
      <c r="J33" s="232">
        <f t="shared" ref="J33:J38" ca="1" si="36">D33+F33+H33</f>
        <v>261404</v>
      </c>
      <c r="K33" s="229">
        <v>753607</v>
      </c>
      <c r="L33" s="230">
        <f ca="1">K33+RANDBETWEEN(10000,100000)</f>
        <v>836798</v>
      </c>
      <c r="M33" s="229">
        <v>566353</v>
      </c>
      <c r="N33" s="230">
        <f ca="1">M33+RANDBETWEEN(10000,100000)</f>
        <v>577144</v>
      </c>
      <c r="O33" s="229">
        <v>232055</v>
      </c>
      <c r="P33" s="230">
        <f ca="1">O33+RANDBETWEEN(10000,100000)</f>
        <v>251566</v>
      </c>
      <c r="Q33" s="246">
        <v>319708</v>
      </c>
      <c r="R33" s="232">
        <f t="shared" ref="R33:R38" ca="1" si="37">L33+N33+P33</f>
        <v>1665508</v>
      </c>
      <c r="S33" s="229"/>
      <c r="T33" s="245"/>
      <c r="U33" s="229"/>
      <c r="V33" s="245"/>
      <c r="W33" s="229"/>
      <c r="X33" s="245"/>
      <c r="Y33" s="247"/>
      <c r="Z33" s="232">
        <f t="shared" ref="Z33:Z38" si="38">T33+V33+X33</f>
        <v>0</v>
      </c>
      <c r="AA33" s="229"/>
      <c r="AB33" s="245"/>
      <c r="AC33" s="229"/>
      <c r="AD33" s="245"/>
      <c r="AE33" s="229"/>
      <c r="AF33" s="245"/>
      <c r="AG33" s="231"/>
      <c r="AH33" s="232">
        <f t="shared" ref="AH33:AH38" si="39">AB33+AD33+AF33</f>
        <v>0</v>
      </c>
      <c r="AI33" s="231">
        <v>466706</v>
      </c>
      <c r="AJ33" s="232">
        <f t="shared" ref="AJ33:AJ38" ca="1" si="40">R33+Z33+AH33</f>
        <v>1665508</v>
      </c>
    </row>
    <row r="34" spans="1:36">
      <c r="A34" s="67"/>
      <c r="B34" s="68" t="s">
        <v>180</v>
      </c>
      <c r="C34" s="229"/>
      <c r="D34" s="245"/>
      <c r="E34" s="229"/>
      <c r="F34" s="245"/>
      <c r="G34" s="229"/>
      <c r="H34" s="245"/>
      <c r="I34" s="246"/>
      <c r="J34" s="232">
        <f t="shared" si="36"/>
        <v>0</v>
      </c>
      <c r="K34" s="229"/>
      <c r="L34" s="245"/>
      <c r="M34" s="229"/>
      <c r="N34" s="245"/>
      <c r="O34" s="229"/>
      <c r="P34" s="245"/>
      <c r="Q34" s="246"/>
      <c r="R34" s="232">
        <f t="shared" si="37"/>
        <v>0</v>
      </c>
      <c r="S34" s="229"/>
      <c r="T34" s="245"/>
      <c r="U34" s="229"/>
      <c r="V34" s="245"/>
      <c r="W34" s="229"/>
      <c r="X34" s="245"/>
      <c r="Y34" s="247"/>
      <c r="Z34" s="232">
        <f t="shared" si="38"/>
        <v>0</v>
      </c>
      <c r="AA34" s="229"/>
      <c r="AB34" s="245"/>
      <c r="AC34" s="229"/>
      <c r="AD34" s="245"/>
      <c r="AE34" s="229"/>
      <c r="AF34" s="245"/>
      <c r="AG34" s="231"/>
      <c r="AH34" s="232">
        <f t="shared" si="39"/>
        <v>0</v>
      </c>
      <c r="AI34" s="231"/>
      <c r="AJ34" s="232">
        <f t="shared" si="40"/>
        <v>0</v>
      </c>
    </row>
    <row r="35" spans="1:36">
      <c r="A35" s="67"/>
      <c r="B35" s="68"/>
      <c r="C35" s="229"/>
      <c r="D35" s="245"/>
      <c r="E35" s="229"/>
      <c r="F35" s="245"/>
      <c r="G35" s="229"/>
      <c r="H35" s="245"/>
      <c r="I35" s="246"/>
      <c r="J35" s="232">
        <f t="shared" si="36"/>
        <v>0</v>
      </c>
      <c r="K35" s="229"/>
      <c r="L35" s="245"/>
      <c r="M35" s="229"/>
      <c r="N35" s="245"/>
      <c r="O35" s="229"/>
      <c r="P35" s="245"/>
      <c r="Q35" s="246"/>
      <c r="R35" s="232">
        <f t="shared" si="37"/>
        <v>0</v>
      </c>
      <c r="S35" s="229"/>
      <c r="T35" s="245"/>
      <c r="U35" s="229"/>
      <c r="V35" s="245"/>
      <c r="W35" s="229"/>
      <c r="X35" s="245"/>
      <c r="Y35" s="247"/>
      <c r="Z35" s="232">
        <f t="shared" si="38"/>
        <v>0</v>
      </c>
      <c r="AA35" s="229"/>
      <c r="AB35" s="245"/>
      <c r="AC35" s="229"/>
      <c r="AD35" s="245"/>
      <c r="AE35" s="229"/>
      <c r="AF35" s="245"/>
      <c r="AG35" s="231"/>
      <c r="AH35" s="232">
        <f t="shared" si="39"/>
        <v>0</v>
      </c>
      <c r="AI35" s="231"/>
      <c r="AJ35" s="232">
        <f t="shared" si="40"/>
        <v>0</v>
      </c>
    </row>
    <row r="36" spans="1:36">
      <c r="A36" s="67"/>
      <c r="B36" s="68"/>
      <c r="C36" s="229"/>
      <c r="D36" s="245"/>
      <c r="E36" s="229"/>
      <c r="F36" s="245"/>
      <c r="G36" s="229"/>
      <c r="H36" s="245"/>
      <c r="I36" s="246"/>
      <c r="J36" s="232">
        <f t="shared" si="36"/>
        <v>0</v>
      </c>
      <c r="K36" s="229"/>
      <c r="L36" s="245"/>
      <c r="M36" s="229"/>
      <c r="N36" s="245"/>
      <c r="O36" s="229"/>
      <c r="P36" s="245"/>
      <c r="Q36" s="246"/>
      <c r="R36" s="232">
        <f t="shared" si="37"/>
        <v>0</v>
      </c>
      <c r="S36" s="229"/>
      <c r="T36" s="245"/>
      <c r="U36" s="229"/>
      <c r="V36" s="245"/>
      <c r="W36" s="229"/>
      <c r="X36" s="245"/>
      <c r="Y36" s="247"/>
      <c r="Z36" s="232">
        <f t="shared" si="38"/>
        <v>0</v>
      </c>
      <c r="AA36" s="229"/>
      <c r="AB36" s="245"/>
      <c r="AC36" s="229"/>
      <c r="AD36" s="245"/>
      <c r="AE36" s="229"/>
      <c r="AF36" s="245"/>
      <c r="AG36" s="231"/>
      <c r="AH36" s="232">
        <f t="shared" si="39"/>
        <v>0</v>
      </c>
      <c r="AI36" s="231"/>
      <c r="AJ36" s="232">
        <f t="shared" si="40"/>
        <v>0</v>
      </c>
    </row>
    <row r="37" spans="1:36">
      <c r="A37" s="67"/>
      <c r="B37" s="68"/>
      <c r="C37" s="229"/>
      <c r="D37" s="245"/>
      <c r="E37" s="229"/>
      <c r="F37" s="245"/>
      <c r="G37" s="229"/>
      <c r="H37" s="245"/>
      <c r="I37" s="246"/>
      <c r="J37" s="232">
        <f t="shared" si="36"/>
        <v>0</v>
      </c>
      <c r="K37" s="229"/>
      <c r="L37" s="245"/>
      <c r="M37" s="229"/>
      <c r="N37" s="245"/>
      <c r="O37" s="229"/>
      <c r="P37" s="245"/>
      <c r="Q37" s="246"/>
      <c r="R37" s="232">
        <f t="shared" si="37"/>
        <v>0</v>
      </c>
      <c r="S37" s="229"/>
      <c r="T37" s="245"/>
      <c r="U37" s="229"/>
      <c r="V37" s="245"/>
      <c r="W37" s="229"/>
      <c r="X37" s="245"/>
      <c r="Y37" s="247"/>
      <c r="Z37" s="232">
        <f t="shared" si="38"/>
        <v>0</v>
      </c>
      <c r="AA37" s="229"/>
      <c r="AB37" s="245"/>
      <c r="AC37" s="229"/>
      <c r="AD37" s="245"/>
      <c r="AE37" s="229"/>
      <c r="AF37" s="245"/>
      <c r="AG37" s="231"/>
      <c r="AH37" s="232">
        <f t="shared" si="39"/>
        <v>0</v>
      </c>
      <c r="AI37" s="231"/>
      <c r="AJ37" s="232">
        <f t="shared" si="40"/>
        <v>0</v>
      </c>
    </row>
    <row r="38" spans="1:36">
      <c r="A38" s="67"/>
      <c r="B38" s="68"/>
      <c r="C38" s="229"/>
      <c r="D38" s="245"/>
      <c r="E38" s="229"/>
      <c r="F38" s="245"/>
      <c r="G38" s="229"/>
      <c r="H38" s="245"/>
      <c r="I38" s="246"/>
      <c r="J38" s="232">
        <f t="shared" si="36"/>
        <v>0</v>
      </c>
      <c r="K38" s="229"/>
      <c r="L38" s="245"/>
      <c r="M38" s="229"/>
      <c r="N38" s="245"/>
      <c r="O38" s="229"/>
      <c r="P38" s="245"/>
      <c r="Q38" s="246"/>
      <c r="R38" s="232">
        <f t="shared" si="37"/>
        <v>0</v>
      </c>
      <c r="S38" s="229"/>
      <c r="T38" s="245"/>
      <c r="U38" s="229"/>
      <c r="V38" s="245"/>
      <c r="W38" s="229"/>
      <c r="X38" s="245"/>
      <c r="Y38" s="247"/>
      <c r="Z38" s="232">
        <f t="shared" si="38"/>
        <v>0</v>
      </c>
      <c r="AA38" s="229"/>
      <c r="AB38" s="245"/>
      <c r="AC38" s="229"/>
      <c r="AD38" s="245"/>
      <c r="AE38" s="229"/>
      <c r="AF38" s="245"/>
      <c r="AG38" s="231"/>
      <c r="AH38" s="232">
        <f t="shared" si="39"/>
        <v>0</v>
      </c>
      <c r="AI38" s="231"/>
      <c r="AJ38" s="232">
        <f t="shared" si="40"/>
        <v>0</v>
      </c>
    </row>
    <row r="39" spans="1:36">
      <c r="A39" s="66"/>
      <c r="B39" s="64" t="s">
        <v>97</v>
      </c>
      <c r="C39" s="250">
        <f>SUM(C33:C38)</f>
        <v>0</v>
      </c>
      <c r="D39" s="248">
        <f t="shared" ref="D39:AJ39" si="41">SUM(D33:D38)</f>
        <v>0</v>
      </c>
      <c r="E39" s="248">
        <f>SUM(E33:E38)</f>
        <v>0</v>
      </c>
      <c r="F39" s="248">
        <f t="shared" si="41"/>
        <v>0</v>
      </c>
      <c r="G39" s="248">
        <f>SUM(G33:G38)</f>
        <v>236224</v>
      </c>
      <c r="H39" s="248">
        <f t="shared" ca="1" si="41"/>
        <v>261404</v>
      </c>
      <c r="I39" s="248">
        <f>SUM(I33:I38)</f>
        <v>847347</v>
      </c>
      <c r="J39" s="248">
        <f t="shared" ca="1" si="41"/>
        <v>261404</v>
      </c>
      <c r="K39" s="248">
        <f>SUM(K33:K38)</f>
        <v>753607</v>
      </c>
      <c r="L39" s="248">
        <f t="shared" ca="1" si="41"/>
        <v>836798</v>
      </c>
      <c r="M39" s="248">
        <f>SUM(M33:M38)</f>
        <v>566353</v>
      </c>
      <c r="N39" s="248">
        <f t="shared" ca="1" si="41"/>
        <v>577144</v>
      </c>
      <c r="O39" s="248">
        <f>SUM(O33:O38)</f>
        <v>232055</v>
      </c>
      <c r="P39" s="248">
        <f t="shared" ca="1" si="41"/>
        <v>251566</v>
      </c>
      <c r="Q39" s="248">
        <f>SUM(Q33:Q38)</f>
        <v>319708</v>
      </c>
      <c r="R39" s="248">
        <f t="shared" ca="1" si="41"/>
        <v>1665508</v>
      </c>
      <c r="S39" s="248"/>
      <c r="T39" s="248">
        <f t="shared" si="41"/>
        <v>0</v>
      </c>
      <c r="U39" s="248"/>
      <c r="V39" s="248">
        <f t="shared" si="41"/>
        <v>0</v>
      </c>
      <c r="W39" s="248"/>
      <c r="X39" s="248">
        <f t="shared" si="41"/>
        <v>0</v>
      </c>
      <c r="Y39" s="248"/>
      <c r="Z39" s="248">
        <f t="shared" si="41"/>
        <v>0</v>
      </c>
      <c r="AA39" s="248"/>
      <c r="AB39" s="248">
        <f t="shared" si="41"/>
        <v>0</v>
      </c>
      <c r="AC39" s="248"/>
      <c r="AD39" s="248">
        <f t="shared" si="41"/>
        <v>0</v>
      </c>
      <c r="AE39" s="248"/>
      <c r="AF39" s="248">
        <f t="shared" si="41"/>
        <v>0</v>
      </c>
      <c r="AG39" s="248"/>
      <c r="AH39" s="248">
        <f t="shared" si="41"/>
        <v>0</v>
      </c>
      <c r="AI39" s="248">
        <f>SUM(AI33:AI38)</f>
        <v>466706</v>
      </c>
      <c r="AJ39" s="248">
        <f t="shared" ca="1" si="41"/>
        <v>1665508</v>
      </c>
    </row>
    <row r="40" spans="1:36" ht="14.65" thickBot="1">
      <c r="A40"/>
      <c r="B40" s="67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1"/>
      <c r="S40" s="251"/>
      <c r="T40" s="251"/>
      <c r="U40" s="251"/>
      <c r="V40" s="251"/>
      <c r="W40" s="251"/>
      <c r="X40" s="251"/>
      <c r="Y40" s="251"/>
      <c r="Z40" s="251"/>
      <c r="AA40" s="251"/>
      <c r="AB40" s="251"/>
      <c r="AC40" s="251"/>
      <c r="AD40" s="251"/>
      <c r="AE40" s="251"/>
      <c r="AF40" s="251"/>
      <c r="AG40" s="251"/>
      <c r="AH40" s="251"/>
      <c r="AI40" s="251"/>
      <c r="AJ40" s="251"/>
    </row>
    <row r="41" spans="1:36" s="252" customFormat="1">
      <c r="A41" s="228" t="s">
        <v>101</v>
      </c>
      <c r="B41" s="228" t="s">
        <v>111</v>
      </c>
      <c r="C41" s="23" t="s">
        <v>62</v>
      </c>
      <c r="D41" s="21" t="s">
        <v>34</v>
      </c>
      <c r="E41" s="23" t="s">
        <v>62</v>
      </c>
      <c r="F41" s="21" t="s">
        <v>34</v>
      </c>
      <c r="G41" s="23" t="s">
        <v>62</v>
      </c>
      <c r="H41" s="21" t="s">
        <v>34</v>
      </c>
      <c r="I41" s="23" t="s">
        <v>62</v>
      </c>
      <c r="J41" s="21" t="s">
        <v>34</v>
      </c>
      <c r="K41" s="23" t="s">
        <v>62</v>
      </c>
      <c r="L41" s="21" t="s">
        <v>34</v>
      </c>
      <c r="M41" s="23" t="s">
        <v>62</v>
      </c>
      <c r="N41" s="21" t="s">
        <v>34</v>
      </c>
      <c r="O41" s="23" t="s">
        <v>62</v>
      </c>
      <c r="P41" s="21" t="s">
        <v>34</v>
      </c>
      <c r="Q41" s="23" t="s">
        <v>62</v>
      </c>
      <c r="R41" s="21" t="s">
        <v>34</v>
      </c>
      <c r="S41" s="23"/>
      <c r="T41" s="21" t="s">
        <v>34</v>
      </c>
      <c r="U41" s="23"/>
      <c r="V41" s="21" t="s">
        <v>34</v>
      </c>
      <c r="W41" s="23"/>
      <c r="X41" s="21" t="s">
        <v>34</v>
      </c>
      <c r="Y41" s="23"/>
      <c r="Z41" s="21" t="s">
        <v>34</v>
      </c>
      <c r="AA41" s="23"/>
      <c r="AB41" s="21" t="s">
        <v>34</v>
      </c>
      <c r="AC41" s="23"/>
      <c r="AD41" s="21" t="s">
        <v>34</v>
      </c>
      <c r="AE41" s="23"/>
      <c r="AF41" s="21" t="s">
        <v>34</v>
      </c>
      <c r="AG41" s="23"/>
      <c r="AH41" s="21" t="s">
        <v>34</v>
      </c>
      <c r="AI41" s="23" t="s">
        <v>62</v>
      </c>
      <c r="AJ41" s="21" t="s">
        <v>34</v>
      </c>
    </row>
    <row r="42" spans="1:36">
      <c r="A42" s="67" t="s">
        <v>95</v>
      </c>
      <c r="B42" s="68" t="s">
        <v>108</v>
      </c>
      <c r="C42" s="229"/>
      <c r="D42" s="245"/>
      <c r="E42" s="229"/>
      <c r="F42" s="245"/>
      <c r="G42" s="229"/>
      <c r="H42" s="245"/>
      <c r="I42" s="246"/>
      <c r="J42" s="232">
        <f t="shared" ref="J42:J47" si="42">D42+F42+H42</f>
        <v>0</v>
      </c>
      <c r="K42" s="229"/>
      <c r="L42" s="245"/>
      <c r="M42" s="229"/>
      <c r="N42" s="245"/>
      <c r="O42" s="229"/>
      <c r="P42" s="245"/>
      <c r="Q42" s="246"/>
      <c r="R42" s="232">
        <f t="shared" ref="R42:R47" si="43">L42+N42+P42</f>
        <v>0</v>
      </c>
      <c r="S42" s="229"/>
      <c r="T42" s="245"/>
      <c r="U42" s="229"/>
      <c r="V42" s="245"/>
      <c r="W42" s="229"/>
      <c r="X42" s="245"/>
      <c r="Y42" s="247"/>
      <c r="Z42" s="232">
        <f t="shared" ref="Z42:Z47" si="44">T42+V42+X42</f>
        <v>0</v>
      </c>
      <c r="AA42" s="229"/>
      <c r="AB42" s="245"/>
      <c r="AC42" s="229"/>
      <c r="AD42" s="245"/>
      <c r="AE42" s="229"/>
      <c r="AF42" s="245"/>
      <c r="AG42" s="231"/>
      <c r="AH42" s="232">
        <f t="shared" ref="AH42:AH47" si="45">AB42+AD42+AF42</f>
        <v>0</v>
      </c>
      <c r="AI42" s="231"/>
      <c r="AJ42" s="232">
        <f t="shared" ref="AJ42:AJ47" si="46">R42+Z42+AH42</f>
        <v>0</v>
      </c>
    </row>
    <row r="43" spans="1:36">
      <c r="A43" s="67" t="s">
        <v>95</v>
      </c>
      <c r="B43" s="68" t="s">
        <v>105</v>
      </c>
      <c r="C43" s="229">
        <v>347151</v>
      </c>
      <c r="D43" s="230">
        <f ca="1">C43+RANDBETWEEN(10000,100000)</f>
        <v>442240</v>
      </c>
      <c r="E43" s="229">
        <v>670819</v>
      </c>
      <c r="F43" s="230">
        <f ca="1">E43+RANDBETWEEN(10000,100000)</f>
        <v>749369</v>
      </c>
      <c r="G43" s="229">
        <v>536565</v>
      </c>
      <c r="H43" s="230">
        <f ca="1">G43+RANDBETWEEN(10000,100000)</f>
        <v>594255</v>
      </c>
      <c r="I43" s="246">
        <v>536799</v>
      </c>
      <c r="J43" s="232">
        <f t="shared" ca="1" si="42"/>
        <v>1785864</v>
      </c>
      <c r="K43" s="229"/>
      <c r="L43" s="245"/>
      <c r="M43" s="229"/>
      <c r="N43" s="245"/>
      <c r="O43" s="229"/>
      <c r="P43" s="245"/>
      <c r="Q43" s="246"/>
      <c r="R43" s="232">
        <f t="shared" si="43"/>
        <v>0</v>
      </c>
      <c r="S43" s="229"/>
      <c r="T43" s="245"/>
      <c r="U43" s="229"/>
      <c r="V43" s="245"/>
      <c r="W43" s="229"/>
      <c r="X43" s="245"/>
      <c r="Y43" s="247"/>
      <c r="Z43" s="232">
        <f t="shared" si="44"/>
        <v>0</v>
      </c>
      <c r="AA43" s="229"/>
      <c r="AB43" s="245"/>
      <c r="AC43" s="229"/>
      <c r="AD43" s="245"/>
      <c r="AE43" s="229"/>
      <c r="AF43" s="245"/>
      <c r="AG43" s="231"/>
      <c r="AH43" s="232">
        <f t="shared" si="45"/>
        <v>0</v>
      </c>
      <c r="AI43" s="231">
        <v>290421</v>
      </c>
      <c r="AJ43" s="232">
        <f t="shared" si="46"/>
        <v>0</v>
      </c>
    </row>
    <row r="44" spans="1:36">
      <c r="A44" s="67"/>
      <c r="B44" s="68" t="s">
        <v>180</v>
      </c>
      <c r="C44" s="229"/>
      <c r="D44" s="245"/>
      <c r="E44" s="229"/>
      <c r="F44" s="245"/>
      <c r="G44" s="229"/>
      <c r="H44" s="245"/>
      <c r="I44" s="246"/>
      <c r="J44" s="232">
        <f t="shared" si="42"/>
        <v>0</v>
      </c>
      <c r="K44" s="229"/>
      <c r="L44" s="245"/>
      <c r="M44" s="229"/>
      <c r="N44" s="245"/>
      <c r="O44" s="229"/>
      <c r="P44" s="245"/>
      <c r="Q44" s="246"/>
      <c r="R44" s="232">
        <f t="shared" si="43"/>
        <v>0</v>
      </c>
      <c r="S44" s="229"/>
      <c r="T44" s="245"/>
      <c r="U44" s="229"/>
      <c r="V44" s="245"/>
      <c r="W44" s="229"/>
      <c r="X44" s="245"/>
      <c r="Y44" s="247"/>
      <c r="Z44" s="232">
        <f t="shared" si="44"/>
        <v>0</v>
      </c>
      <c r="AA44" s="229"/>
      <c r="AB44" s="245"/>
      <c r="AC44" s="229"/>
      <c r="AD44" s="245"/>
      <c r="AE44" s="229"/>
      <c r="AF44" s="245"/>
      <c r="AG44" s="231"/>
      <c r="AH44" s="232">
        <f t="shared" si="45"/>
        <v>0</v>
      </c>
      <c r="AI44" s="231"/>
      <c r="AJ44" s="232">
        <f t="shared" si="46"/>
        <v>0</v>
      </c>
    </row>
    <row r="45" spans="1:36">
      <c r="A45" s="67"/>
      <c r="B45" s="68"/>
      <c r="C45" s="229"/>
      <c r="D45" s="245"/>
      <c r="E45" s="229"/>
      <c r="F45" s="245"/>
      <c r="G45" s="229"/>
      <c r="H45" s="245"/>
      <c r="I45" s="246"/>
      <c r="J45" s="232">
        <f t="shared" si="42"/>
        <v>0</v>
      </c>
      <c r="K45" s="229"/>
      <c r="L45" s="245"/>
      <c r="M45" s="229"/>
      <c r="N45" s="245"/>
      <c r="O45" s="229"/>
      <c r="P45" s="245"/>
      <c r="Q45" s="246"/>
      <c r="R45" s="232">
        <f t="shared" si="43"/>
        <v>0</v>
      </c>
      <c r="S45" s="229"/>
      <c r="T45" s="245"/>
      <c r="U45" s="229"/>
      <c r="V45" s="245"/>
      <c r="W45" s="229"/>
      <c r="X45" s="245"/>
      <c r="Y45" s="247"/>
      <c r="Z45" s="232">
        <f t="shared" si="44"/>
        <v>0</v>
      </c>
      <c r="AA45" s="229"/>
      <c r="AB45" s="245"/>
      <c r="AC45" s="229"/>
      <c r="AD45" s="245"/>
      <c r="AE45" s="229"/>
      <c r="AF45" s="245"/>
      <c r="AG45" s="231"/>
      <c r="AH45" s="232">
        <f t="shared" si="45"/>
        <v>0</v>
      </c>
      <c r="AI45" s="231"/>
      <c r="AJ45" s="232">
        <f t="shared" si="46"/>
        <v>0</v>
      </c>
    </row>
    <row r="46" spans="1:36">
      <c r="A46" s="67"/>
      <c r="B46" s="68"/>
      <c r="C46" s="229"/>
      <c r="D46" s="245"/>
      <c r="E46" s="229"/>
      <c r="F46" s="245"/>
      <c r="G46" s="229"/>
      <c r="H46" s="245"/>
      <c r="I46" s="246"/>
      <c r="J46" s="232">
        <f t="shared" si="42"/>
        <v>0</v>
      </c>
      <c r="K46" s="229"/>
      <c r="L46" s="245"/>
      <c r="M46" s="229"/>
      <c r="N46" s="245"/>
      <c r="O46" s="229"/>
      <c r="P46" s="245"/>
      <c r="Q46" s="246"/>
      <c r="R46" s="232">
        <f t="shared" si="43"/>
        <v>0</v>
      </c>
      <c r="S46" s="229"/>
      <c r="T46" s="245"/>
      <c r="U46" s="229"/>
      <c r="V46" s="245"/>
      <c r="W46" s="229"/>
      <c r="X46" s="245"/>
      <c r="Y46" s="247"/>
      <c r="Z46" s="232">
        <f t="shared" si="44"/>
        <v>0</v>
      </c>
      <c r="AA46" s="229"/>
      <c r="AB46" s="245"/>
      <c r="AC46" s="229"/>
      <c r="AD46" s="245"/>
      <c r="AE46" s="229"/>
      <c r="AF46" s="245"/>
      <c r="AG46" s="231"/>
      <c r="AH46" s="232">
        <f t="shared" si="45"/>
        <v>0</v>
      </c>
      <c r="AI46" s="231"/>
      <c r="AJ46" s="232">
        <f t="shared" si="46"/>
        <v>0</v>
      </c>
    </row>
    <row r="47" spans="1:36">
      <c r="A47" s="67"/>
      <c r="B47" s="68"/>
      <c r="C47" s="229"/>
      <c r="D47" s="245"/>
      <c r="E47" s="229"/>
      <c r="F47" s="245"/>
      <c r="G47" s="229"/>
      <c r="H47" s="245"/>
      <c r="I47" s="246"/>
      <c r="J47" s="232">
        <f t="shared" si="42"/>
        <v>0</v>
      </c>
      <c r="K47" s="229"/>
      <c r="L47" s="245"/>
      <c r="M47" s="229"/>
      <c r="N47" s="245"/>
      <c r="O47" s="229"/>
      <c r="P47" s="245"/>
      <c r="Q47" s="246"/>
      <c r="R47" s="232">
        <f t="shared" si="43"/>
        <v>0</v>
      </c>
      <c r="S47" s="229"/>
      <c r="T47" s="245"/>
      <c r="U47" s="229"/>
      <c r="V47" s="245"/>
      <c r="W47" s="229"/>
      <c r="X47" s="245"/>
      <c r="Y47" s="247"/>
      <c r="Z47" s="232">
        <f t="shared" si="44"/>
        <v>0</v>
      </c>
      <c r="AA47" s="229"/>
      <c r="AB47" s="245"/>
      <c r="AC47" s="229"/>
      <c r="AD47" s="245"/>
      <c r="AE47" s="229"/>
      <c r="AF47" s="245"/>
      <c r="AG47" s="231"/>
      <c r="AH47" s="232">
        <f t="shared" si="45"/>
        <v>0</v>
      </c>
      <c r="AI47" s="231"/>
      <c r="AJ47" s="232">
        <f t="shared" si="46"/>
        <v>0</v>
      </c>
    </row>
    <row r="48" spans="1:36">
      <c r="A48" s="66"/>
      <c r="B48" s="64" t="s">
        <v>97</v>
      </c>
      <c r="C48" s="250">
        <f>SUM(C42:C47)</f>
        <v>347151</v>
      </c>
      <c r="D48" s="248">
        <f t="shared" ref="D48:AJ48" ca="1" si="47">SUM(D42:D47)</f>
        <v>442240</v>
      </c>
      <c r="E48" s="248">
        <f>SUM(E42:E47)</f>
        <v>670819</v>
      </c>
      <c r="F48" s="248">
        <f t="shared" ca="1" si="47"/>
        <v>749369</v>
      </c>
      <c r="G48" s="248">
        <f>SUM(G42:G47)</f>
        <v>536565</v>
      </c>
      <c r="H48" s="248">
        <f t="shared" ca="1" si="47"/>
        <v>594255</v>
      </c>
      <c r="I48" s="248">
        <f>SUM(I42:I47)</f>
        <v>536799</v>
      </c>
      <c r="J48" s="248">
        <f t="shared" ca="1" si="47"/>
        <v>1785864</v>
      </c>
      <c r="K48" s="248">
        <f>SUM(K42:K47)</f>
        <v>0</v>
      </c>
      <c r="L48" s="248">
        <f t="shared" si="47"/>
        <v>0</v>
      </c>
      <c r="M48" s="248">
        <f>SUM(M42:M47)</f>
        <v>0</v>
      </c>
      <c r="N48" s="248">
        <f t="shared" si="47"/>
        <v>0</v>
      </c>
      <c r="O48" s="248">
        <f>SUM(O42:O47)</f>
        <v>0</v>
      </c>
      <c r="P48" s="248">
        <f t="shared" si="47"/>
        <v>0</v>
      </c>
      <c r="Q48" s="248">
        <f>SUM(Q42:Q47)</f>
        <v>0</v>
      </c>
      <c r="R48" s="248">
        <f t="shared" si="47"/>
        <v>0</v>
      </c>
      <c r="S48" s="248"/>
      <c r="T48" s="248">
        <f t="shared" si="47"/>
        <v>0</v>
      </c>
      <c r="U48" s="248"/>
      <c r="V48" s="248">
        <f t="shared" si="47"/>
        <v>0</v>
      </c>
      <c r="W48" s="248"/>
      <c r="X48" s="248">
        <f t="shared" si="47"/>
        <v>0</v>
      </c>
      <c r="Y48" s="248"/>
      <c r="Z48" s="248">
        <f t="shared" si="47"/>
        <v>0</v>
      </c>
      <c r="AA48" s="248"/>
      <c r="AB48" s="248">
        <f t="shared" si="47"/>
        <v>0</v>
      </c>
      <c r="AC48" s="248"/>
      <c r="AD48" s="248">
        <f t="shared" si="47"/>
        <v>0</v>
      </c>
      <c r="AE48" s="248"/>
      <c r="AF48" s="248">
        <f t="shared" si="47"/>
        <v>0</v>
      </c>
      <c r="AG48" s="248"/>
      <c r="AH48" s="248">
        <f t="shared" si="47"/>
        <v>0</v>
      </c>
      <c r="AI48" s="248">
        <f>SUM(AI42:AI47)</f>
        <v>290421</v>
      </c>
      <c r="AJ48" s="248">
        <f t="shared" si="47"/>
        <v>0</v>
      </c>
    </row>
  </sheetData>
  <mergeCells count="18">
    <mergeCell ref="K1:L1"/>
    <mergeCell ref="A1:B1"/>
    <mergeCell ref="C1:D1"/>
    <mergeCell ref="E1:F1"/>
    <mergeCell ref="G1:H1"/>
    <mergeCell ref="I1:J1"/>
    <mergeCell ref="AI1:AJ1"/>
    <mergeCell ref="M1:N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5B6B6-C374-4EAC-836C-F21598D0CE08}">
  <sheetPr codeName="Sheet5">
    <tabColor theme="9" tint="0.39997558519241921"/>
  </sheetPr>
  <dimension ref="A1:CJ53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A45" sqref="CA45"/>
    </sheetView>
  </sheetViews>
  <sheetFormatPr defaultColWidth="8.796875" defaultRowHeight="14.25"/>
  <cols>
    <col min="1" max="1" width="13.46484375" bestFit="1" customWidth="1"/>
    <col min="2" max="2" width="24.59765625" customWidth="1"/>
    <col min="3" max="3" width="10.46484375" bestFit="1" customWidth="1"/>
    <col min="4" max="5" width="11.59765625" bestFit="1" customWidth="1"/>
    <col min="6" max="6" width="9.59765625" bestFit="1" customWidth="1"/>
    <col min="7" max="7" width="11.19921875" bestFit="1" customWidth="1"/>
    <col min="8" max="8" width="16.33203125" bestFit="1" customWidth="1"/>
    <col min="9" max="10" width="11.59765625" bestFit="1" customWidth="1"/>
    <col min="11" max="11" width="9.59765625" bestFit="1" customWidth="1"/>
    <col min="12" max="12" width="11.19921875" bestFit="1" customWidth="1"/>
    <col min="13" max="13" width="16.33203125" bestFit="1" customWidth="1"/>
    <col min="14" max="14" width="12.796875" customWidth="1"/>
    <col min="15" max="15" width="11.59765625" bestFit="1" customWidth="1"/>
    <col min="16" max="16" width="9.59765625" bestFit="1" customWidth="1"/>
    <col min="17" max="17" width="11.19921875" bestFit="1" customWidth="1"/>
    <col min="18" max="18" width="16.33203125" bestFit="1" customWidth="1"/>
    <col min="19" max="20" width="11.59765625" bestFit="1" customWidth="1"/>
    <col min="21" max="21" width="9.796875" bestFit="1" customWidth="1"/>
    <col min="22" max="22" width="12.33203125" bestFit="1" customWidth="1"/>
    <col min="23" max="23" width="16.46484375" bestFit="1" customWidth="1"/>
    <col min="24" max="24" width="11.46484375" customWidth="1"/>
    <col min="25" max="25" width="11.796875" bestFit="1" customWidth="1"/>
    <col min="26" max="26" width="9.796875" bestFit="1" customWidth="1"/>
    <col min="27" max="27" width="12.33203125" customWidth="1"/>
    <col min="28" max="28" width="16.46484375" bestFit="1" customWidth="1"/>
    <col min="29" max="29" width="11.796875" customWidth="1"/>
    <col min="30" max="30" width="11.796875" bestFit="1" customWidth="1"/>
    <col min="31" max="31" width="9.796875" bestFit="1" customWidth="1"/>
    <col min="32" max="32" width="11.33203125" bestFit="1" customWidth="1"/>
    <col min="33" max="33" width="16.46484375" bestFit="1" customWidth="1"/>
    <col min="34" max="34" width="11.19921875" bestFit="1" customWidth="1"/>
    <col min="35" max="35" width="11.796875" bestFit="1" customWidth="1"/>
    <col min="36" max="36" width="9.796875" bestFit="1" customWidth="1"/>
    <col min="37" max="37" width="11.33203125" bestFit="1" customWidth="1"/>
    <col min="38" max="38" width="16.46484375" bestFit="1" customWidth="1"/>
    <col min="39" max="39" width="11.796875" bestFit="1" customWidth="1"/>
    <col min="40" max="40" width="11.59765625" bestFit="1" customWidth="1"/>
    <col min="41" max="41" width="9.59765625" bestFit="1" customWidth="1"/>
    <col min="42" max="42" width="12.33203125" bestFit="1" customWidth="1"/>
    <col min="43" max="43" width="16.33203125" bestFit="1" customWidth="1"/>
    <col min="44" max="44" width="12.19921875" customWidth="1"/>
    <col min="45" max="45" width="11.59765625" bestFit="1" customWidth="1"/>
    <col min="46" max="46" width="9.59765625" bestFit="1" customWidth="1"/>
    <col min="47" max="47" width="11.59765625" bestFit="1" customWidth="1"/>
    <col min="48" max="48" width="16.33203125" bestFit="1" customWidth="1"/>
    <col min="49" max="49" width="12" customWidth="1"/>
    <col min="50" max="50" width="11.59765625" bestFit="1" customWidth="1"/>
    <col min="51" max="51" width="9.59765625" bestFit="1" customWidth="1"/>
    <col min="52" max="52" width="11.59765625" bestFit="1" customWidth="1"/>
    <col min="53" max="53" width="16.33203125" bestFit="1" customWidth="1"/>
    <col min="54" max="54" width="10.59765625" bestFit="1" customWidth="1"/>
    <col min="55" max="55" width="11.59765625" bestFit="1" customWidth="1"/>
    <col min="56" max="56" width="9.59765625" bestFit="1" customWidth="1"/>
    <col min="57" max="57" width="11.59765625" bestFit="1" customWidth="1"/>
    <col min="58" max="58" width="16.33203125" bestFit="1" customWidth="1"/>
    <col min="59" max="59" width="12" customWidth="1"/>
    <col min="60" max="60" width="12.796875" bestFit="1" customWidth="1"/>
    <col min="61" max="61" width="9.59765625" bestFit="1" customWidth="1"/>
    <col min="62" max="62" width="12.33203125" bestFit="1" customWidth="1"/>
    <col min="63" max="63" width="16.33203125" bestFit="1" customWidth="1"/>
    <col min="64" max="64" width="11.46484375" customWidth="1"/>
    <col min="65" max="65" width="11.59765625" bestFit="1" customWidth="1"/>
    <col min="66" max="66" width="9.59765625" bestFit="1" customWidth="1"/>
    <col min="67" max="67" width="11.59765625" customWidth="1"/>
    <col min="68" max="68" width="13.46484375" customWidth="1"/>
    <col min="69" max="69" width="11.59765625" customWidth="1"/>
    <col min="70" max="70" width="11.59765625" bestFit="1" customWidth="1"/>
    <col min="71" max="71" width="9.59765625" bestFit="1" customWidth="1"/>
    <col min="72" max="72" width="11.59765625" bestFit="1" customWidth="1"/>
    <col min="73" max="73" width="16.33203125" bestFit="1" customWidth="1"/>
    <col min="74" max="74" width="12.33203125" customWidth="1"/>
    <col min="75" max="75" width="11.59765625" bestFit="1" customWidth="1"/>
    <col min="76" max="76" width="9.59765625" bestFit="1" customWidth="1"/>
    <col min="77" max="77" width="11.59765625" bestFit="1" customWidth="1"/>
    <col min="78" max="78" width="16.33203125" bestFit="1" customWidth="1"/>
    <col min="79" max="79" width="11.46484375" customWidth="1"/>
    <col min="80" max="80" width="12.796875" bestFit="1" customWidth="1"/>
    <col min="81" max="81" width="9.59765625" bestFit="1" customWidth="1"/>
    <col min="82" max="82" width="11.59765625" bestFit="1" customWidth="1"/>
    <col min="83" max="83" width="16.33203125" bestFit="1" customWidth="1"/>
    <col min="84" max="84" width="13.19921875" customWidth="1"/>
    <col min="85" max="85" width="12.796875" bestFit="1" customWidth="1"/>
    <col min="86" max="86" width="9.59765625" bestFit="1" customWidth="1"/>
    <col min="87" max="87" width="13.19921875" customWidth="1"/>
    <col min="88" max="88" width="16.33203125" bestFit="1" customWidth="1"/>
  </cols>
  <sheetData>
    <row r="1" spans="1:88" ht="15" customHeight="1" thickBot="1">
      <c r="A1" s="531" t="s">
        <v>119</v>
      </c>
      <c r="B1" s="531"/>
      <c r="C1" s="532"/>
      <c r="D1" s="545" t="s">
        <v>16</v>
      </c>
      <c r="E1" s="546"/>
      <c r="F1" s="546"/>
      <c r="G1" s="546"/>
      <c r="H1" s="547"/>
      <c r="I1" s="548" t="s">
        <v>22</v>
      </c>
      <c r="J1" s="549"/>
      <c r="K1" s="549"/>
      <c r="L1" s="549"/>
      <c r="M1" s="550"/>
      <c r="N1" s="545" t="s">
        <v>23</v>
      </c>
      <c r="O1" s="546"/>
      <c r="P1" s="546"/>
      <c r="Q1" s="546"/>
      <c r="R1" s="547"/>
      <c r="S1" s="551" t="s">
        <v>24</v>
      </c>
      <c r="T1" s="552"/>
      <c r="U1" s="552"/>
      <c r="V1" s="552"/>
      <c r="W1" s="553"/>
      <c r="X1" s="545" t="s">
        <v>10</v>
      </c>
      <c r="Y1" s="546"/>
      <c r="Z1" s="546"/>
      <c r="AA1" s="546"/>
      <c r="AB1" s="547"/>
      <c r="AC1" s="498" t="s">
        <v>9</v>
      </c>
      <c r="AD1" s="499"/>
      <c r="AE1" s="499"/>
      <c r="AF1" s="499"/>
      <c r="AG1" s="500"/>
      <c r="AH1" s="542" t="s">
        <v>15</v>
      </c>
      <c r="AI1" s="543"/>
      <c r="AJ1" s="543"/>
      <c r="AK1" s="543"/>
      <c r="AL1" s="544"/>
      <c r="AM1" s="537" t="s">
        <v>25</v>
      </c>
      <c r="AN1" s="538"/>
      <c r="AO1" s="538"/>
      <c r="AP1" s="538"/>
      <c r="AQ1" s="539"/>
      <c r="AR1" s="542" t="s">
        <v>8</v>
      </c>
      <c r="AS1" s="543"/>
      <c r="AT1" s="543"/>
      <c r="AU1" s="543"/>
      <c r="AV1" s="544"/>
      <c r="AW1" s="498" t="s">
        <v>12</v>
      </c>
      <c r="AX1" s="499"/>
      <c r="AY1" s="499"/>
      <c r="AZ1" s="499"/>
      <c r="BA1" s="500"/>
      <c r="BB1" s="542" t="s">
        <v>14</v>
      </c>
      <c r="BC1" s="543"/>
      <c r="BD1" s="543"/>
      <c r="BE1" s="543"/>
      <c r="BF1" s="544"/>
      <c r="BG1" s="537" t="s">
        <v>26</v>
      </c>
      <c r="BH1" s="538"/>
      <c r="BI1" s="538"/>
      <c r="BJ1" s="538"/>
      <c r="BK1" s="539"/>
      <c r="BL1" s="542" t="s">
        <v>27</v>
      </c>
      <c r="BM1" s="543"/>
      <c r="BN1" s="543"/>
      <c r="BO1" s="543"/>
      <c r="BP1" s="544"/>
      <c r="BQ1" s="498" t="s">
        <v>17</v>
      </c>
      <c r="BR1" s="499"/>
      <c r="BS1" s="499"/>
      <c r="BT1" s="499"/>
      <c r="BU1" s="500"/>
      <c r="BV1" s="542" t="s">
        <v>28</v>
      </c>
      <c r="BW1" s="543"/>
      <c r="BX1" s="543"/>
      <c r="BY1" s="543"/>
      <c r="BZ1" s="544"/>
      <c r="CA1" s="537" t="s">
        <v>29</v>
      </c>
      <c r="CB1" s="538"/>
      <c r="CC1" s="538"/>
      <c r="CD1" s="538"/>
      <c r="CE1" s="539"/>
      <c r="CF1" s="540">
        <v>2021</v>
      </c>
      <c r="CG1" s="541"/>
      <c r="CH1" s="541"/>
      <c r="CI1" s="541"/>
      <c r="CJ1" s="541"/>
    </row>
    <row r="2" spans="1:88">
      <c r="A2" s="66"/>
      <c r="B2" s="66" t="s">
        <v>149</v>
      </c>
      <c r="C2" s="66" t="s">
        <v>120</v>
      </c>
      <c r="D2" s="288" t="s">
        <v>121</v>
      </c>
      <c r="E2" s="289" t="s">
        <v>122</v>
      </c>
      <c r="F2" s="289" t="s">
        <v>33</v>
      </c>
      <c r="G2" s="289" t="s">
        <v>34</v>
      </c>
      <c r="H2" s="290" t="s">
        <v>35</v>
      </c>
      <c r="I2" s="288" t="s">
        <v>121</v>
      </c>
      <c r="J2" s="289" t="s">
        <v>122</v>
      </c>
      <c r="K2" s="289" t="s">
        <v>33</v>
      </c>
      <c r="L2" s="289" t="s">
        <v>34</v>
      </c>
      <c r="M2" s="290" t="s">
        <v>35</v>
      </c>
      <c r="N2" s="288" t="s">
        <v>121</v>
      </c>
      <c r="O2" s="289" t="s">
        <v>122</v>
      </c>
      <c r="P2" s="289" t="s">
        <v>33</v>
      </c>
      <c r="Q2" s="289" t="s">
        <v>34</v>
      </c>
      <c r="R2" s="290" t="s">
        <v>35</v>
      </c>
      <c r="S2" s="288" t="s">
        <v>121</v>
      </c>
      <c r="T2" s="289" t="s">
        <v>122</v>
      </c>
      <c r="U2" s="289" t="s">
        <v>33</v>
      </c>
      <c r="V2" s="289" t="s">
        <v>34</v>
      </c>
      <c r="W2" s="290" t="s">
        <v>35</v>
      </c>
      <c r="X2" s="288" t="s">
        <v>121</v>
      </c>
      <c r="Y2" s="289" t="s">
        <v>122</v>
      </c>
      <c r="Z2" s="289" t="s">
        <v>33</v>
      </c>
      <c r="AA2" s="289" t="s">
        <v>34</v>
      </c>
      <c r="AB2" s="290" t="s">
        <v>35</v>
      </c>
      <c r="AC2" s="288" t="s">
        <v>121</v>
      </c>
      <c r="AD2" s="289" t="s">
        <v>122</v>
      </c>
      <c r="AE2" s="289" t="s">
        <v>33</v>
      </c>
      <c r="AF2" s="289" t="s">
        <v>34</v>
      </c>
      <c r="AG2" s="290" t="s">
        <v>35</v>
      </c>
      <c r="AH2" s="288" t="s">
        <v>121</v>
      </c>
      <c r="AI2" s="289" t="s">
        <v>122</v>
      </c>
      <c r="AJ2" s="289" t="s">
        <v>33</v>
      </c>
      <c r="AK2" s="289" t="s">
        <v>34</v>
      </c>
      <c r="AL2" s="290" t="s">
        <v>35</v>
      </c>
      <c r="AM2" s="288" t="s">
        <v>121</v>
      </c>
      <c r="AN2" s="289" t="s">
        <v>122</v>
      </c>
      <c r="AO2" s="289" t="s">
        <v>33</v>
      </c>
      <c r="AP2" s="289" t="s">
        <v>34</v>
      </c>
      <c r="AQ2" s="290" t="s">
        <v>35</v>
      </c>
      <c r="AR2" s="288" t="s">
        <v>121</v>
      </c>
      <c r="AS2" s="289" t="s">
        <v>122</v>
      </c>
      <c r="AT2" s="289" t="s">
        <v>33</v>
      </c>
      <c r="AU2" s="289" t="s">
        <v>34</v>
      </c>
      <c r="AV2" s="290" t="s">
        <v>35</v>
      </c>
      <c r="AW2" s="288" t="s">
        <v>121</v>
      </c>
      <c r="AX2" s="289" t="s">
        <v>122</v>
      </c>
      <c r="AY2" s="289" t="s">
        <v>33</v>
      </c>
      <c r="AZ2" s="289" t="s">
        <v>34</v>
      </c>
      <c r="BA2" s="290" t="s">
        <v>35</v>
      </c>
      <c r="BB2" s="288" t="s">
        <v>121</v>
      </c>
      <c r="BC2" s="289" t="s">
        <v>122</v>
      </c>
      <c r="BD2" s="289" t="s">
        <v>33</v>
      </c>
      <c r="BE2" s="289" t="s">
        <v>34</v>
      </c>
      <c r="BF2" s="290" t="s">
        <v>35</v>
      </c>
      <c r="BG2" s="288" t="s">
        <v>121</v>
      </c>
      <c r="BH2" s="289" t="s">
        <v>122</v>
      </c>
      <c r="BI2" s="289" t="s">
        <v>33</v>
      </c>
      <c r="BJ2" s="289" t="s">
        <v>34</v>
      </c>
      <c r="BK2" s="290" t="s">
        <v>35</v>
      </c>
      <c r="BL2" s="288" t="s">
        <v>121</v>
      </c>
      <c r="BM2" s="289" t="s">
        <v>122</v>
      </c>
      <c r="BN2" s="289" t="s">
        <v>33</v>
      </c>
      <c r="BO2" s="289" t="s">
        <v>34</v>
      </c>
      <c r="BP2" s="290" t="s">
        <v>35</v>
      </c>
      <c r="BQ2" s="288" t="s">
        <v>121</v>
      </c>
      <c r="BR2" s="289" t="s">
        <v>122</v>
      </c>
      <c r="BS2" s="289" t="s">
        <v>33</v>
      </c>
      <c r="BT2" s="289" t="s">
        <v>34</v>
      </c>
      <c r="BU2" s="290" t="s">
        <v>35</v>
      </c>
      <c r="BV2" s="288" t="s">
        <v>121</v>
      </c>
      <c r="BW2" s="289" t="s">
        <v>122</v>
      </c>
      <c r="BX2" s="289" t="s">
        <v>33</v>
      </c>
      <c r="BY2" s="289" t="s">
        <v>34</v>
      </c>
      <c r="BZ2" s="290" t="s">
        <v>35</v>
      </c>
      <c r="CA2" s="288" t="s">
        <v>121</v>
      </c>
      <c r="CB2" s="289" t="s">
        <v>122</v>
      </c>
      <c r="CC2" s="289" t="s">
        <v>33</v>
      </c>
      <c r="CD2" s="289" t="s">
        <v>34</v>
      </c>
      <c r="CE2" s="290" t="s">
        <v>35</v>
      </c>
      <c r="CF2" s="288" t="s">
        <v>121</v>
      </c>
      <c r="CG2" s="289" t="s">
        <v>122</v>
      </c>
      <c r="CH2" s="289" t="s">
        <v>33</v>
      </c>
      <c r="CI2" s="289" t="s">
        <v>34</v>
      </c>
      <c r="CJ2" s="290" t="s">
        <v>35</v>
      </c>
    </row>
    <row r="3" spans="1:88">
      <c r="A3" s="67" t="s">
        <v>99</v>
      </c>
      <c r="B3" s="68" t="s">
        <v>139</v>
      </c>
      <c r="C3" s="291">
        <v>44032</v>
      </c>
      <c r="D3" s="292"/>
      <c r="E3" s="293"/>
      <c r="F3" s="292">
        <f>IFERROR(D3/E3,0)</f>
        <v>0</v>
      </c>
      <c r="G3" s="230"/>
      <c r="H3" s="292">
        <f>IFERROR(G3/E3,0)</f>
        <v>0</v>
      </c>
      <c r="I3" s="353">
        <v>4196</v>
      </c>
      <c r="J3" s="293"/>
      <c r="K3" s="292">
        <f>IFERROR(I3/J3,0)</f>
        <v>0</v>
      </c>
      <c r="L3" s="230">
        <f ca="1">I3+RANDBETWEEN(1000,10000)</f>
        <v>11043</v>
      </c>
      <c r="M3" s="292">
        <f ca="1">IFERROR(L3/J3,0)</f>
        <v>0</v>
      </c>
      <c r="N3" s="353">
        <v>9519</v>
      </c>
      <c r="O3" s="293"/>
      <c r="P3" s="292">
        <f>IFERROR(N3/O3,0)</f>
        <v>0</v>
      </c>
      <c r="Q3" s="230">
        <f ca="1">N3+RANDBETWEEN(1000,10000)</f>
        <v>13689</v>
      </c>
      <c r="R3" s="292">
        <f ca="1">IFERROR(Q3/O3,0)</f>
        <v>0</v>
      </c>
      <c r="S3" s="354">
        <v>1185</v>
      </c>
      <c r="T3" s="294">
        <f>E3+J3+O3</f>
        <v>0</v>
      </c>
      <c r="U3" s="292">
        <f>IFERROR(S3/T3,0)</f>
        <v>0</v>
      </c>
      <c r="V3" s="295">
        <f ca="1">G3+L3+Q3</f>
        <v>24732</v>
      </c>
      <c r="W3" s="292">
        <f ca="1">IFERROR(V3/T3,0)</f>
        <v>0</v>
      </c>
      <c r="X3" s="353">
        <v>9329</v>
      </c>
      <c r="Y3" s="293"/>
      <c r="Z3" s="292">
        <f>IFERROR(X3/Y3,0)</f>
        <v>0</v>
      </c>
      <c r="AA3" s="230">
        <f ca="1">X3+RANDBETWEEN(1000,10000)</f>
        <v>17965</v>
      </c>
      <c r="AB3" s="292">
        <f ca="1">IFERROR(AA3/Y3,0)</f>
        <v>0</v>
      </c>
      <c r="AC3" s="353">
        <v>3667</v>
      </c>
      <c r="AD3" s="293"/>
      <c r="AE3" s="292">
        <f>IFERROR(AC3/AD3,0)</f>
        <v>0</v>
      </c>
      <c r="AF3" s="230">
        <f ca="1">AC3+RANDBETWEEN(1000,10000)</f>
        <v>12277</v>
      </c>
      <c r="AG3" s="292">
        <f ca="1">IFERROR(AF3/AD3,0)</f>
        <v>0</v>
      </c>
      <c r="AH3" s="353">
        <v>8078</v>
      </c>
      <c r="AI3" s="293"/>
      <c r="AJ3" s="292">
        <f>IFERROR(AH3/AI3,0)</f>
        <v>0</v>
      </c>
      <c r="AK3" s="230">
        <f ca="1">AH3+RANDBETWEEN(1000,10000)</f>
        <v>15375</v>
      </c>
      <c r="AL3" s="292">
        <f ca="1">IFERROR(AK3/AI3,0)</f>
        <v>0</v>
      </c>
      <c r="AM3" s="354">
        <v>3342</v>
      </c>
      <c r="AN3" s="294">
        <f>Y3+AD3+AI3</f>
        <v>0</v>
      </c>
      <c r="AO3" s="296">
        <f>IFERROR(AM3/AN3,0)</f>
        <v>0</v>
      </c>
      <c r="AP3" s="295">
        <f ca="1">AA3+AF3+AK3</f>
        <v>45617</v>
      </c>
      <c r="AQ3" s="296">
        <f ca="1">IFERROR(AP3/AN3,0)</f>
        <v>0</v>
      </c>
      <c r="AR3" s="353">
        <v>5084</v>
      </c>
      <c r="AS3" s="293"/>
      <c r="AT3" s="292">
        <f>IFERROR(AR3/AS3,0)</f>
        <v>0</v>
      </c>
      <c r="AU3" s="230">
        <f ca="1">AR3+RANDBETWEEN(1000,10000)</f>
        <v>13349</v>
      </c>
      <c r="AV3" s="292">
        <f ca="1">IFERROR(AU3/AS3,0)</f>
        <v>0</v>
      </c>
      <c r="AW3" s="353">
        <v>6687</v>
      </c>
      <c r="AX3" s="293"/>
      <c r="AY3" s="292">
        <f>IFERROR(AW3/AX3,0)</f>
        <v>0</v>
      </c>
      <c r="AZ3" s="230">
        <f ca="1">AW3+RANDBETWEEN(1000,10000)</f>
        <v>9874</v>
      </c>
      <c r="BA3" s="292">
        <f ca="1">IFERROR(AZ3/AX3,0)</f>
        <v>0</v>
      </c>
      <c r="BB3" s="353">
        <v>1815</v>
      </c>
      <c r="BC3" s="293"/>
      <c r="BD3" s="292">
        <f>IFERROR(BB3/BC3,0)</f>
        <v>0</v>
      </c>
      <c r="BE3" s="230">
        <f ca="1">BB3+RANDBETWEEN(1000,10000)</f>
        <v>3316</v>
      </c>
      <c r="BF3" s="292">
        <f ca="1">IFERROR(BE3/BC3,0)</f>
        <v>0</v>
      </c>
      <c r="BG3" s="354">
        <v>9185</v>
      </c>
      <c r="BH3" s="294">
        <f>AS3+AX3+BC3</f>
        <v>0</v>
      </c>
      <c r="BI3" s="296">
        <f>IFERROR(BG3/BH3,0)</f>
        <v>0</v>
      </c>
      <c r="BJ3" s="295">
        <f ca="1">AU3+AZ3+BE3</f>
        <v>26539</v>
      </c>
      <c r="BK3" s="296">
        <f ca="1">IFERROR(BJ3/BH3,0)</f>
        <v>0</v>
      </c>
      <c r="BL3" s="353">
        <v>5585</v>
      </c>
      <c r="BM3" s="293"/>
      <c r="BN3" s="292">
        <f>IFERROR(BL3/BM3,0)</f>
        <v>0</v>
      </c>
      <c r="BO3" s="230">
        <f ca="1">BL3+RANDBETWEEN(1000,10000)</f>
        <v>15347</v>
      </c>
      <c r="BP3" s="292">
        <f ca="1">IFERROR(BO3/BM3,0)</f>
        <v>0</v>
      </c>
      <c r="BQ3" s="353">
        <v>2246</v>
      </c>
      <c r="BR3" s="293"/>
      <c r="BS3" s="292">
        <f>IFERROR(BQ3/BR3,0)</f>
        <v>0</v>
      </c>
      <c r="BT3" s="230">
        <f ca="1">BQ3+RANDBETWEEN(1000,10000)</f>
        <v>11655</v>
      </c>
      <c r="BU3" s="292">
        <f ca="1">IFERROR(BT3/BR3,0)</f>
        <v>0</v>
      </c>
      <c r="BV3" s="353">
        <v>5491</v>
      </c>
      <c r="BW3" s="293"/>
      <c r="BX3" s="292">
        <f>IFERROR(BV3/BW3,0)</f>
        <v>0</v>
      </c>
      <c r="BY3" s="230">
        <f ca="1">BV3+RANDBETWEEN(1000,10000)</f>
        <v>7974</v>
      </c>
      <c r="BZ3" s="292">
        <f ca="1">IFERROR(BY3/BW3,0)</f>
        <v>0</v>
      </c>
      <c r="CA3" s="398">
        <v>9670</v>
      </c>
      <c r="CB3" s="294">
        <f>BM3+BR3+BW3</f>
        <v>0</v>
      </c>
      <c r="CC3" s="296">
        <f>IFERROR(CA3/CB3,0)</f>
        <v>0</v>
      </c>
      <c r="CD3" s="295">
        <f ca="1">BO3+BT3+BY3</f>
        <v>34976</v>
      </c>
      <c r="CE3" s="296">
        <f ca="1">IFERROR(CD3/CB3,0)</f>
        <v>0</v>
      </c>
      <c r="CF3" s="355">
        <v>8204</v>
      </c>
      <c r="CG3" s="297">
        <f t="shared" ref="CF3:CG15" si="0">T3+AN3+BH3+CB3</f>
        <v>0</v>
      </c>
      <c r="CH3" s="297">
        <f>IFERROR(CF3/CG3,0)</f>
        <v>0</v>
      </c>
      <c r="CI3" s="298">
        <f t="shared" ref="CI3:CI15" ca="1" si="1">V3+AP3+BJ3+CD3</f>
        <v>131864</v>
      </c>
      <c r="CJ3" s="299">
        <f ca="1">IFERROR(CI3/CG3,0)</f>
        <v>0</v>
      </c>
    </row>
    <row r="4" spans="1:88">
      <c r="A4" s="67" t="s">
        <v>99</v>
      </c>
      <c r="B4" s="465" t="s">
        <v>159</v>
      </c>
      <c r="C4" s="300"/>
      <c r="D4" s="353">
        <v>2355</v>
      </c>
      <c r="E4" s="293"/>
      <c r="F4" s="292">
        <f t="shared" ref="F4:F15" si="2">IFERROR(D4/E4,0)</f>
        <v>0</v>
      </c>
      <c r="G4" s="230">
        <f ca="1">D4+RANDBETWEEN(1000,10000)</f>
        <v>10305</v>
      </c>
      <c r="H4" s="292">
        <f t="shared" ref="H4:H15" ca="1" si="3">IFERROR(G4/E4,0)</f>
        <v>0</v>
      </c>
      <c r="I4" s="353">
        <v>5644</v>
      </c>
      <c r="J4" s="293"/>
      <c r="K4" s="292">
        <f t="shared" ref="K4:K15" si="4">IFERROR(I4/J4,0)</f>
        <v>0</v>
      </c>
      <c r="L4" s="230">
        <f t="shared" ref="L4:L7" ca="1" si="5">I4+RANDBETWEEN(1000,10000)</f>
        <v>8860</v>
      </c>
      <c r="M4" s="292">
        <f t="shared" ref="M4:M15" ca="1" si="6">IFERROR(L4/J4,0)</f>
        <v>0</v>
      </c>
      <c r="N4" s="353">
        <v>5743</v>
      </c>
      <c r="O4" s="293"/>
      <c r="P4" s="292">
        <f t="shared" ref="P4:P15" si="7">IFERROR(N4/O4,0)</f>
        <v>0</v>
      </c>
      <c r="Q4" s="230">
        <f t="shared" ref="Q4:Q7" ca="1" si="8">N4+RANDBETWEEN(1000,10000)</f>
        <v>13794</v>
      </c>
      <c r="R4" s="292">
        <f t="shared" ref="R4:R15" ca="1" si="9">IFERROR(Q4/O4,0)</f>
        <v>0</v>
      </c>
      <c r="S4" s="354">
        <v>7700</v>
      </c>
      <c r="T4" s="294">
        <f t="shared" ref="S4:T14" si="10">E4+J4+O4</f>
        <v>0</v>
      </c>
      <c r="U4" s="292">
        <f t="shared" ref="U4:U15" si="11">IFERROR(S4/T4,0)</f>
        <v>0</v>
      </c>
      <c r="V4" s="295">
        <f t="shared" ref="V4:V6" ca="1" si="12">G4+L4+Q4</f>
        <v>32959</v>
      </c>
      <c r="W4" s="292">
        <f t="shared" ref="W4:W15" ca="1" si="13">IFERROR(V4/T4,0)</f>
        <v>0</v>
      </c>
      <c r="X4" s="353">
        <v>5947</v>
      </c>
      <c r="Y4" s="293"/>
      <c r="Z4" s="292">
        <f t="shared" ref="Z4:Z15" si="14">IFERROR(X4/Y4,0)</f>
        <v>0</v>
      </c>
      <c r="AA4" s="230">
        <f t="shared" ref="AA4:AA7" ca="1" si="15">X4+RANDBETWEEN(1000,10000)</f>
        <v>14650</v>
      </c>
      <c r="AB4" s="292">
        <f t="shared" ref="AB4:AB15" ca="1" si="16">IFERROR(AA4/Y4,0)</f>
        <v>0</v>
      </c>
      <c r="AC4" s="353">
        <v>8579</v>
      </c>
      <c r="AD4" s="293"/>
      <c r="AE4" s="292">
        <f t="shared" ref="AE4:AE15" si="17">IFERROR(AC4/AD4,0)</f>
        <v>0</v>
      </c>
      <c r="AF4" s="230">
        <f t="shared" ref="AF4:AF7" ca="1" si="18">AC4+RANDBETWEEN(1000,10000)</f>
        <v>13389</v>
      </c>
      <c r="AG4" s="292">
        <f t="shared" ref="AG4:AG15" ca="1" si="19">IFERROR(AF4/AD4,0)</f>
        <v>0</v>
      </c>
      <c r="AH4" s="353">
        <v>3838</v>
      </c>
      <c r="AI4" s="293"/>
      <c r="AJ4" s="292">
        <f t="shared" ref="AJ4:AJ15" si="20">IFERROR(AH4/AI4,0)</f>
        <v>0</v>
      </c>
      <c r="AK4" s="230">
        <f t="shared" ref="AK4:AK7" ca="1" si="21">AH4+RANDBETWEEN(1000,10000)</f>
        <v>8589</v>
      </c>
      <c r="AL4" s="292">
        <f t="shared" ref="AL4:AL15" ca="1" si="22">IFERROR(AK4/AI4,0)</f>
        <v>0</v>
      </c>
      <c r="AM4" s="354">
        <v>2216</v>
      </c>
      <c r="AN4" s="294">
        <f t="shared" ref="AM4:AN14" si="23">Y4+AD4+AI4</f>
        <v>0</v>
      </c>
      <c r="AO4" s="296">
        <f t="shared" ref="AO4:AO15" si="24">IFERROR(AM4/AN4,0)</f>
        <v>0</v>
      </c>
      <c r="AP4" s="295">
        <f t="shared" ref="AP4:AP14" ca="1" si="25">AA4+AF4+AK4</f>
        <v>36628</v>
      </c>
      <c r="AQ4" s="296">
        <f t="shared" ref="AQ4:AQ15" ca="1" si="26">IFERROR(AP4/AN4,0)</f>
        <v>0</v>
      </c>
      <c r="AR4" s="353">
        <v>3143</v>
      </c>
      <c r="AS4" s="293"/>
      <c r="AT4" s="292">
        <f t="shared" ref="AT4:AT15" si="27">IFERROR(AR4/AS4,0)</f>
        <v>0</v>
      </c>
      <c r="AU4" s="230">
        <f t="shared" ref="AU4:AU7" ca="1" si="28">AR4+RANDBETWEEN(1000,10000)</f>
        <v>9529</v>
      </c>
      <c r="AV4" s="292">
        <f t="shared" ref="AV4:AV15" ca="1" si="29">IFERROR(AU4/AS4,0)</f>
        <v>0</v>
      </c>
      <c r="AW4" s="353">
        <v>8744</v>
      </c>
      <c r="AX4" s="293"/>
      <c r="AY4" s="292">
        <f t="shared" ref="AY4:AY15" si="30">IFERROR(AW4/AX4,0)</f>
        <v>0</v>
      </c>
      <c r="AZ4" s="230">
        <f t="shared" ref="AZ4:AZ7" ca="1" si="31">AW4+RANDBETWEEN(1000,10000)</f>
        <v>12738</v>
      </c>
      <c r="BA4" s="292">
        <f t="shared" ref="BA4:BA15" ca="1" si="32">IFERROR(AZ4/AX4,0)</f>
        <v>0</v>
      </c>
      <c r="BB4" s="353">
        <v>2644</v>
      </c>
      <c r="BC4" s="293"/>
      <c r="BD4" s="292">
        <f t="shared" ref="BD4:BD15" si="33">IFERROR(BB4/BC4,0)</f>
        <v>0</v>
      </c>
      <c r="BE4" s="230">
        <f t="shared" ref="BE4:BE7" ca="1" si="34">BB4+RANDBETWEEN(1000,10000)</f>
        <v>6275</v>
      </c>
      <c r="BF4" s="292">
        <f t="shared" ref="BF4:BF15" ca="1" si="35">IFERROR(BE4/BC4,0)</f>
        <v>0</v>
      </c>
      <c r="BG4" s="354">
        <v>2338</v>
      </c>
      <c r="BH4" s="294">
        <f t="shared" ref="BH4:BH14" si="36">AS4+AX4+BC4</f>
        <v>0</v>
      </c>
      <c r="BI4" s="296">
        <f t="shared" ref="BI4:BI15" si="37">IFERROR(BG4/BH4,0)</f>
        <v>0</v>
      </c>
      <c r="BJ4" s="295">
        <f t="shared" ref="BJ4:BJ13" ca="1" si="38">AU4+AZ4+BE4</f>
        <v>28542</v>
      </c>
      <c r="BK4" s="296">
        <f t="shared" ref="BK4:BK15" ca="1" si="39">IFERROR(BJ4/BH4,0)</f>
        <v>0</v>
      </c>
      <c r="BL4" s="353">
        <v>8837</v>
      </c>
      <c r="BM4" s="293"/>
      <c r="BN4" s="292">
        <f t="shared" ref="BN4:BN15" si="40">IFERROR(BL4/BM4,0)</f>
        <v>0</v>
      </c>
      <c r="BO4" s="230">
        <f t="shared" ref="BO4:BO7" ca="1" si="41">BL4+RANDBETWEEN(1000,10000)</f>
        <v>14908</v>
      </c>
      <c r="BP4" s="292">
        <f t="shared" ref="BP4:BP15" ca="1" si="42">IFERROR(BO4/BM4,0)</f>
        <v>0</v>
      </c>
      <c r="BQ4" s="353">
        <v>2158</v>
      </c>
      <c r="BR4" s="293"/>
      <c r="BS4" s="292">
        <f t="shared" ref="BS4:BS15" si="43">IFERROR(BQ4/BR4,0)</f>
        <v>0</v>
      </c>
      <c r="BT4" s="230">
        <f t="shared" ref="BT4:BT7" ca="1" si="44">BQ4+RANDBETWEEN(1000,10000)</f>
        <v>8031</v>
      </c>
      <c r="BU4" s="292">
        <f t="shared" ref="BU4:BU15" ca="1" si="45">IFERROR(BT4/BR4,0)</f>
        <v>0</v>
      </c>
      <c r="BV4" s="353">
        <v>7067</v>
      </c>
      <c r="BW4" s="293"/>
      <c r="BX4" s="292">
        <f t="shared" ref="BX4:BX14" si="46">IFERROR(BV4/BW4,0)</f>
        <v>0</v>
      </c>
      <c r="BY4" s="230">
        <f t="shared" ref="BY4:BY7" ca="1" si="47">BV4+RANDBETWEEN(1000,10000)</f>
        <v>16376</v>
      </c>
      <c r="BZ4" s="292">
        <f t="shared" ref="BZ4:BZ15" ca="1" si="48">IFERROR(BY4/BW4,0)</f>
        <v>0</v>
      </c>
      <c r="CA4" s="398">
        <v>3224</v>
      </c>
      <c r="CB4" s="294">
        <f t="shared" ref="CB4:CB14" si="49">BM4+BR4+BW4</f>
        <v>0</v>
      </c>
      <c r="CC4" s="296">
        <f t="shared" ref="CC4:CC15" si="50">IFERROR(CA4/CB4,0)</f>
        <v>0</v>
      </c>
      <c r="CD4" s="295">
        <f t="shared" ref="CD4:CD14" ca="1" si="51">BO4+BT4+BY4</f>
        <v>39315</v>
      </c>
      <c r="CE4" s="296">
        <f t="shared" ref="CE4:CE15" ca="1" si="52">IFERROR(CD4/CB4,0)</f>
        <v>0</v>
      </c>
      <c r="CF4" s="355">
        <v>3178</v>
      </c>
      <c r="CG4" s="297">
        <f t="shared" si="0"/>
        <v>0</v>
      </c>
      <c r="CH4" s="297">
        <f t="shared" ref="CH4:CH15" si="53">IFERROR(CF4/CG4,0)</f>
        <v>0</v>
      </c>
      <c r="CI4" s="298">
        <f t="shared" ca="1" si="1"/>
        <v>137444</v>
      </c>
      <c r="CJ4" s="299">
        <f t="shared" ref="CJ4:CJ15" ca="1" si="54">IFERROR(CI4/CG4,0)</f>
        <v>0</v>
      </c>
    </row>
    <row r="5" spans="1:88">
      <c r="A5" s="67" t="s">
        <v>99</v>
      </c>
      <c r="B5" s="465" t="s">
        <v>160</v>
      </c>
      <c r="C5" s="300"/>
      <c r="D5" s="353">
        <v>4465</v>
      </c>
      <c r="E5" s="293"/>
      <c r="F5" s="292"/>
      <c r="G5" s="230">
        <f t="shared" ref="G5:G7" ca="1" si="55">D5+RANDBETWEEN(1000,10000)</f>
        <v>11747</v>
      </c>
      <c r="H5" s="292"/>
      <c r="I5" s="353">
        <v>4753</v>
      </c>
      <c r="J5" s="293"/>
      <c r="K5" s="292"/>
      <c r="L5" s="230">
        <f t="shared" ca="1" si="5"/>
        <v>12408</v>
      </c>
      <c r="M5" s="292"/>
      <c r="N5" s="353">
        <v>6615</v>
      </c>
      <c r="O5" s="293"/>
      <c r="P5" s="292"/>
      <c r="Q5" s="230">
        <f t="shared" ca="1" si="8"/>
        <v>12004</v>
      </c>
      <c r="R5" s="292"/>
      <c r="S5" s="354">
        <v>9640</v>
      </c>
      <c r="T5" s="294"/>
      <c r="U5" s="292"/>
      <c r="V5" s="295">
        <f t="shared" ca="1" si="12"/>
        <v>36159</v>
      </c>
      <c r="W5" s="292"/>
      <c r="X5" s="353">
        <v>1474</v>
      </c>
      <c r="Y5" s="293"/>
      <c r="Z5" s="292"/>
      <c r="AA5" s="230">
        <f t="shared" ca="1" si="15"/>
        <v>11367</v>
      </c>
      <c r="AB5" s="292"/>
      <c r="AC5" s="353">
        <v>9227</v>
      </c>
      <c r="AD5" s="293"/>
      <c r="AE5" s="292"/>
      <c r="AF5" s="230">
        <f t="shared" ca="1" si="18"/>
        <v>17168</v>
      </c>
      <c r="AG5" s="292"/>
      <c r="AH5" s="353">
        <v>1782</v>
      </c>
      <c r="AI5" s="293"/>
      <c r="AJ5" s="292"/>
      <c r="AK5" s="230">
        <f t="shared" ca="1" si="21"/>
        <v>8506</v>
      </c>
      <c r="AL5" s="292"/>
      <c r="AM5" s="354">
        <v>6825</v>
      </c>
      <c r="AN5" s="294"/>
      <c r="AO5" s="296"/>
      <c r="AP5" s="295">
        <f t="shared" ca="1" si="25"/>
        <v>37041</v>
      </c>
      <c r="AQ5" s="296"/>
      <c r="AR5" s="292"/>
      <c r="AS5" s="293"/>
      <c r="AT5" s="292"/>
      <c r="AU5" s="230">
        <f t="shared" ca="1" si="28"/>
        <v>5437</v>
      </c>
      <c r="AV5" s="292"/>
      <c r="AW5" s="292"/>
      <c r="AX5" s="293"/>
      <c r="AY5" s="292"/>
      <c r="AZ5" s="230">
        <f t="shared" ca="1" si="31"/>
        <v>2161</v>
      </c>
      <c r="BA5" s="292"/>
      <c r="BB5" s="292"/>
      <c r="BC5" s="293"/>
      <c r="BD5" s="292"/>
      <c r="BE5" s="230">
        <f t="shared" ca="1" si="34"/>
        <v>7999</v>
      </c>
      <c r="BF5" s="292"/>
      <c r="BG5" s="294"/>
      <c r="BH5" s="294"/>
      <c r="BI5" s="296"/>
      <c r="BJ5" s="295">
        <f t="shared" ca="1" si="38"/>
        <v>15597</v>
      </c>
      <c r="BK5" s="296"/>
      <c r="BL5" s="292"/>
      <c r="BM5" s="293"/>
      <c r="BN5" s="292"/>
      <c r="BO5" s="230">
        <f t="shared" ca="1" si="41"/>
        <v>1548</v>
      </c>
      <c r="BP5" s="292"/>
      <c r="BQ5" s="292"/>
      <c r="BR5" s="293"/>
      <c r="BS5" s="292"/>
      <c r="BT5" s="230">
        <f t="shared" ca="1" si="44"/>
        <v>3472</v>
      </c>
      <c r="BU5" s="292"/>
      <c r="BV5" s="292"/>
      <c r="BW5" s="293"/>
      <c r="BX5" s="292"/>
      <c r="BY5" s="230">
        <f t="shared" ca="1" si="47"/>
        <v>3157</v>
      </c>
      <c r="BZ5" s="292"/>
      <c r="CA5" s="328"/>
      <c r="CB5" s="294"/>
      <c r="CC5" s="296"/>
      <c r="CD5" s="295">
        <f t="shared" ca="1" si="51"/>
        <v>8177</v>
      </c>
      <c r="CE5" s="296"/>
      <c r="CF5" s="355">
        <v>3536</v>
      </c>
      <c r="CG5" s="297"/>
      <c r="CH5" s="297"/>
      <c r="CI5" s="298">
        <f t="shared" ca="1" si="1"/>
        <v>96974</v>
      </c>
      <c r="CJ5" s="299"/>
    </row>
    <row r="6" spans="1:88">
      <c r="A6" s="67" t="s">
        <v>161</v>
      </c>
      <c r="B6" s="68" t="s">
        <v>43</v>
      </c>
      <c r="C6" s="291">
        <v>44287</v>
      </c>
      <c r="D6" s="292"/>
      <c r="E6" s="293"/>
      <c r="F6" s="292">
        <f t="shared" ref="F6" si="56">IFERROR(D6/E6,0)</f>
        <v>0</v>
      </c>
      <c r="G6" s="230"/>
      <c r="H6" s="292">
        <f t="shared" ref="H6" si="57">IFERROR(G6/E6,0)</f>
        <v>0</v>
      </c>
      <c r="I6" s="292"/>
      <c r="J6" s="293"/>
      <c r="K6" s="292">
        <f t="shared" ref="K6" si="58">IFERROR(I6/J6,0)</f>
        <v>0</v>
      </c>
      <c r="L6" s="230"/>
      <c r="M6" s="292">
        <f t="shared" ref="M6" si="59">IFERROR(L6/J6,0)</f>
        <v>0</v>
      </c>
      <c r="N6" s="292"/>
      <c r="O6" s="293"/>
      <c r="P6" s="292">
        <f t="shared" ref="P6" si="60">IFERROR(N6/O6,0)</f>
        <v>0</v>
      </c>
      <c r="Q6" s="230"/>
      <c r="R6" s="292">
        <f t="shared" ref="R6" si="61">IFERROR(Q6/O6,0)</f>
        <v>0</v>
      </c>
      <c r="S6" s="294"/>
      <c r="T6" s="294">
        <f t="shared" ref="T6" si="62">E6+J6+O6</f>
        <v>0</v>
      </c>
      <c r="U6" s="292">
        <f t="shared" ref="U6" si="63">IFERROR(S6/T6,0)</f>
        <v>0</v>
      </c>
      <c r="V6" s="295">
        <f t="shared" si="12"/>
        <v>0</v>
      </c>
      <c r="W6" s="292">
        <f t="shared" ref="W6" si="64">IFERROR(V6/T6,0)</f>
        <v>0</v>
      </c>
      <c r="X6" s="353">
        <v>5721</v>
      </c>
      <c r="Y6" s="293"/>
      <c r="Z6" s="292">
        <f t="shared" ref="Z6" si="65">IFERROR(X6/Y6,0)</f>
        <v>0</v>
      </c>
      <c r="AA6" s="230">
        <f t="shared" ca="1" si="15"/>
        <v>11010</v>
      </c>
      <c r="AB6" s="292">
        <f t="shared" ref="AB6:AB7" ca="1" si="66">IFERROR(AA6/Y6,0)</f>
        <v>0</v>
      </c>
      <c r="AC6" s="353">
        <v>4775</v>
      </c>
      <c r="AD6" s="293"/>
      <c r="AE6" s="292">
        <f t="shared" ref="AE6" si="67">IFERROR(AC6/AD6,0)</f>
        <v>0</v>
      </c>
      <c r="AF6" s="230">
        <f t="shared" ca="1" si="18"/>
        <v>12004</v>
      </c>
      <c r="AG6" s="292">
        <f t="shared" ref="AG6" ca="1" si="68">IFERROR(AF6/AD6,0)</f>
        <v>0</v>
      </c>
      <c r="AH6" s="353">
        <v>5025</v>
      </c>
      <c r="AI6" s="293"/>
      <c r="AJ6" s="292">
        <f t="shared" ref="AJ6" si="69">IFERROR(AH6/AI6,0)</f>
        <v>0</v>
      </c>
      <c r="AK6" s="230">
        <f t="shared" ca="1" si="21"/>
        <v>14571</v>
      </c>
      <c r="AL6" s="292">
        <f t="shared" ref="AL6" ca="1" si="70">IFERROR(AK6/AI6,0)</f>
        <v>0</v>
      </c>
      <c r="AM6" s="354">
        <v>3411</v>
      </c>
      <c r="AN6" s="294">
        <f t="shared" ref="AN6" si="71">Y6+AD6+AI6</f>
        <v>0</v>
      </c>
      <c r="AO6" s="296">
        <f t="shared" ref="AO6" si="72">IFERROR(AM6/AN6,0)</f>
        <v>0</v>
      </c>
      <c r="AP6" s="295">
        <f t="shared" ca="1" si="25"/>
        <v>37585</v>
      </c>
      <c r="AQ6" s="296">
        <f t="shared" ref="AQ6" ca="1" si="73">IFERROR(AP6/AN6,0)</f>
        <v>0</v>
      </c>
      <c r="AR6" s="353">
        <v>4106</v>
      </c>
      <c r="AS6" s="293"/>
      <c r="AT6" s="292">
        <f t="shared" ref="AT6" si="74">IFERROR(AR6/AS6,0)</f>
        <v>0</v>
      </c>
      <c r="AU6" s="230">
        <f t="shared" ca="1" si="28"/>
        <v>6326</v>
      </c>
      <c r="AV6" s="292">
        <f t="shared" ref="AV6" ca="1" si="75">IFERROR(AU6/AS6,0)</f>
        <v>0</v>
      </c>
      <c r="AW6" s="353">
        <v>5241</v>
      </c>
      <c r="AX6" s="293"/>
      <c r="AY6" s="292">
        <f t="shared" ref="AY6" si="76">IFERROR(AW6/AX6,0)</f>
        <v>0</v>
      </c>
      <c r="AZ6" s="230">
        <f t="shared" ca="1" si="31"/>
        <v>6764</v>
      </c>
      <c r="BA6" s="292">
        <f t="shared" ref="BA6" ca="1" si="77">IFERROR(AZ6/AX6,0)</f>
        <v>0</v>
      </c>
      <c r="BB6" s="353">
        <v>3864</v>
      </c>
      <c r="BC6" s="293"/>
      <c r="BD6" s="292">
        <f t="shared" ref="BD6" si="78">IFERROR(BB6/BC6,0)</f>
        <v>0</v>
      </c>
      <c r="BE6" s="230">
        <f t="shared" ca="1" si="34"/>
        <v>11160</v>
      </c>
      <c r="BF6" s="292">
        <f t="shared" ref="BF6" ca="1" si="79">IFERROR(BE6/BC6,0)</f>
        <v>0</v>
      </c>
      <c r="BG6" s="354">
        <v>9243</v>
      </c>
      <c r="BH6" s="294">
        <f t="shared" ref="BH6" si="80">AS6+AX6+BC6</f>
        <v>0</v>
      </c>
      <c r="BI6" s="296">
        <f t="shared" ref="BI6" si="81">IFERROR(BG6/BH6,0)</f>
        <v>0</v>
      </c>
      <c r="BJ6" s="295">
        <f t="shared" ca="1" si="38"/>
        <v>24250</v>
      </c>
      <c r="BK6" s="296">
        <f t="shared" ref="BK6" ca="1" si="82">IFERROR(BJ6/BH6,0)</f>
        <v>0</v>
      </c>
      <c r="BL6" s="353">
        <v>5180</v>
      </c>
      <c r="BM6" s="293"/>
      <c r="BN6" s="292">
        <f t="shared" ref="BN6" si="83">IFERROR(BL6/BM6,0)</f>
        <v>0</v>
      </c>
      <c r="BO6" s="230">
        <f t="shared" ca="1" si="41"/>
        <v>14786</v>
      </c>
      <c r="BP6" s="292">
        <f t="shared" ref="BP6" ca="1" si="84">IFERROR(BO6/BM6,0)</f>
        <v>0</v>
      </c>
      <c r="BQ6" s="353">
        <v>9634</v>
      </c>
      <c r="BR6" s="293"/>
      <c r="BS6" s="292">
        <f t="shared" ref="BS6" si="85">IFERROR(BQ6/BR6,0)</f>
        <v>0</v>
      </c>
      <c r="BT6" s="230">
        <f t="shared" ca="1" si="44"/>
        <v>18777</v>
      </c>
      <c r="BU6" s="292">
        <f t="shared" ref="BU6" ca="1" si="86">IFERROR(BT6/BR6,0)</f>
        <v>0</v>
      </c>
      <c r="BV6" s="353">
        <v>1260</v>
      </c>
      <c r="BW6" s="293"/>
      <c r="BX6" s="292">
        <f t="shared" ref="BX6" si="87">IFERROR(BV6/BW6,0)</f>
        <v>0</v>
      </c>
      <c r="BY6" s="230">
        <f t="shared" ca="1" si="47"/>
        <v>3823</v>
      </c>
      <c r="BZ6" s="292">
        <f t="shared" ref="BZ6" ca="1" si="88">IFERROR(BY6/BW6,0)</f>
        <v>0</v>
      </c>
      <c r="CA6" s="398">
        <v>7966</v>
      </c>
      <c r="CB6" s="294">
        <f t="shared" ref="CB6" si="89">BM6+BR6+BW6</f>
        <v>0</v>
      </c>
      <c r="CC6" s="296">
        <f t="shared" ref="CC6" si="90">IFERROR(CA6/CB6,0)</f>
        <v>0</v>
      </c>
      <c r="CD6" s="295">
        <f t="shared" ref="CD6:CD8" ca="1" si="91">BO6+BT6+BY6</f>
        <v>37386</v>
      </c>
      <c r="CE6" s="296">
        <f t="shared" ref="CE6" ca="1" si="92">IFERROR(CD6/CB6,0)</f>
        <v>0</v>
      </c>
      <c r="CF6" s="355">
        <v>9877</v>
      </c>
      <c r="CG6" s="297">
        <f t="shared" ref="CG6" si="93">T6+AN6+BH6+CB6</f>
        <v>0</v>
      </c>
      <c r="CH6" s="297">
        <f t="shared" ref="CH6" si="94">IFERROR(CF6/CG6,0)</f>
        <v>0</v>
      </c>
      <c r="CI6" s="298">
        <f t="shared" ca="1" si="1"/>
        <v>99221</v>
      </c>
      <c r="CJ6" s="299">
        <f t="shared" ref="CJ6" ca="1" si="95">IFERROR(CI6/CG6,0)</f>
        <v>0</v>
      </c>
    </row>
    <row r="7" spans="1:88">
      <c r="A7" s="67" t="s">
        <v>99</v>
      </c>
      <c r="B7" s="68" t="s">
        <v>170</v>
      </c>
      <c r="C7" s="291">
        <v>44287</v>
      </c>
      <c r="D7" s="292"/>
      <c r="E7" s="293"/>
      <c r="F7" s="292"/>
      <c r="G7" s="230"/>
      <c r="H7" s="292"/>
      <c r="I7" s="292"/>
      <c r="J7" s="293"/>
      <c r="K7" s="292"/>
      <c r="L7" s="230"/>
      <c r="M7" s="292"/>
      <c r="N7" s="292"/>
      <c r="O7" s="293"/>
      <c r="P7" s="292"/>
      <c r="Q7" s="230"/>
      <c r="R7" s="292"/>
      <c r="S7" s="294"/>
      <c r="T7" s="294"/>
      <c r="U7" s="292"/>
      <c r="V7" s="295"/>
      <c r="W7" s="292"/>
      <c r="X7" s="353">
        <v>7082</v>
      </c>
      <c r="Y7" s="293"/>
      <c r="Z7" s="292"/>
      <c r="AA7" s="230">
        <f t="shared" ca="1" si="15"/>
        <v>15690</v>
      </c>
      <c r="AB7" s="292">
        <f t="shared" ca="1" si="66"/>
        <v>0</v>
      </c>
      <c r="AC7" s="353">
        <v>6391</v>
      </c>
      <c r="AD7" s="293"/>
      <c r="AE7" s="292"/>
      <c r="AF7" s="230">
        <f t="shared" ca="1" si="18"/>
        <v>10194</v>
      </c>
      <c r="AG7" s="292"/>
      <c r="AH7" s="353">
        <v>5277</v>
      </c>
      <c r="AI7" s="293"/>
      <c r="AJ7" s="292"/>
      <c r="AK7" s="230">
        <f t="shared" ca="1" si="21"/>
        <v>8819</v>
      </c>
      <c r="AL7" s="292"/>
      <c r="AM7" s="294"/>
      <c r="AN7" s="294"/>
      <c r="AO7" s="296"/>
      <c r="AP7" s="295">
        <f t="shared" ca="1" si="25"/>
        <v>34703</v>
      </c>
      <c r="AQ7" s="296"/>
      <c r="AR7" s="353">
        <v>3753</v>
      </c>
      <c r="AS7" s="293"/>
      <c r="AT7" s="292"/>
      <c r="AU7" s="230">
        <f t="shared" ca="1" si="28"/>
        <v>10887</v>
      </c>
      <c r="AV7" s="292"/>
      <c r="AW7" s="353">
        <v>4403</v>
      </c>
      <c r="AX7" s="293"/>
      <c r="AY7" s="292"/>
      <c r="AZ7" s="230">
        <f t="shared" ca="1" si="31"/>
        <v>9392</v>
      </c>
      <c r="BA7" s="292"/>
      <c r="BB7" s="353">
        <v>6814</v>
      </c>
      <c r="BC7" s="293"/>
      <c r="BD7" s="292"/>
      <c r="BE7" s="230">
        <f t="shared" ca="1" si="34"/>
        <v>14942</v>
      </c>
      <c r="BF7" s="292"/>
      <c r="BG7" s="294"/>
      <c r="BH7" s="294"/>
      <c r="BI7" s="296"/>
      <c r="BJ7" s="295">
        <f t="shared" ca="1" si="38"/>
        <v>35221</v>
      </c>
      <c r="BK7" s="296"/>
      <c r="BL7" s="353">
        <v>8085</v>
      </c>
      <c r="BM7" s="293"/>
      <c r="BN7" s="292"/>
      <c r="BO7" s="230">
        <f t="shared" ca="1" si="41"/>
        <v>13198</v>
      </c>
      <c r="BP7" s="292"/>
      <c r="BQ7" s="353">
        <v>7815</v>
      </c>
      <c r="BR7" s="293"/>
      <c r="BS7" s="292"/>
      <c r="BT7" s="230">
        <f t="shared" ca="1" si="44"/>
        <v>10908</v>
      </c>
      <c r="BU7" s="292"/>
      <c r="BV7" s="353">
        <v>6833</v>
      </c>
      <c r="BW7" s="293"/>
      <c r="BX7" s="292"/>
      <c r="BY7" s="230">
        <f t="shared" ca="1" si="47"/>
        <v>12916</v>
      </c>
      <c r="BZ7" s="292"/>
      <c r="CA7" s="328"/>
      <c r="CB7" s="294"/>
      <c r="CC7" s="296"/>
      <c r="CD7" s="295">
        <f t="shared" ca="1" si="91"/>
        <v>37022</v>
      </c>
      <c r="CE7" s="296"/>
      <c r="CF7" s="297"/>
      <c r="CG7" s="297"/>
      <c r="CH7" s="297"/>
      <c r="CI7" s="298">
        <f t="shared" ca="1" si="1"/>
        <v>106946</v>
      </c>
      <c r="CJ7" s="299"/>
    </row>
    <row r="8" spans="1:88">
      <c r="A8" s="67"/>
      <c r="B8" s="68"/>
      <c r="C8" s="291"/>
      <c r="D8" s="292"/>
      <c r="E8" s="293"/>
      <c r="F8" s="292"/>
      <c r="G8" s="293"/>
      <c r="H8" s="292"/>
      <c r="I8" s="292"/>
      <c r="J8" s="293"/>
      <c r="K8" s="292"/>
      <c r="L8" s="293"/>
      <c r="M8" s="292"/>
      <c r="N8" s="292"/>
      <c r="O8" s="293"/>
      <c r="P8" s="292"/>
      <c r="Q8" s="293"/>
      <c r="R8" s="292"/>
      <c r="S8" s="294"/>
      <c r="T8" s="294"/>
      <c r="U8" s="292"/>
      <c r="V8" s="295"/>
      <c r="W8" s="292"/>
      <c r="X8" s="292"/>
      <c r="Y8" s="293"/>
      <c r="Z8" s="292"/>
      <c r="AA8" s="293"/>
      <c r="AB8" s="292"/>
      <c r="AC8" s="292"/>
      <c r="AD8" s="293"/>
      <c r="AE8" s="292"/>
      <c r="AF8" s="293"/>
      <c r="AG8" s="292"/>
      <c r="AH8" s="292"/>
      <c r="AI8" s="293"/>
      <c r="AJ8" s="292"/>
      <c r="AK8" s="293"/>
      <c r="AL8" s="292"/>
      <c r="AM8" s="294"/>
      <c r="AN8" s="294"/>
      <c r="AO8" s="296"/>
      <c r="AP8" s="295">
        <f t="shared" si="25"/>
        <v>0</v>
      </c>
      <c r="AQ8" s="296"/>
      <c r="AR8" s="292"/>
      <c r="AS8" s="293"/>
      <c r="AT8" s="292"/>
      <c r="AU8" s="293"/>
      <c r="AV8" s="292"/>
      <c r="AW8" s="292"/>
      <c r="AX8" s="293"/>
      <c r="AY8" s="292"/>
      <c r="AZ8" s="293"/>
      <c r="BA8" s="292"/>
      <c r="BB8" s="292"/>
      <c r="BC8" s="293"/>
      <c r="BD8" s="292"/>
      <c r="BE8" s="293"/>
      <c r="BF8" s="292"/>
      <c r="BG8" s="294"/>
      <c r="BH8" s="294"/>
      <c r="BI8" s="296"/>
      <c r="BJ8" s="295">
        <f t="shared" si="38"/>
        <v>0</v>
      </c>
      <c r="BK8" s="296"/>
      <c r="BL8" s="292"/>
      <c r="BM8" s="293"/>
      <c r="BN8" s="292"/>
      <c r="BO8" s="293"/>
      <c r="BP8" s="292"/>
      <c r="BQ8" s="292"/>
      <c r="BR8" s="293"/>
      <c r="BS8" s="292"/>
      <c r="BT8" s="293"/>
      <c r="BU8" s="292"/>
      <c r="BV8" s="292"/>
      <c r="BW8" s="293"/>
      <c r="BX8" s="292"/>
      <c r="BY8" s="293"/>
      <c r="BZ8" s="292"/>
      <c r="CA8" s="294"/>
      <c r="CB8" s="294"/>
      <c r="CC8" s="296"/>
      <c r="CD8" s="295">
        <f t="shared" si="91"/>
        <v>0</v>
      </c>
      <c r="CE8" s="296"/>
      <c r="CF8" s="297"/>
      <c r="CG8" s="297"/>
      <c r="CH8" s="297"/>
      <c r="CI8" s="298"/>
      <c r="CJ8" s="299"/>
    </row>
    <row r="9" spans="1:88">
      <c r="A9" s="67"/>
      <c r="B9" s="386"/>
      <c r="C9" s="387"/>
      <c r="D9" s="388"/>
      <c r="E9" s="389"/>
      <c r="F9" s="388"/>
      <c r="G9" s="389"/>
      <c r="H9" s="388"/>
      <c r="I9" s="388"/>
      <c r="J9" s="389"/>
      <c r="K9" s="388"/>
      <c r="L9" s="389"/>
      <c r="M9" s="388"/>
      <c r="N9" s="388"/>
      <c r="O9" s="389"/>
      <c r="P9" s="388"/>
      <c r="Q9" s="389"/>
      <c r="R9" s="388"/>
      <c r="S9" s="390"/>
      <c r="T9" s="390"/>
      <c r="U9" s="388"/>
      <c r="V9" s="391"/>
      <c r="W9" s="388"/>
      <c r="X9" s="388"/>
      <c r="Y9" s="389"/>
      <c r="Z9" s="388"/>
      <c r="AA9" s="389"/>
      <c r="AB9" s="388"/>
      <c r="AC9" s="388"/>
      <c r="AD9" s="389"/>
      <c r="AE9" s="388"/>
      <c r="AF9" s="389"/>
      <c r="AG9" s="388"/>
      <c r="AH9" s="388"/>
      <c r="AI9" s="389"/>
      <c r="AJ9" s="388"/>
      <c r="AK9" s="389"/>
      <c r="AL9" s="388"/>
      <c r="AM9" s="390"/>
      <c r="AN9" s="390"/>
      <c r="AO9" s="392"/>
      <c r="AP9" s="295">
        <f t="shared" si="25"/>
        <v>0</v>
      </c>
      <c r="AQ9" s="392"/>
      <c r="AR9" s="388"/>
      <c r="AS9" s="389"/>
      <c r="AT9" s="388"/>
      <c r="AU9" s="389"/>
      <c r="AV9" s="388"/>
      <c r="AW9" s="388"/>
      <c r="AX9" s="389"/>
      <c r="AY9" s="388"/>
      <c r="AZ9" s="389"/>
      <c r="BA9" s="388"/>
      <c r="BB9" s="388"/>
      <c r="BC9" s="389"/>
      <c r="BD9" s="388"/>
      <c r="BE9" s="389"/>
      <c r="BF9" s="388"/>
      <c r="BG9" s="390"/>
      <c r="BH9" s="390"/>
      <c r="BI9" s="392"/>
      <c r="BJ9" s="295">
        <f t="shared" si="38"/>
        <v>0</v>
      </c>
      <c r="BK9" s="392"/>
      <c r="BL9" s="388"/>
      <c r="BM9" s="389"/>
      <c r="BN9" s="388"/>
      <c r="BO9" s="389"/>
      <c r="BP9" s="388"/>
      <c r="BQ9" s="388"/>
      <c r="BR9" s="389"/>
      <c r="BS9" s="388"/>
      <c r="BT9" s="389"/>
      <c r="BU9" s="388"/>
      <c r="BV9" s="388"/>
      <c r="BW9" s="389"/>
      <c r="BX9" s="388"/>
      <c r="BY9" s="389"/>
      <c r="BZ9" s="388"/>
      <c r="CA9" s="390"/>
      <c r="CB9" s="390"/>
      <c r="CC9" s="392"/>
      <c r="CD9" s="391"/>
      <c r="CE9" s="392"/>
      <c r="CF9" s="393"/>
      <c r="CG9" s="393"/>
      <c r="CH9" s="393"/>
      <c r="CI9" s="394"/>
      <c r="CJ9" s="395"/>
    </row>
    <row r="10" spans="1:88" ht="4.05" customHeight="1">
      <c r="A10" s="253"/>
      <c r="B10" s="254"/>
      <c r="C10" s="255"/>
      <c r="D10" s="255"/>
      <c r="E10" s="255"/>
      <c r="F10" s="255"/>
      <c r="G10" s="255"/>
      <c r="H10" s="255"/>
      <c r="I10" s="256"/>
      <c r="J10" s="257"/>
      <c r="K10" s="255"/>
      <c r="L10" s="255"/>
      <c r="M10" s="255"/>
      <c r="N10" s="255"/>
      <c r="O10" s="255"/>
      <c r="P10" s="255"/>
      <c r="Q10" s="256"/>
      <c r="R10" s="257"/>
      <c r="S10" s="255"/>
      <c r="T10" s="255"/>
      <c r="U10" s="255"/>
      <c r="V10" s="255"/>
      <c r="W10" s="255"/>
      <c r="X10" s="255"/>
      <c r="Y10" s="256"/>
      <c r="Z10" s="257"/>
      <c r="AA10" s="255"/>
      <c r="AB10" s="255"/>
      <c r="AC10" s="255"/>
      <c r="AD10" s="255"/>
      <c r="AE10" s="255"/>
      <c r="AF10" s="255"/>
      <c r="AG10" s="256"/>
      <c r="AH10" s="257"/>
      <c r="AI10" s="255"/>
      <c r="AJ10" s="258"/>
      <c r="AK10" s="258"/>
      <c r="AL10" s="258"/>
      <c r="AM10" s="258"/>
      <c r="AN10" s="258"/>
      <c r="AO10" s="258"/>
      <c r="AP10" s="258"/>
      <c r="AQ10" s="258"/>
      <c r="AR10" s="258"/>
      <c r="AS10" s="258"/>
      <c r="AT10" s="258"/>
      <c r="AU10" s="258"/>
      <c r="AV10" s="258"/>
      <c r="AW10" s="258"/>
      <c r="AX10" s="258"/>
      <c r="AY10" s="258"/>
      <c r="AZ10" s="258"/>
      <c r="BA10" s="258"/>
      <c r="BB10" s="258"/>
      <c r="BC10" s="258"/>
      <c r="BD10" s="258"/>
      <c r="BE10" s="258"/>
      <c r="BF10" s="258"/>
      <c r="BG10" s="258"/>
      <c r="BH10" s="258"/>
      <c r="BI10" s="258"/>
      <c r="BJ10" s="258"/>
      <c r="BK10" s="258"/>
      <c r="BL10" s="258"/>
      <c r="BM10" s="258"/>
      <c r="BN10" s="258"/>
      <c r="BO10" s="258"/>
      <c r="BP10" s="258"/>
      <c r="BQ10" s="258"/>
      <c r="BR10" s="258"/>
      <c r="BS10" s="258"/>
      <c r="BT10" s="258"/>
      <c r="BU10" s="258"/>
      <c r="BV10" s="258"/>
      <c r="BW10" s="258"/>
      <c r="BX10" s="258"/>
      <c r="BY10" s="258"/>
      <c r="BZ10" s="258"/>
      <c r="CA10" s="258"/>
      <c r="CB10" s="258"/>
      <c r="CC10" s="258"/>
      <c r="CD10" s="258"/>
      <c r="CE10" s="258"/>
      <c r="CF10" s="258"/>
      <c r="CG10" s="258"/>
      <c r="CH10" s="258"/>
      <c r="CI10" s="258"/>
      <c r="CJ10" s="258"/>
    </row>
    <row r="11" spans="1:88">
      <c r="A11" s="70" t="s">
        <v>89</v>
      </c>
      <c r="B11" s="341" t="s">
        <v>90</v>
      </c>
      <c r="C11" s="342"/>
      <c r="D11" s="239">
        <f>D25</f>
        <v>0</v>
      </c>
      <c r="E11" s="312">
        <f>E25</f>
        <v>0</v>
      </c>
      <c r="F11" s="311">
        <f t="shared" si="2"/>
        <v>0</v>
      </c>
      <c r="G11" s="312">
        <f>G25</f>
        <v>0</v>
      </c>
      <c r="H11" s="311">
        <f t="shared" si="3"/>
        <v>0</v>
      </c>
      <c r="I11" s="239">
        <f>I25</f>
        <v>0</v>
      </c>
      <c r="J11" s="312">
        <f>J25</f>
        <v>0</v>
      </c>
      <c r="K11" s="311">
        <f t="shared" si="4"/>
        <v>0</v>
      </c>
      <c r="L11" s="312">
        <f>L25</f>
        <v>0</v>
      </c>
      <c r="M11" s="311">
        <f t="shared" si="6"/>
        <v>0</v>
      </c>
      <c r="N11" s="239">
        <f>N25</f>
        <v>0</v>
      </c>
      <c r="O11" s="312">
        <f>O25</f>
        <v>0</v>
      </c>
      <c r="P11" s="311">
        <f t="shared" si="7"/>
        <v>0</v>
      </c>
      <c r="Q11" s="312">
        <f>Q25</f>
        <v>0</v>
      </c>
      <c r="R11" s="311">
        <f t="shared" si="9"/>
        <v>0</v>
      </c>
      <c r="S11" s="313">
        <f t="shared" si="10"/>
        <v>0</v>
      </c>
      <c r="T11" s="313">
        <f t="shared" si="10"/>
        <v>0</v>
      </c>
      <c r="U11" s="311">
        <f t="shared" si="11"/>
        <v>0</v>
      </c>
      <c r="V11" s="314">
        <f t="shared" ref="V11:V14" si="96">G11+L11+Q11</f>
        <v>0</v>
      </c>
      <c r="W11" s="311">
        <f t="shared" si="13"/>
        <v>0</v>
      </c>
      <c r="X11" s="239">
        <f>X25</f>
        <v>0</v>
      </c>
      <c r="Y11" s="312">
        <f>Y25</f>
        <v>0</v>
      </c>
      <c r="Z11" s="311">
        <f t="shared" si="14"/>
        <v>0</v>
      </c>
      <c r="AA11" s="312">
        <f>AA25</f>
        <v>0</v>
      </c>
      <c r="AB11" s="311">
        <f t="shared" si="16"/>
        <v>0</v>
      </c>
      <c r="AC11" s="239">
        <f>AC25</f>
        <v>0</v>
      </c>
      <c r="AD11" s="312">
        <f>AD25</f>
        <v>0</v>
      </c>
      <c r="AE11" s="311">
        <f t="shared" si="17"/>
        <v>0</v>
      </c>
      <c r="AF11" s="312">
        <f>AF25</f>
        <v>0</v>
      </c>
      <c r="AG11" s="311">
        <f t="shared" si="19"/>
        <v>0</v>
      </c>
      <c r="AH11" s="239">
        <f>AH25</f>
        <v>0</v>
      </c>
      <c r="AI11" s="312">
        <f>AI25</f>
        <v>0</v>
      </c>
      <c r="AJ11" s="311">
        <f t="shared" si="20"/>
        <v>0</v>
      </c>
      <c r="AK11" s="312">
        <f>AK25</f>
        <v>0</v>
      </c>
      <c r="AL11" s="311">
        <f t="shared" si="22"/>
        <v>0</v>
      </c>
      <c r="AM11" s="313">
        <f t="shared" si="23"/>
        <v>0</v>
      </c>
      <c r="AN11" s="313">
        <f t="shared" si="23"/>
        <v>0</v>
      </c>
      <c r="AO11" s="315">
        <f t="shared" si="24"/>
        <v>0</v>
      </c>
      <c r="AP11" s="314">
        <f t="shared" si="25"/>
        <v>0</v>
      </c>
      <c r="AQ11" s="315">
        <f t="shared" si="26"/>
        <v>0</v>
      </c>
      <c r="AR11" s="239">
        <f>AR25</f>
        <v>0</v>
      </c>
      <c r="AS11" s="312">
        <f>AS25</f>
        <v>0</v>
      </c>
      <c r="AT11" s="311">
        <f t="shared" si="27"/>
        <v>0</v>
      </c>
      <c r="AU11" s="312">
        <f>AU25</f>
        <v>0</v>
      </c>
      <c r="AV11" s="311">
        <f t="shared" si="29"/>
        <v>0</v>
      </c>
      <c r="AW11" s="239">
        <f>AW25</f>
        <v>0</v>
      </c>
      <c r="AX11" s="312">
        <f>AX25</f>
        <v>0</v>
      </c>
      <c r="AY11" s="311">
        <f t="shared" si="30"/>
        <v>0</v>
      </c>
      <c r="AZ11" s="312">
        <f>AZ25</f>
        <v>0</v>
      </c>
      <c r="BA11" s="311">
        <f t="shared" si="32"/>
        <v>0</v>
      </c>
      <c r="BB11" s="239">
        <f>BB25</f>
        <v>0</v>
      </c>
      <c r="BC11" s="312">
        <f>BC25</f>
        <v>0</v>
      </c>
      <c r="BD11" s="311">
        <f t="shared" si="33"/>
        <v>0</v>
      </c>
      <c r="BE11" s="312">
        <f>BE25</f>
        <v>0</v>
      </c>
      <c r="BF11" s="311">
        <f t="shared" si="35"/>
        <v>0</v>
      </c>
      <c r="BG11" s="313">
        <f t="shared" ref="BG11:BG14" si="97">AR11+AW11+BB11</f>
        <v>0</v>
      </c>
      <c r="BH11" s="313">
        <f t="shared" si="36"/>
        <v>0</v>
      </c>
      <c r="BI11" s="315">
        <f t="shared" si="37"/>
        <v>0</v>
      </c>
      <c r="BJ11" s="314">
        <f t="shared" si="38"/>
        <v>0</v>
      </c>
      <c r="BK11" s="315">
        <f t="shared" si="39"/>
        <v>0</v>
      </c>
      <c r="BL11" s="239">
        <f>BL25</f>
        <v>0</v>
      </c>
      <c r="BM11" s="312">
        <f>BM25</f>
        <v>0</v>
      </c>
      <c r="BN11" s="311">
        <f t="shared" si="40"/>
        <v>0</v>
      </c>
      <c r="BO11" s="312">
        <f>BO25</f>
        <v>0</v>
      </c>
      <c r="BP11" s="311">
        <f t="shared" si="42"/>
        <v>0</v>
      </c>
      <c r="BQ11" s="239">
        <f>BQ25</f>
        <v>0</v>
      </c>
      <c r="BR11" s="312">
        <f>BR25</f>
        <v>0</v>
      </c>
      <c r="BS11" s="311">
        <f t="shared" si="43"/>
        <v>0</v>
      </c>
      <c r="BT11" s="312">
        <f>BT25</f>
        <v>0</v>
      </c>
      <c r="BU11" s="311">
        <f t="shared" si="45"/>
        <v>0</v>
      </c>
      <c r="BV11" s="239">
        <f>BV25</f>
        <v>0</v>
      </c>
      <c r="BW11" s="312">
        <f>BW25</f>
        <v>0</v>
      </c>
      <c r="BX11" s="311">
        <f t="shared" si="46"/>
        <v>0</v>
      </c>
      <c r="BY11" s="312">
        <f>BY25</f>
        <v>0</v>
      </c>
      <c r="BZ11" s="311">
        <f t="shared" si="48"/>
        <v>0</v>
      </c>
      <c r="CA11" s="313">
        <f t="shared" ref="CA11:CA14" si="98">BL11+BQ11+BV11</f>
        <v>0</v>
      </c>
      <c r="CB11" s="313">
        <f t="shared" si="49"/>
        <v>0</v>
      </c>
      <c r="CC11" s="315">
        <f t="shared" si="50"/>
        <v>0</v>
      </c>
      <c r="CD11" s="314">
        <f t="shared" si="51"/>
        <v>0</v>
      </c>
      <c r="CE11" s="315">
        <f t="shared" si="52"/>
        <v>0</v>
      </c>
      <c r="CF11" s="316">
        <f t="shared" si="0"/>
        <v>0</v>
      </c>
      <c r="CG11" s="316">
        <f t="shared" si="0"/>
        <v>0</v>
      </c>
      <c r="CH11" s="316">
        <f t="shared" si="53"/>
        <v>0</v>
      </c>
      <c r="CI11" s="317">
        <f t="shared" si="1"/>
        <v>0</v>
      </c>
      <c r="CJ11" s="318">
        <f t="shared" si="54"/>
        <v>0</v>
      </c>
    </row>
    <row r="12" spans="1:88">
      <c r="A12" s="67" t="s">
        <v>91</v>
      </c>
      <c r="B12" s="343" t="s">
        <v>90</v>
      </c>
      <c r="C12" s="344"/>
      <c r="D12" s="229">
        <f>D34</f>
        <v>0</v>
      </c>
      <c r="E12" s="319">
        <f>E34</f>
        <v>0</v>
      </c>
      <c r="F12" s="292">
        <f t="shared" si="2"/>
        <v>0</v>
      </c>
      <c r="G12" s="319">
        <f>G34</f>
        <v>0</v>
      </c>
      <c r="H12" s="292">
        <f t="shared" si="3"/>
        <v>0</v>
      </c>
      <c r="I12" s="229">
        <f>I34</f>
        <v>0</v>
      </c>
      <c r="J12" s="319">
        <f>J34</f>
        <v>0</v>
      </c>
      <c r="K12" s="292">
        <f t="shared" si="4"/>
        <v>0</v>
      </c>
      <c r="L12" s="319">
        <f>L34</f>
        <v>0</v>
      </c>
      <c r="M12" s="292">
        <f t="shared" si="6"/>
        <v>0</v>
      </c>
      <c r="N12" s="229">
        <f>N34</f>
        <v>0</v>
      </c>
      <c r="O12" s="319">
        <f>O34</f>
        <v>0</v>
      </c>
      <c r="P12" s="292">
        <f t="shared" si="7"/>
        <v>0</v>
      </c>
      <c r="Q12" s="319">
        <f>Q34</f>
        <v>0</v>
      </c>
      <c r="R12" s="292">
        <f t="shared" si="9"/>
        <v>0</v>
      </c>
      <c r="S12" s="294">
        <f t="shared" si="10"/>
        <v>0</v>
      </c>
      <c r="T12" s="294">
        <f t="shared" si="10"/>
        <v>0</v>
      </c>
      <c r="U12" s="292">
        <f t="shared" si="11"/>
        <v>0</v>
      </c>
      <c r="V12" s="295">
        <f t="shared" si="96"/>
        <v>0</v>
      </c>
      <c r="W12" s="292">
        <f t="shared" si="13"/>
        <v>0</v>
      </c>
      <c r="X12" s="229">
        <f>X34</f>
        <v>5362</v>
      </c>
      <c r="Y12" s="319">
        <f>Y34</f>
        <v>0</v>
      </c>
      <c r="Z12" s="292">
        <f t="shared" si="14"/>
        <v>0</v>
      </c>
      <c r="AA12" s="319">
        <f ca="1">AA34</f>
        <v>15068</v>
      </c>
      <c r="AB12" s="292">
        <f t="shared" ca="1" si="16"/>
        <v>0</v>
      </c>
      <c r="AC12" s="229">
        <f>AC34</f>
        <v>2066</v>
      </c>
      <c r="AD12" s="319">
        <f>AD34</f>
        <v>0</v>
      </c>
      <c r="AE12" s="292">
        <f t="shared" si="17"/>
        <v>0</v>
      </c>
      <c r="AF12" s="319">
        <f ca="1">AF34</f>
        <v>11356</v>
      </c>
      <c r="AG12" s="292">
        <f t="shared" ca="1" si="19"/>
        <v>0</v>
      </c>
      <c r="AH12" s="229">
        <f>AH34</f>
        <v>2236</v>
      </c>
      <c r="AI12" s="319">
        <f>AI34</f>
        <v>0</v>
      </c>
      <c r="AJ12" s="292">
        <f t="shared" si="20"/>
        <v>0</v>
      </c>
      <c r="AK12" s="319">
        <f ca="1">AK34</f>
        <v>3975</v>
      </c>
      <c r="AL12" s="292">
        <f t="shared" ca="1" si="22"/>
        <v>0</v>
      </c>
      <c r="AM12" s="294">
        <f t="shared" si="23"/>
        <v>9664</v>
      </c>
      <c r="AN12" s="294">
        <f t="shared" si="23"/>
        <v>0</v>
      </c>
      <c r="AO12" s="296">
        <f t="shared" si="24"/>
        <v>0</v>
      </c>
      <c r="AP12" s="295">
        <f t="shared" ca="1" si="25"/>
        <v>30399</v>
      </c>
      <c r="AQ12" s="296">
        <f t="shared" ca="1" si="26"/>
        <v>0</v>
      </c>
      <c r="AR12" s="229">
        <f>AR34</f>
        <v>8939</v>
      </c>
      <c r="AS12" s="319">
        <f>AS34</f>
        <v>0</v>
      </c>
      <c r="AT12" s="292">
        <f t="shared" si="27"/>
        <v>0</v>
      </c>
      <c r="AU12" s="319">
        <f ca="1">AU34</f>
        <v>13560</v>
      </c>
      <c r="AV12" s="292">
        <f t="shared" ca="1" si="29"/>
        <v>0</v>
      </c>
      <c r="AW12" s="229">
        <f>AW34</f>
        <v>5486</v>
      </c>
      <c r="AX12" s="319">
        <f>AX34</f>
        <v>0</v>
      </c>
      <c r="AY12" s="292">
        <f t="shared" si="30"/>
        <v>0</v>
      </c>
      <c r="AZ12" s="319">
        <f ca="1">AZ34</f>
        <v>9100</v>
      </c>
      <c r="BA12" s="292">
        <f t="shared" ca="1" si="32"/>
        <v>0</v>
      </c>
      <c r="BB12" s="229">
        <f>BB34</f>
        <v>2715</v>
      </c>
      <c r="BC12" s="319">
        <f>BC34</f>
        <v>0</v>
      </c>
      <c r="BD12" s="292">
        <f t="shared" si="33"/>
        <v>0</v>
      </c>
      <c r="BE12" s="319">
        <f ca="1">BE34</f>
        <v>7253</v>
      </c>
      <c r="BF12" s="292">
        <f t="shared" ca="1" si="35"/>
        <v>0</v>
      </c>
      <c r="BG12" s="294">
        <f t="shared" si="97"/>
        <v>17140</v>
      </c>
      <c r="BH12" s="294">
        <f t="shared" si="36"/>
        <v>0</v>
      </c>
      <c r="BI12" s="296">
        <f t="shared" si="37"/>
        <v>0</v>
      </c>
      <c r="BJ12" s="295">
        <f t="shared" ca="1" si="38"/>
        <v>29913</v>
      </c>
      <c r="BK12" s="296">
        <f t="shared" ca="1" si="39"/>
        <v>0</v>
      </c>
      <c r="BL12" s="229">
        <f>BL34</f>
        <v>3089</v>
      </c>
      <c r="BM12" s="319">
        <f>BM34</f>
        <v>0</v>
      </c>
      <c r="BN12" s="292">
        <f t="shared" si="40"/>
        <v>0</v>
      </c>
      <c r="BO12" s="319">
        <f ca="1">BO34</f>
        <v>10182</v>
      </c>
      <c r="BP12" s="292">
        <f t="shared" ca="1" si="42"/>
        <v>0</v>
      </c>
      <c r="BQ12" s="229">
        <f>BQ34</f>
        <v>6649</v>
      </c>
      <c r="BR12" s="319">
        <f>BR34</f>
        <v>0</v>
      </c>
      <c r="BS12" s="292">
        <f t="shared" si="43"/>
        <v>0</v>
      </c>
      <c r="BT12" s="319">
        <f ca="1">BT34</f>
        <v>8889</v>
      </c>
      <c r="BU12" s="292">
        <f t="shared" ca="1" si="45"/>
        <v>0</v>
      </c>
      <c r="BV12" s="229">
        <f>BV34</f>
        <v>6940</v>
      </c>
      <c r="BW12" s="319">
        <f>BW34</f>
        <v>0</v>
      </c>
      <c r="BX12" s="292">
        <f t="shared" si="46"/>
        <v>0</v>
      </c>
      <c r="BY12" s="319">
        <f ca="1">BY34</f>
        <v>13754</v>
      </c>
      <c r="BZ12" s="292">
        <f t="shared" ca="1" si="48"/>
        <v>0</v>
      </c>
      <c r="CA12" s="294">
        <f t="shared" si="98"/>
        <v>16678</v>
      </c>
      <c r="CB12" s="294">
        <f t="shared" si="49"/>
        <v>0</v>
      </c>
      <c r="CC12" s="296">
        <f t="shared" si="50"/>
        <v>0</v>
      </c>
      <c r="CD12" s="295">
        <f t="shared" ca="1" si="51"/>
        <v>32825</v>
      </c>
      <c r="CE12" s="296">
        <f t="shared" ca="1" si="52"/>
        <v>0</v>
      </c>
      <c r="CF12" s="297">
        <f t="shared" si="0"/>
        <v>43482</v>
      </c>
      <c r="CG12" s="297">
        <f t="shared" si="0"/>
        <v>0</v>
      </c>
      <c r="CH12" s="297">
        <f t="shared" si="53"/>
        <v>0</v>
      </c>
      <c r="CI12" s="298">
        <f t="shared" ca="1" si="1"/>
        <v>93137</v>
      </c>
      <c r="CJ12" s="299">
        <f t="shared" ca="1" si="54"/>
        <v>0</v>
      </c>
    </row>
    <row r="13" spans="1:88">
      <c r="A13" s="67" t="s">
        <v>92</v>
      </c>
      <c r="B13" s="343" t="s">
        <v>90</v>
      </c>
      <c r="C13" s="344"/>
      <c r="D13" s="229">
        <f>D42</f>
        <v>0</v>
      </c>
      <c r="E13" s="319">
        <f>E42</f>
        <v>0</v>
      </c>
      <c r="F13" s="292">
        <f t="shared" si="2"/>
        <v>0</v>
      </c>
      <c r="G13" s="319">
        <f>G42</f>
        <v>0</v>
      </c>
      <c r="H13" s="292">
        <f t="shared" si="3"/>
        <v>0</v>
      </c>
      <c r="I13" s="229">
        <f>I42</f>
        <v>0</v>
      </c>
      <c r="J13" s="319">
        <f>J42</f>
        <v>0</v>
      </c>
      <c r="K13" s="292">
        <f t="shared" si="4"/>
        <v>0</v>
      </c>
      <c r="L13" s="319">
        <f>L42</f>
        <v>0</v>
      </c>
      <c r="M13" s="292">
        <f t="shared" si="6"/>
        <v>0</v>
      </c>
      <c r="N13" s="229">
        <f>N42</f>
        <v>0</v>
      </c>
      <c r="O13" s="319">
        <f>O42</f>
        <v>0</v>
      </c>
      <c r="P13" s="292">
        <f t="shared" si="7"/>
        <v>0</v>
      </c>
      <c r="Q13" s="319">
        <f>Q42</f>
        <v>0</v>
      </c>
      <c r="R13" s="292">
        <f t="shared" si="9"/>
        <v>0</v>
      </c>
      <c r="S13" s="294">
        <f t="shared" si="10"/>
        <v>0</v>
      </c>
      <c r="T13" s="294">
        <f t="shared" si="10"/>
        <v>0</v>
      </c>
      <c r="U13" s="292">
        <f t="shared" si="11"/>
        <v>0</v>
      </c>
      <c r="V13" s="295">
        <f t="shared" si="96"/>
        <v>0</v>
      </c>
      <c r="W13" s="292">
        <f t="shared" si="13"/>
        <v>0</v>
      </c>
      <c r="X13" s="229">
        <f>X42</f>
        <v>0</v>
      </c>
      <c r="Y13" s="319">
        <f>Y42</f>
        <v>0</v>
      </c>
      <c r="Z13" s="292">
        <f t="shared" si="14"/>
        <v>0</v>
      </c>
      <c r="AA13" s="319">
        <f>AA42</f>
        <v>0</v>
      </c>
      <c r="AB13" s="292">
        <f t="shared" si="16"/>
        <v>0</v>
      </c>
      <c r="AC13" s="229">
        <f>AC42</f>
        <v>0</v>
      </c>
      <c r="AD13" s="319">
        <f>AD42</f>
        <v>0</v>
      </c>
      <c r="AE13" s="292">
        <f t="shared" si="17"/>
        <v>0</v>
      </c>
      <c r="AF13" s="319">
        <f>AF42</f>
        <v>0</v>
      </c>
      <c r="AG13" s="292">
        <f t="shared" si="19"/>
        <v>0</v>
      </c>
      <c r="AH13" s="229">
        <f>AH42</f>
        <v>0</v>
      </c>
      <c r="AI13" s="319">
        <f>AI42</f>
        <v>0</v>
      </c>
      <c r="AJ13" s="292">
        <f t="shared" si="20"/>
        <v>0</v>
      </c>
      <c r="AK13" s="319">
        <f>AK42</f>
        <v>0</v>
      </c>
      <c r="AL13" s="292">
        <f t="shared" si="22"/>
        <v>0</v>
      </c>
      <c r="AM13" s="294">
        <f t="shared" si="23"/>
        <v>0</v>
      </c>
      <c r="AN13" s="294">
        <f t="shared" si="23"/>
        <v>0</v>
      </c>
      <c r="AO13" s="296">
        <f t="shared" si="24"/>
        <v>0</v>
      </c>
      <c r="AP13" s="295">
        <f t="shared" si="25"/>
        <v>0</v>
      </c>
      <c r="AQ13" s="296">
        <f t="shared" si="26"/>
        <v>0</v>
      </c>
      <c r="AR13" s="229">
        <f>AR42</f>
        <v>0</v>
      </c>
      <c r="AS13" s="319">
        <f>AS42</f>
        <v>0</v>
      </c>
      <c r="AT13" s="292">
        <f t="shared" si="27"/>
        <v>0</v>
      </c>
      <c r="AU13" s="319">
        <f>AU42</f>
        <v>0</v>
      </c>
      <c r="AV13" s="292">
        <f t="shared" si="29"/>
        <v>0</v>
      </c>
      <c r="AW13" s="229">
        <f>AW42</f>
        <v>0</v>
      </c>
      <c r="AX13" s="319">
        <f>AX42</f>
        <v>0</v>
      </c>
      <c r="AY13" s="292">
        <f t="shared" si="30"/>
        <v>0</v>
      </c>
      <c r="AZ13" s="319">
        <f>AZ42</f>
        <v>0</v>
      </c>
      <c r="BA13" s="292">
        <f t="shared" si="32"/>
        <v>0</v>
      </c>
      <c r="BB13" s="229">
        <f>BB42</f>
        <v>0</v>
      </c>
      <c r="BC13" s="319">
        <f>BC42</f>
        <v>0</v>
      </c>
      <c r="BD13" s="292">
        <f t="shared" si="33"/>
        <v>0</v>
      </c>
      <c r="BE13" s="319">
        <f>BE42</f>
        <v>0</v>
      </c>
      <c r="BF13" s="292">
        <f t="shared" si="35"/>
        <v>0</v>
      </c>
      <c r="BG13" s="294">
        <f t="shared" si="97"/>
        <v>0</v>
      </c>
      <c r="BH13" s="294">
        <f t="shared" si="36"/>
        <v>0</v>
      </c>
      <c r="BI13" s="296">
        <f t="shared" si="37"/>
        <v>0</v>
      </c>
      <c r="BJ13" s="295">
        <f t="shared" si="38"/>
        <v>0</v>
      </c>
      <c r="BK13" s="296">
        <f t="shared" si="39"/>
        <v>0</v>
      </c>
      <c r="BL13" s="229">
        <f>BL42</f>
        <v>0</v>
      </c>
      <c r="BM13" s="319">
        <f>BM42</f>
        <v>0</v>
      </c>
      <c r="BN13" s="292">
        <f t="shared" si="40"/>
        <v>0</v>
      </c>
      <c r="BO13" s="319">
        <f>BO42</f>
        <v>0</v>
      </c>
      <c r="BP13" s="292">
        <f t="shared" si="42"/>
        <v>0</v>
      </c>
      <c r="BQ13" s="229">
        <f>BQ42</f>
        <v>0</v>
      </c>
      <c r="BR13" s="319">
        <f>BR42</f>
        <v>0</v>
      </c>
      <c r="BS13" s="292">
        <f t="shared" si="43"/>
        <v>0</v>
      </c>
      <c r="BT13" s="319">
        <f>BT42</f>
        <v>0</v>
      </c>
      <c r="BU13" s="292">
        <f t="shared" si="45"/>
        <v>0</v>
      </c>
      <c r="BV13" s="229">
        <f>BV42</f>
        <v>0</v>
      </c>
      <c r="BW13" s="319">
        <f>BW42</f>
        <v>0</v>
      </c>
      <c r="BX13" s="292">
        <f t="shared" si="46"/>
        <v>0</v>
      </c>
      <c r="BY13" s="319">
        <f>BY42</f>
        <v>0</v>
      </c>
      <c r="BZ13" s="292">
        <f t="shared" si="48"/>
        <v>0</v>
      </c>
      <c r="CA13" s="294">
        <f t="shared" si="98"/>
        <v>0</v>
      </c>
      <c r="CB13" s="294">
        <f t="shared" si="49"/>
        <v>0</v>
      </c>
      <c r="CC13" s="296">
        <f t="shared" si="50"/>
        <v>0</v>
      </c>
      <c r="CD13" s="295">
        <f t="shared" si="51"/>
        <v>0</v>
      </c>
      <c r="CE13" s="296">
        <f t="shared" si="52"/>
        <v>0</v>
      </c>
      <c r="CF13" s="297">
        <f t="shared" si="0"/>
        <v>0</v>
      </c>
      <c r="CG13" s="297">
        <f t="shared" si="0"/>
        <v>0</v>
      </c>
      <c r="CH13" s="297">
        <f t="shared" si="53"/>
        <v>0</v>
      </c>
      <c r="CI13" s="298">
        <f t="shared" si="1"/>
        <v>0</v>
      </c>
      <c r="CJ13" s="299">
        <f t="shared" si="54"/>
        <v>0</v>
      </c>
    </row>
    <row r="14" spans="1:88">
      <c r="A14" s="67" t="s">
        <v>93</v>
      </c>
      <c r="B14" s="343" t="s">
        <v>90</v>
      </c>
      <c r="C14" s="344"/>
      <c r="D14" s="229">
        <f>D51</f>
        <v>0</v>
      </c>
      <c r="E14" s="319">
        <f>E51</f>
        <v>0</v>
      </c>
      <c r="F14" s="292">
        <f t="shared" si="2"/>
        <v>0</v>
      </c>
      <c r="G14" s="319">
        <f ca="1">G51</f>
        <v>3022</v>
      </c>
      <c r="H14" s="292">
        <f t="shared" ca="1" si="3"/>
        <v>0</v>
      </c>
      <c r="I14" s="229">
        <f>I51</f>
        <v>7245</v>
      </c>
      <c r="J14" s="319">
        <f>J51</f>
        <v>0</v>
      </c>
      <c r="K14" s="292">
        <f t="shared" si="4"/>
        <v>0</v>
      </c>
      <c r="L14" s="319">
        <f ca="1">L51</f>
        <v>14543</v>
      </c>
      <c r="M14" s="292">
        <f t="shared" ca="1" si="6"/>
        <v>0</v>
      </c>
      <c r="N14" s="229">
        <f>N51</f>
        <v>9087</v>
      </c>
      <c r="O14" s="319">
        <f>O51</f>
        <v>0</v>
      </c>
      <c r="P14" s="292">
        <f t="shared" si="7"/>
        <v>0</v>
      </c>
      <c r="Q14" s="319">
        <f ca="1">Q51</f>
        <v>22676</v>
      </c>
      <c r="R14" s="292">
        <f t="shared" ca="1" si="9"/>
        <v>0</v>
      </c>
      <c r="S14" s="294">
        <f t="shared" si="10"/>
        <v>16332</v>
      </c>
      <c r="T14" s="294">
        <f t="shared" si="10"/>
        <v>0</v>
      </c>
      <c r="U14" s="292">
        <f t="shared" si="11"/>
        <v>0</v>
      </c>
      <c r="V14" s="295">
        <f t="shared" ca="1" si="96"/>
        <v>40241</v>
      </c>
      <c r="W14" s="292">
        <f t="shared" ca="1" si="13"/>
        <v>0</v>
      </c>
      <c r="X14" s="229">
        <f>X51</f>
        <v>21086</v>
      </c>
      <c r="Y14" s="319">
        <f>Y51</f>
        <v>0</v>
      </c>
      <c r="Z14" s="292">
        <f t="shared" si="14"/>
        <v>0</v>
      </c>
      <c r="AA14" s="319">
        <f ca="1">AA51</f>
        <v>47946</v>
      </c>
      <c r="AB14" s="292">
        <f t="shared" ca="1" si="16"/>
        <v>0</v>
      </c>
      <c r="AC14" s="229">
        <f>AC51</f>
        <v>16294</v>
      </c>
      <c r="AD14" s="319">
        <f>AD51</f>
        <v>0</v>
      </c>
      <c r="AE14" s="292">
        <f t="shared" si="17"/>
        <v>0</v>
      </c>
      <c r="AF14" s="319">
        <f ca="1">AF51</f>
        <v>22443</v>
      </c>
      <c r="AG14" s="292">
        <f t="shared" ca="1" si="19"/>
        <v>0</v>
      </c>
      <c r="AH14" s="229">
        <f>AH51</f>
        <v>13772</v>
      </c>
      <c r="AI14" s="319">
        <f>AI51</f>
        <v>0</v>
      </c>
      <c r="AJ14" s="292">
        <f t="shared" si="20"/>
        <v>0</v>
      </c>
      <c r="AK14" s="319">
        <f ca="1">AK51</f>
        <v>28763</v>
      </c>
      <c r="AL14" s="292">
        <f t="shared" ca="1" si="22"/>
        <v>0</v>
      </c>
      <c r="AM14" s="294">
        <f t="shared" si="23"/>
        <v>51152</v>
      </c>
      <c r="AN14" s="294">
        <f t="shared" si="23"/>
        <v>0</v>
      </c>
      <c r="AO14" s="296">
        <f t="shared" si="24"/>
        <v>0</v>
      </c>
      <c r="AP14" s="295">
        <f t="shared" ca="1" si="25"/>
        <v>99152</v>
      </c>
      <c r="AQ14" s="296">
        <f t="shared" ca="1" si="26"/>
        <v>0</v>
      </c>
      <c r="AR14" s="229">
        <f>AR51</f>
        <v>22084</v>
      </c>
      <c r="AS14" s="319">
        <f>AS51</f>
        <v>0</v>
      </c>
      <c r="AT14" s="292">
        <f t="shared" si="27"/>
        <v>0</v>
      </c>
      <c r="AU14" s="319">
        <f ca="1">AU51</f>
        <v>37417</v>
      </c>
      <c r="AV14" s="292">
        <f t="shared" ca="1" si="29"/>
        <v>0</v>
      </c>
      <c r="AW14" s="229">
        <f>AW51</f>
        <v>19237</v>
      </c>
      <c r="AX14" s="319">
        <f>AX51</f>
        <v>0</v>
      </c>
      <c r="AY14" s="292">
        <f t="shared" si="30"/>
        <v>0</v>
      </c>
      <c r="AZ14" s="319">
        <f ca="1">AZ51</f>
        <v>31081</v>
      </c>
      <c r="BA14" s="292">
        <f t="shared" ca="1" si="32"/>
        <v>0</v>
      </c>
      <c r="BB14" s="229">
        <f>BB51</f>
        <v>14610</v>
      </c>
      <c r="BC14" s="319">
        <f>BC51</f>
        <v>0</v>
      </c>
      <c r="BD14" s="292">
        <f t="shared" si="33"/>
        <v>0</v>
      </c>
      <c r="BE14" s="319">
        <f ca="1">BE51</f>
        <v>27029</v>
      </c>
      <c r="BF14" s="292">
        <f t="shared" ca="1" si="35"/>
        <v>0</v>
      </c>
      <c r="BG14" s="294">
        <f t="shared" si="97"/>
        <v>55931</v>
      </c>
      <c r="BH14" s="294">
        <f t="shared" si="36"/>
        <v>0</v>
      </c>
      <c r="BI14" s="296">
        <f t="shared" si="37"/>
        <v>0</v>
      </c>
      <c r="BJ14" s="295">
        <f ca="1">AU14+AZ14+BE14</f>
        <v>95527</v>
      </c>
      <c r="BK14" s="296">
        <f t="shared" ca="1" si="39"/>
        <v>0</v>
      </c>
      <c r="BL14" s="229">
        <f>BL51</f>
        <v>16227</v>
      </c>
      <c r="BM14" s="319">
        <f>BM51</f>
        <v>0</v>
      </c>
      <c r="BN14" s="292">
        <f t="shared" si="40"/>
        <v>0</v>
      </c>
      <c r="BO14" s="319">
        <f ca="1">BO51</f>
        <v>31353</v>
      </c>
      <c r="BP14" s="292">
        <f t="shared" ca="1" si="42"/>
        <v>0</v>
      </c>
      <c r="BQ14" s="229">
        <f>BQ51</f>
        <v>15821</v>
      </c>
      <c r="BR14" s="319">
        <f>BR51</f>
        <v>0</v>
      </c>
      <c r="BS14" s="292">
        <f t="shared" si="43"/>
        <v>0</v>
      </c>
      <c r="BT14" s="319">
        <f ca="1">BT51</f>
        <v>34288</v>
      </c>
      <c r="BU14" s="292">
        <f t="shared" ca="1" si="45"/>
        <v>0</v>
      </c>
      <c r="BV14" s="229">
        <f>BV51</f>
        <v>20247</v>
      </c>
      <c r="BW14" s="319">
        <f>BW51</f>
        <v>0</v>
      </c>
      <c r="BX14" s="292">
        <f t="shared" si="46"/>
        <v>0</v>
      </c>
      <c r="BY14" s="319">
        <f ca="1">BY51</f>
        <v>42792</v>
      </c>
      <c r="BZ14" s="292">
        <f t="shared" ca="1" si="48"/>
        <v>0</v>
      </c>
      <c r="CA14" s="294">
        <f t="shared" si="98"/>
        <v>52295</v>
      </c>
      <c r="CB14" s="294">
        <f t="shared" si="49"/>
        <v>0</v>
      </c>
      <c r="CC14" s="296">
        <f t="shared" si="50"/>
        <v>0</v>
      </c>
      <c r="CD14" s="295">
        <f t="shared" ca="1" si="51"/>
        <v>108433</v>
      </c>
      <c r="CE14" s="296">
        <f t="shared" ca="1" si="52"/>
        <v>0</v>
      </c>
      <c r="CF14" s="297">
        <f t="shared" si="0"/>
        <v>175710</v>
      </c>
      <c r="CG14" s="297">
        <f t="shared" si="0"/>
        <v>0</v>
      </c>
      <c r="CH14" s="297">
        <f t="shared" si="53"/>
        <v>0</v>
      </c>
      <c r="CI14" s="298">
        <f t="shared" ca="1" si="1"/>
        <v>343353</v>
      </c>
      <c r="CJ14" s="299">
        <f t="shared" ca="1" si="54"/>
        <v>0</v>
      </c>
    </row>
    <row r="15" spans="1:88">
      <c r="A15" s="64"/>
      <c r="B15" s="64" t="s">
        <v>152</v>
      </c>
      <c r="C15" s="64"/>
      <c r="D15" s="320">
        <f>SUM(D3:D14)</f>
        <v>6820</v>
      </c>
      <c r="E15" s="321">
        <v>10000</v>
      </c>
      <c r="F15" s="322">
        <f t="shared" si="2"/>
        <v>0.68200000000000005</v>
      </c>
      <c r="G15" s="320">
        <f ca="1">SUM(G3:G14)</f>
        <v>25074</v>
      </c>
      <c r="H15" s="322">
        <f t="shared" ca="1" si="3"/>
        <v>2.5074000000000001</v>
      </c>
      <c r="I15" s="320">
        <f>SUM(I3:I14)</f>
        <v>21838</v>
      </c>
      <c r="J15" s="320">
        <v>10000</v>
      </c>
      <c r="K15" s="322">
        <f t="shared" si="4"/>
        <v>2.1838000000000002</v>
      </c>
      <c r="L15" s="320">
        <f ca="1">SUM(L3:L14)</f>
        <v>46854</v>
      </c>
      <c r="M15" s="322">
        <f t="shared" ca="1" si="6"/>
        <v>4.6853999999999996</v>
      </c>
      <c r="N15" s="320">
        <f>SUM(N3:N14)</f>
        <v>30964</v>
      </c>
      <c r="O15" s="320">
        <v>12500</v>
      </c>
      <c r="P15" s="322">
        <f t="shared" si="7"/>
        <v>2.4771200000000002</v>
      </c>
      <c r="Q15" s="320">
        <f ca="1">SUM(Q3:Q14)</f>
        <v>62163</v>
      </c>
      <c r="R15" s="322">
        <f t="shared" ca="1" si="9"/>
        <v>4.9730400000000001</v>
      </c>
      <c r="S15" s="320">
        <f>SUM(S3:S14)</f>
        <v>34857</v>
      </c>
      <c r="T15" s="320">
        <v>32500</v>
      </c>
      <c r="U15" s="322">
        <f t="shared" si="11"/>
        <v>1.0725230769230769</v>
      </c>
      <c r="V15" s="320">
        <f ca="1">SUM(V3:V14)</f>
        <v>134091</v>
      </c>
      <c r="W15" s="322">
        <f t="shared" ca="1" si="13"/>
        <v>4.1258769230769232</v>
      </c>
      <c r="X15" s="320">
        <f>SUM(X3:X14)</f>
        <v>56001</v>
      </c>
      <c r="Y15" s="320">
        <v>20000</v>
      </c>
      <c r="Z15" s="322">
        <f t="shared" si="14"/>
        <v>2.8000500000000001</v>
      </c>
      <c r="AA15" s="320">
        <f ca="1">SUM(AA3:AA14)</f>
        <v>133696</v>
      </c>
      <c r="AB15" s="322">
        <f t="shared" ca="1" si="16"/>
        <v>6.6848000000000001</v>
      </c>
      <c r="AC15" s="320">
        <f>SUM(AC3:AC14)</f>
        <v>50999</v>
      </c>
      <c r="AD15" s="320">
        <v>30000</v>
      </c>
      <c r="AE15" s="322">
        <f t="shared" si="17"/>
        <v>1.6999666666666666</v>
      </c>
      <c r="AF15" s="320">
        <f ca="1">SUM(AF3:AF14)</f>
        <v>98831</v>
      </c>
      <c r="AG15" s="322">
        <f t="shared" ca="1" si="19"/>
        <v>3.2943666666666669</v>
      </c>
      <c r="AH15" s="320">
        <f>SUM(AH3:AH14)</f>
        <v>40008</v>
      </c>
      <c r="AI15" s="320">
        <v>37500</v>
      </c>
      <c r="AJ15" s="322">
        <f t="shared" si="20"/>
        <v>1.0668800000000001</v>
      </c>
      <c r="AK15" s="320">
        <f ca="1">SUM(AK3:AK14)</f>
        <v>88598</v>
      </c>
      <c r="AL15" s="322">
        <f t="shared" ca="1" si="22"/>
        <v>2.3626133333333335</v>
      </c>
      <c r="AM15" s="320">
        <f>SUM(AM3:AM14)</f>
        <v>76610</v>
      </c>
      <c r="AN15" s="320">
        <f>Y15+AD15+AI15</f>
        <v>87500</v>
      </c>
      <c r="AO15" s="322">
        <f t="shared" si="24"/>
        <v>0.87554285714285718</v>
      </c>
      <c r="AP15" s="323">
        <f ca="1">AA15+AF15+AK15</f>
        <v>321125</v>
      </c>
      <c r="AQ15" s="322">
        <f t="shared" ca="1" si="26"/>
        <v>3.67</v>
      </c>
      <c r="AR15" s="320">
        <f>SUM(AR3:AR14)</f>
        <v>47109</v>
      </c>
      <c r="AS15" s="320">
        <v>42500</v>
      </c>
      <c r="AT15" s="322">
        <f t="shared" si="27"/>
        <v>1.1084470588235293</v>
      </c>
      <c r="AU15" s="320">
        <f ca="1">SUM(AU3:AU14)</f>
        <v>96505</v>
      </c>
      <c r="AV15" s="322">
        <f t="shared" ca="1" si="29"/>
        <v>2.2707058823529414</v>
      </c>
      <c r="AW15" s="320">
        <f>SUM(AW3:AW14)</f>
        <v>49798</v>
      </c>
      <c r="AX15" s="320">
        <v>47500</v>
      </c>
      <c r="AY15" s="322">
        <f t="shared" si="30"/>
        <v>1.0483789473684211</v>
      </c>
      <c r="AZ15" s="320">
        <f ca="1">SUM(AZ3:AZ14)</f>
        <v>81110</v>
      </c>
      <c r="BA15" s="322">
        <f t="shared" ca="1" si="32"/>
        <v>1.7075789473684211</v>
      </c>
      <c r="BB15" s="464">
        <f>SUM(BB3:BB14)</f>
        <v>32462</v>
      </c>
      <c r="BC15" s="320">
        <v>57500</v>
      </c>
      <c r="BD15" s="322">
        <f t="shared" si="33"/>
        <v>0.5645565217391304</v>
      </c>
      <c r="BE15" s="320">
        <f ca="1">SUM(BE3:BE14)</f>
        <v>77974</v>
      </c>
      <c r="BF15" s="322">
        <f t="shared" ca="1" si="35"/>
        <v>1.3560695652173913</v>
      </c>
      <c r="BG15" s="320">
        <f>SUM(BG3:BG14)</f>
        <v>93837</v>
      </c>
      <c r="BH15" s="320">
        <f>AS15+AX15+BC15</f>
        <v>147500</v>
      </c>
      <c r="BI15" s="322">
        <f t="shared" si="37"/>
        <v>0.63618305084745763</v>
      </c>
      <c r="BJ15" s="323">
        <f ca="1">AU15+AZ15+BE15</f>
        <v>255589</v>
      </c>
      <c r="BK15" s="322">
        <f t="shared" ca="1" si="39"/>
        <v>1.7328067796610169</v>
      </c>
      <c r="BL15" s="320">
        <f>SUM(BL3:BL14)</f>
        <v>47003</v>
      </c>
      <c r="BM15" s="320">
        <v>70000</v>
      </c>
      <c r="BN15" s="322">
        <f t="shared" si="40"/>
        <v>0.67147142857142861</v>
      </c>
      <c r="BO15" s="320">
        <f ca="1">SUM(BO3:BO14)</f>
        <v>101322</v>
      </c>
      <c r="BP15" s="322">
        <f t="shared" ca="1" si="42"/>
        <v>1.4474571428571428</v>
      </c>
      <c r="BQ15" s="320">
        <f>SUM(BQ3:BQ14)</f>
        <v>44323</v>
      </c>
      <c r="BR15" s="320">
        <v>82500</v>
      </c>
      <c r="BS15" s="322">
        <f t="shared" si="43"/>
        <v>0.53724848484848486</v>
      </c>
      <c r="BT15" s="320">
        <f ca="1">SUM(BT3:BT14)</f>
        <v>96020</v>
      </c>
      <c r="BU15" s="322">
        <f t="shared" ca="1" si="45"/>
        <v>1.163878787878788</v>
      </c>
      <c r="BV15" s="320">
        <f>SUM(BV3:BV14)</f>
        <v>47838</v>
      </c>
      <c r="BW15" s="320">
        <v>85000</v>
      </c>
      <c r="BX15" s="320"/>
      <c r="BY15" s="320">
        <f ca="1">SUM(BY3:BY14)</f>
        <v>100792</v>
      </c>
      <c r="BZ15" s="322">
        <f t="shared" ca="1" si="48"/>
        <v>1.1857882352941176</v>
      </c>
      <c r="CA15" s="320">
        <f>SUM(CA3:CA14)</f>
        <v>89833</v>
      </c>
      <c r="CB15" s="323">
        <f>BM15+BR15+BW15</f>
        <v>237500</v>
      </c>
      <c r="CC15" s="322">
        <f t="shared" si="50"/>
        <v>0.37824421052631579</v>
      </c>
      <c r="CD15" s="320">
        <f ca="1">SUM(CD3:CD14)</f>
        <v>298134</v>
      </c>
      <c r="CE15" s="322">
        <f t="shared" ca="1" si="52"/>
        <v>1.2553010526315789</v>
      </c>
      <c r="CF15" s="320">
        <f t="shared" si="0"/>
        <v>295137</v>
      </c>
      <c r="CG15" s="320">
        <f t="shared" si="0"/>
        <v>505000</v>
      </c>
      <c r="CH15" s="322">
        <f t="shared" si="53"/>
        <v>0.58442970297029706</v>
      </c>
      <c r="CI15" s="320">
        <f t="shared" ca="1" si="1"/>
        <v>1008939</v>
      </c>
      <c r="CJ15" s="324">
        <f t="shared" ca="1" si="54"/>
        <v>1.9978990099009901</v>
      </c>
    </row>
    <row r="17" spans="1:88" ht="14.65" thickBot="1"/>
    <row r="18" spans="1:88">
      <c r="A18" s="66" t="s">
        <v>94</v>
      </c>
      <c r="B18" s="66" t="s">
        <v>149</v>
      </c>
      <c r="C18" s="66"/>
      <c r="D18" s="288" t="s">
        <v>151</v>
      </c>
      <c r="E18" s="289" t="s">
        <v>122</v>
      </c>
      <c r="F18" s="289" t="s">
        <v>33</v>
      </c>
      <c r="G18" s="289" t="s">
        <v>34</v>
      </c>
      <c r="H18" s="290" t="s">
        <v>35</v>
      </c>
      <c r="I18" s="288" t="s">
        <v>151</v>
      </c>
      <c r="J18" s="289" t="s">
        <v>122</v>
      </c>
      <c r="K18" s="289" t="s">
        <v>33</v>
      </c>
      <c r="L18" s="289" t="s">
        <v>34</v>
      </c>
      <c r="M18" s="290" t="s">
        <v>35</v>
      </c>
      <c r="N18" s="288" t="s">
        <v>151</v>
      </c>
      <c r="O18" s="289" t="s">
        <v>122</v>
      </c>
      <c r="P18" s="289" t="s">
        <v>33</v>
      </c>
      <c r="Q18" s="289" t="s">
        <v>34</v>
      </c>
      <c r="R18" s="290" t="s">
        <v>35</v>
      </c>
      <c r="S18" s="288" t="s">
        <v>151</v>
      </c>
      <c r="T18" s="289" t="s">
        <v>122</v>
      </c>
      <c r="U18" s="289" t="s">
        <v>33</v>
      </c>
      <c r="V18" s="289" t="s">
        <v>34</v>
      </c>
      <c r="W18" s="290" t="s">
        <v>35</v>
      </c>
      <c r="X18" s="288" t="s">
        <v>151</v>
      </c>
      <c r="Y18" s="289" t="s">
        <v>122</v>
      </c>
      <c r="Z18" s="289" t="s">
        <v>33</v>
      </c>
      <c r="AA18" s="289" t="s">
        <v>34</v>
      </c>
      <c r="AB18" s="290" t="s">
        <v>35</v>
      </c>
      <c r="AC18" s="288" t="s">
        <v>151</v>
      </c>
      <c r="AD18" s="289" t="s">
        <v>122</v>
      </c>
      <c r="AE18" s="289" t="s">
        <v>33</v>
      </c>
      <c r="AF18" s="289" t="s">
        <v>34</v>
      </c>
      <c r="AG18" s="290" t="s">
        <v>35</v>
      </c>
      <c r="AH18" s="288" t="s">
        <v>151</v>
      </c>
      <c r="AI18" s="289" t="s">
        <v>122</v>
      </c>
      <c r="AJ18" s="289" t="s">
        <v>33</v>
      </c>
      <c r="AK18" s="289" t="s">
        <v>34</v>
      </c>
      <c r="AL18" s="290" t="s">
        <v>35</v>
      </c>
      <c r="AM18" s="288" t="s">
        <v>151</v>
      </c>
      <c r="AN18" s="289" t="s">
        <v>122</v>
      </c>
      <c r="AO18" s="289" t="s">
        <v>33</v>
      </c>
      <c r="AP18" s="289" t="s">
        <v>34</v>
      </c>
      <c r="AQ18" s="290" t="s">
        <v>35</v>
      </c>
      <c r="AR18" s="288" t="s">
        <v>151</v>
      </c>
      <c r="AS18" s="289" t="s">
        <v>122</v>
      </c>
      <c r="AT18" s="289" t="s">
        <v>33</v>
      </c>
      <c r="AU18" s="289" t="s">
        <v>34</v>
      </c>
      <c r="AV18" s="290" t="s">
        <v>35</v>
      </c>
      <c r="AW18" s="288" t="s">
        <v>151</v>
      </c>
      <c r="AX18" s="289" t="s">
        <v>122</v>
      </c>
      <c r="AY18" s="289" t="s">
        <v>33</v>
      </c>
      <c r="AZ18" s="289" t="s">
        <v>34</v>
      </c>
      <c r="BA18" s="290" t="s">
        <v>35</v>
      </c>
      <c r="BB18" s="288" t="s">
        <v>151</v>
      </c>
      <c r="BC18" s="289" t="s">
        <v>122</v>
      </c>
      <c r="BD18" s="289" t="s">
        <v>33</v>
      </c>
      <c r="BE18" s="289" t="s">
        <v>34</v>
      </c>
      <c r="BF18" s="290" t="s">
        <v>35</v>
      </c>
      <c r="BG18" s="288" t="s">
        <v>151</v>
      </c>
      <c r="BH18" s="289" t="s">
        <v>122</v>
      </c>
      <c r="BI18" s="289" t="s">
        <v>33</v>
      </c>
      <c r="BJ18" s="289" t="s">
        <v>34</v>
      </c>
      <c r="BK18" s="290" t="s">
        <v>35</v>
      </c>
      <c r="BL18" s="288" t="s">
        <v>151</v>
      </c>
      <c r="BM18" s="289" t="s">
        <v>122</v>
      </c>
      <c r="BN18" s="289" t="s">
        <v>33</v>
      </c>
      <c r="BO18" s="289" t="s">
        <v>34</v>
      </c>
      <c r="BP18" s="290" t="s">
        <v>35</v>
      </c>
      <c r="BQ18" s="288" t="s">
        <v>151</v>
      </c>
      <c r="BR18" s="289" t="s">
        <v>122</v>
      </c>
      <c r="BS18" s="289" t="s">
        <v>33</v>
      </c>
      <c r="BT18" s="289" t="s">
        <v>34</v>
      </c>
      <c r="BU18" s="290" t="s">
        <v>35</v>
      </c>
      <c r="BV18" s="288" t="s">
        <v>151</v>
      </c>
      <c r="BW18" s="289" t="s">
        <v>122</v>
      </c>
      <c r="BX18" s="289" t="s">
        <v>33</v>
      </c>
      <c r="BY18" s="289" t="s">
        <v>34</v>
      </c>
      <c r="BZ18" s="290" t="s">
        <v>35</v>
      </c>
      <c r="CA18" s="288" t="s">
        <v>151</v>
      </c>
      <c r="CB18" s="289" t="s">
        <v>122</v>
      </c>
      <c r="CC18" s="289" t="s">
        <v>33</v>
      </c>
      <c r="CD18" s="289" t="s">
        <v>34</v>
      </c>
      <c r="CE18" s="290" t="s">
        <v>35</v>
      </c>
      <c r="CF18" s="288" t="s">
        <v>151</v>
      </c>
      <c r="CG18" s="289" t="s">
        <v>122</v>
      </c>
      <c r="CH18" s="289" t="s">
        <v>33</v>
      </c>
      <c r="CI18" s="289" t="s">
        <v>34</v>
      </c>
      <c r="CJ18" s="290" t="s">
        <v>35</v>
      </c>
    </row>
    <row r="19" spans="1:88">
      <c r="A19" s="67" t="s">
        <v>156</v>
      </c>
      <c r="B19" s="68"/>
      <c r="C19" s="300"/>
      <c r="D19" s="292"/>
      <c r="E19" s="326"/>
      <c r="F19" s="327">
        <f>IFERROR(D19/E19,0)</f>
        <v>0</v>
      </c>
      <c r="G19" s="326"/>
      <c r="H19" s="327">
        <f>IFERROR(G19/E19,0)</f>
        <v>0</v>
      </c>
      <c r="I19" s="292"/>
      <c r="J19" s="326"/>
      <c r="K19" s="327">
        <f>IFERROR(I19/J19,0)</f>
        <v>0</v>
      </c>
      <c r="L19" s="326"/>
      <c r="M19" s="327">
        <f>IFERROR(L19/J19,0)</f>
        <v>0</v>
      </c>
      <c r="N19" s="292"/>
      <c r="O19" s="326"/>
      <c r="P19" s="327">
        <f>IFERROR(N19/O19,0)</f>
        <v>0</v>
      </c>
      <c r="Q19" s="326"/>
      <c r="R19" s="327">
        <f>IFERROR(Q19/O19,0)</f>
        <v>0</v>
      </c>
      <c r="S19" s="328"/>
      <c r="T19" s="328">
        <f t="shared" ref="T19:T24" si="99">E19+J19+O19</f>
        <v>0</v>
      </c>
      <c r="U19" s="329">
        <f>IFERROR(S19/T19,0)</f>
        <v>0</v>
      </c>
      <c r="V19" s="295">
        <f t="shared" ref="V19:V24" si="100">G19+L19+Q19</f>
        <v>0</v>
      </c>
      <c r="W19" s="329">
        <f>IFERROR(V19/T19,0)</f>
        <v>0</v>
      </c>
      <c r="X19" s="292"/>
      <c r="Y19" s="326"/>
      <c r="Z19" s="327">
        <f>IFERROR(X19/Y19,0)</f>
        <v>0</v>
      </c>
      <c r="AA19" s="326"/>
      <c r="AB19" s="327">
        <f>IFERROR(AA19/Y19,0)</f>
        <v>0</v>
      </c>
      <c r="AC19" s="292"/>
      <c r="AD19" s="326"/>
      <c r="AE19" s="327">
        <f>IFERROR(AC19/AD19,0)</f>
        <v>0</v>
      </c>
      <c r="AF19" s="326"/>
      <c r="AG19" s="327">
        <f>IFERROR(AF19/AD19,0)</f>
        <v>0</v>
      </c>
      <c r="AH19" s="292"/>
      <c r="AI19" s="326"/>
      <c r="AJ19" s="327">
        <f>IFERROR(AH19/AI19,0)</f>
        <v>0</v>
      </c>
      <c r="AK19" s="326"/>
      <c r="AL19" s="327">
        <f>IFERROR(AK19/AI19,0)</f>
        <v>0</v>
      </c>
      <c r="AM19" s="328"/>
      <c r="AN19" s="328">
        <f t="shared" ref="AN19:AN24" si="101">Y19+AD19+AI19</f>
        <v>0</v>
      </c>
      <c r="AO19" s="329">
        <f>IFERROR(AM19/AN19,0)</f>
        <v>0</v>
      </c>
      <c r="AP19" s="295">
        <f>AA19+AF19+AK19</f>
        <v>0</v>
      </c>
      <c r="AQ19" s="329">
        <f>IFERROR(AP19/AN19,0)</f>
        <v>0</v>
      </c>
      <c r="AR19" s="292"/>
      <c r="AS19" s="326"/>
      <c r="AT19" s="327">
        <f>IFERROR(AR19/AS19,0)</f>
        <v>0</v>
      </c>
      <c r="AU19" s="326"/>
      <c r="AV19" s="327">
        <f>IFERROR(AU19/AS19,0)</f>
        <v>0</v>
      </c>
      <c r="AW19" s="292"/>
      <c r="AX19" s="326"/>
      <c r="AY19" s="327">
        <f>IFERROR(AW19/AX19,0)</f>
        <v>0</v>
      </c>
      <c r="AZ19" s="326"/>
      <c r="BA19" s="327">
        <f>IFERROR(AZ19/AX19,0)</f>
        <v>0</v>
      </c>
      <c r="BB19" s="292"/>
      <c r="BC19" s="326"/>
      <c r="BD19" s="327">
        <f>IFERROR(BB19/BC19,0)</f>
        <v>0</v>
      </c>
      <c r="BE19" s="326"/>
      <c r="BF19" s="327">
        <f>IFERROR(BE19/BC19,0)</f>
        <v>0</v>
      </c>
      <c r="BG19" s="328"/>
      <c r="BH19" s="328">
        <f t="shared" ref="BH19:BH24" si="102">AS19+AX19+BC19</f>
        <v>0</v>
      </c>
      <c r="BI19" s="329">
        <f>IFERROR(BG19/BH19,0)</f>
        <v>0</v>
      </c>
      <c r="BJ19" s="295">
        <f t="shared" ref="BJ19:BJ24" si="103">AU19+AZ19+BE19</f>
        <v>0</v>
      </c>
      <c r="BK19" s="329">
        <f>IFERROR(BJ19/BH19,0)</f>
        <v>0</v>
      </c>
      <c r="BL19" s="292"/>
      <c r="BM19" s="326"/>
      <c r="BN19" s="327">
        <f>IFERROR(BL19/BM19,0)</f>
        <v>0</v>
      </c>
      <c r="BO19" s="326"/>
      <c r="BP19" s="327">
        <f>IFERROR(BO19/BM19,0)</f>
        <v>0</v>
      </c>
      <c r="BQ19" s="292"/>
      <c r="BR19" s="326"/>
      <c r="BS19" s="327">
        <f>IFERROR(BQ19/BR19,0)</f>
        <v>0</v>
      </c>
      <c r="BT19" s="326"/>
      <c r="BU19" s="327">
        <f>IFERROR(BT19/BR19,0)</f>
        <v>0</v>
      </c>
      <c r="BV19" s="292"/>
      <c r="BW19" s="326"/>
      <c r="BX19" s="327">
        <f>IFERROR(BV19/BW19,0)</f>
        <v>0</v>
      </c>
      <c r="BY19" s="326"/>
      <c r="BZ19" s="327">
        <f>IFERROR(BY19/BW19,0)</f>
        <v>0</v>
      </c>
      <c r="CA19" s="328"/>
      <c r="CB19" s="328">
        <f t="shared" ref="CB19:CB24" si="104">BM19+BR19+BW19</f>
        <v>0</v>
      </c>
      <c r="CC19" s="329">
        <f>IFERROR(CA19/CB19,0)</f>
        <v>0</v>
      </c>
      <c r="CD19" s="295">
        <f t="shared" ref="CD19:CD24" si="105">BO19+BT19+BY19</f>
        <v>0</v>
      </c>
      <c r="CE19" s="329">
        <f>IFERROR(CD19/CB19,0)</f>
        <v>0</v>
      </c>
      <c r="CF19" s="297"/>
      <c r="CG19" s="297">
        <f>AN19+BH19+CB19</f>
        <v>0</v>
      </c>
      <c r="CH19" s="330">
        <f>IFERROR(CF19/CG19,0)</f>
        <v>0</v>
      </c>
      <c r="CI19" s="295">
        <f>AP19+BJ19+CD19</f>
        <v>0</v>
      </c>
      <c r="CJ19" s="331">
        <f>IFERROR(CI19/CG19,0)</f>
        <v>0</v>
      </c>
    </row>
    <row r="20" spans="1:88">
      <c r="A20" s="67"/>
      <c r="B20" s="68"/>
      <c r="C20" s="300"/>
      <c r="D20" s="292"/>
      <c r="E20" s="326"/>
      <c r="F20" s="332">
        <f t="shared" ref="F20:F25" si="106">IFERROR(D20/E20,0)</f>
        <v>0</v>
      </c>
      <c r="G20" s="326"/>
      <c r="H20" s="332">
        <f t="shared" ref="H20:H25" si="107">IFERROR(G20/E20,0)</f>
        <v>0</v>
      </c>
      <c r="I20" s="292"/>
      <c r="J20" s="326"/>
      <c r="K20" s="332">
        <f t="shared" ref="K20:K25" si="108">IFERROR(I20/J20,0)</f>
        <v>0</v>
      </c>
      <c r="L20" s="326"/>
      <c r="M20" s="332">
        <f t="shared" ref="M20:M25" si="109">IFERROR(L20/J20,0)</f>
        <v>0</v>
      </c>
      <c r="N20" s="292"/>
      <c r="O20" s="326"/>
      <c r="P20" s="332">
        <f t="shared" ref="P20:P25" si="110">IFERROR(N20/O20,0)</f>
        <v>0</v>
      </c>
      <c r="Q20" s="326"/>
      <c r="R20" s="332">
        <f t="shared" ref="R20:R25" si="111">IFERROR(Q20/O20,0)</f>
        <v>0</v>
      </c>
      <c r="S20" s="328"/>
      <c r="T20" s="328">
        <f t="shared" si="99"/>
        <v>0</v>
      </c>
      <c r="U20" s="333">
        <f t="shared" ref="U20:U25" si="112">IFERROR(S20/T20,0)</f>
        <v>0</v>
      </c>
      <c r="V20" s="295">
        <f t="shared" si="100"/>
        <v>0</v>
      </c>
      <c r="W20" s="333">
        <f t="shared" ref="W20:W25" si="113">IFERROR(V20/T20,0)</f>
        <v>0</v>
      </c>
      <c r="X20" s="292"/>
      <c r="Y20" s="326"/>
      <c r="Z20" s="332">
        <f t="shared" ref="Z20:Z25" si="114">IFERROR(X20/Y20,0)</f>
        <v>0</v>
      </c>
      <c r="AA20" s="326"/>
      <c r="AB20" s="332">
        <f t="shared" ref="AB20:AB25" si="115">IFERROR(AA20/Y20,0)</f>
        <v>0</v>
      </c>
      <c r="AC20" s="292"/>
      <c r="AD20" s="326"/>
      <c r="AE20" s="332">
        <f t="shared" ref="AE20:AE25" si="116">IFERROR(AC20/AD20,0)</f>
        <v>0</v>
      </c>
      <c r="AF20" s="326"/>
      <c r="AG20" s="332">
        <f t="shared" ref="AG20:AG25" si="117">IFERROR(AF20/AD20,0)</f>
        <v>0</v>
      </c>
      <c r="AH20" s="292"/>
      <c r="AI20" s="326"/>
      <c r="AJ20" s="332">
        <f t="shared" ref="AJ20:AJ25" si="118">IFERROR(AH20/AI20,0)</f>
        <v>0</v>
      </c>
      <c r="AK20" s="326"/>
      <c r="AL20" s="332">
        <f t="shared" ref="AL20:AL25" si="119">IFERROR(AK20/AI20,0)</f>
        <v>0</v>
      </c>
      <c r="AM20" s="328"/>
      <c r="AN20" s="328">
        <f t="shared" si="101"/>
        <v>0</v>
      </c>
      <c r="AO20" s="333">
        <f t="shared" ref="AO20:AO25" si="120">IFERROR(AM20/AN20,0)</f>
        <v>0</v>
      </c>
      <c r="AP20" s="295">
        <f t="shared" ref="AP20:AP24" si="121">AA20+AF20+AK20</f>
        <v>0</v>
      </c>
      <c r="AQ20" s="333">
        <f t="shared" ref="AQ20:AQ25" si="122">IFERROR(AP20/AN20,0)</f>
        <v>0</v>
      </c>
      <c r="AR20" s="292"/>
      <c r="AS20" s="326"/>
      <c r="AT20" s="332">
        <f t="shared" ref="AT20:AT25" si="123">IFERROR(AR20/AS20,0)</f>
        <v>0</v>
      </c>
      <c r="AU20" s="326"/>
      <c r="AV20" s="332">
        <f t="shared" ref="AV20:AV25" si="124">IFERROR(AU20/AS20,0)</f>
        <v>0</v>
      </c>
      <c r="AW20" s="292"/>
      <c r="AX20" s="326"/>
      <c r="AY20" s="332">
        <f t="shared" ref="AY20:AY25" si="125">IFERROR(AW20/AX20,0)</f>
        <v>0</v>
      </c>
      <c r="AZ20" s="326"/>
      <c r="BA20" s="332">
        <f t="shared" ref="BA20:BA25" si="126">IFERROR(AZ20/AX20,0)</f>
        <v>0</v>
      </c>
      <c r="BB20" s="292"/>
      <c r="BC20" s="326"/>
      <c r="BD20" s="332">
        <f t="shared" ref="BD20:BD25" si="127">IFERROR(BB20/BC20,0)</f>
        <v>0</v>
      </c>
      <c r="BE20" s="326"/>
      <c r="BF20" s="332">
        <f t="shared" ref="BF20:BF25" si="128">IFERROR(BE20/BC20,0)</f>
        <v>0</v>
      </c>
      <c r="BG20" s="328"/>
      <c r="BH20" s="328">
        <f t="shared" si="102"/>
        <v>0</v>
      </c>
      <c r="BI20" s="333">
        <f t="shared" ref="BI20:BI25" si="129">IFERROR(BG20/BH20,0)</f>
        <v>0</v>
      </c>
      <c r="BJ20" s="295">
        <f t="shared" si="103"/>
        <v>0</v>
      </c>
      <c r="BK20" s="333">
        <f t="shared" ref="BK20:BK25" si="130">IFERROR(BJ20/BH20,0)</f>
        <v>0</v>
      </c>
      <c r="BL20" s="292"/>
      <c r="BM20" s="326"/>
      <c r="BN20" s="332">
        <f t="shared" ref="BN20:BN25" si="131">IFERROR(BL20/BM20,0)</f>
        <v>0</v>
      </c>
      <c r="BO20" s="326"/>
      <c r="BP20" s="332">
        <f t="shared" ref="BP20:BP25" si="132">IFERROR(BO20/BM20,0)</f>
        <v>0</v>
      </c>
      <c r="BQ20" s="292"/>
      <c r="BR20" s="326"/>
      <c r="BS20" s="332">
        <f t="shared" ref="BS20:BS25" si="133">IFERROR(BQ20/BR20,0)</f>
        <v>0</v>
      </c>
      <c r="BT20" s="326"/>
      <c r="BU20" s="332">
        <f t="shared" ref="BU20:BU25" si="134">IFERROR(BT20/BR20,0)</f>
        <v>0</v>
      </c>
      <c r="BV20" s="292"/>
      <c r="BW20" s="326"/>
      <c r="BX20" s="332">
        <f t="shared" ref="BX20:BX25" si="135">IFERROR(BV20/BW20,0)</f>
        <v>0</v>
      </c>
      <c r="BY20" s="326"/>
      <c r="BZ20" s="332">
        <f t="shared" ref="BZ20:BZ25" si="136">IFERROR(BY20/BW20,0)</f>
        <v>0</v>
      </c>
      <c r="CA20" s="328"/>
      <c r="CB20" s="328">
        <f t="shared" si="104"/>
        <v>0</v>
      </c>
      <c r="CC20" s="333">
        <f t="shared" ref="CC20:CC25" si="137">IFERROR(CA20/CB20,0)</f>
        <v>0</v>
      </c>
      <c r="CD20" s="295">
        <f t="shared" si="105"/>
        <v>0</v>
      </c>
      <c r="CE20" s="333">
        <f t="shared" ref="CE20:CE25" si="138">IFERROR(CD20/CB20,0)</f>
        <v>0</v>
      </c>
      <c r="CF20" s="297"/>
      <c r="CG20" s="297">
        <f t="shared" ref="CG20:CG24" si="139">AN20+BH20+CB20</f>
        <v>0</v>
      </c>
      <c r="CH20" s="334">
        <f t="shared" ref="CH20:CH25" si="140">IFERROR(CF20/CG20,0)</f>
        <v>0</v>
      </c>
      <c r="CI20" s="295">
        <f t="shared" ref="CI20:CI25" si="141">AP20+BJ20+CD20</f>
        <v>0</v>
      </c>
      <c r="CJ20" s="335">
        <f t="shared" ref="CJ20:CJ25" si="142">IFERROR(CI20/CG20,0)</f>
        <v>0</v>
      </c>
    </row>
    <row r="21" spans="1:88">
      <c r="A21" s="67"/>
      <c r="B21" s="68"/>
      <c r="C21" s="300"/>
      <c r="D21" s="292"/>
      <c r="E21" s="326"/>
      <c r="F21" s="332">
        <f t="shared" si="106"/>
        <v>0</v>
      </c>
      <c r="G21" s="326"/>
      <c r="H21" s="332">
        <f t="shared" si="107"/>
        <v>0</v>
      </c>
      <c r="I21" s="292"/>
      <c r="J21" s="326"/>
      <c r="K21" s="332">
        <f t="shared" si="108"/>
        <v>0</v>
      </c>
      <c r="L21" s="326"/>
      <c r="M21" s="332">
        <f t="shared" si="109"/>
        <v>0</v>
      </c>
      <c r="N21" s="292"/>
      <c r="O21" s="326"/>
      <c r="P21" s="332">
        <f t="shared" si="110"/>
        <v>0</v>
      </c>
      <c r="Q21" s="326"/>
      <c r="R21" s="332">
        <f t="shared" si="111"/>
        <v>0</v>
      </c>
      <c r="S21" s="328"/>
      <c r="T21" s="328">
        <f t="shared" si="99"/>
        <v>0</v>
      </c>
      <c r="U21" s="333">
        <f t="shared" si="112"/>
        <v>0</v>
      </c>
      <c r="V21" s="295">
        <f t="shared" si="100"/>
        <v>0</v>
      </c>
      <c r="W21" s="333">
        <f t="shared" si="113"/>
        <v>0</v>
      </c>
      <c r="X21" s="292"/>
      <c r="Y21" s="326"/>
      <c r="Z21" s="332">
        <f t="shared" si="114"/>
        <v>0</v>
      </c>
      <c r="AA21" s="326"/>
      <c r="AB21" s="332">
        <f t="shared" si="115"/>
        <v>0</v>
      </c>
      <c r="AC21" s="292"/>
      <c r="AD21" s="326"/>
      <c r="AE21" s="332">
        <f t="shared" si="116"/>
        <v>0</v>
      </c>
      <c r="AF21" s="326"/>
      <c r="AG21" s="332">
        <f t="shared" si="117"/>
        <v>0</v>
      </c>
      <c r="AH21" s="292"/>
      <c r="AI21" s="326"/>
      <c r="AJ21" s="332">
        <f t="shared" si="118"/>
        <v>0</v>
      </c>
      <c r="AK21" s="326"/>
      <c r="AL21" s="332">
        <f t="shared" si="119"/>
        <v>0</v>
      </c>
      <c r="AM21" s="328"/>
      <c r="AN21" s="328">
        <f t="shared" si="101"/>
        <v>0</v>
      </c>
      <c r="AO21" s="333">
        <f t="shared" si="120"/>
        <v>0</v>
      </c>
      <c r="AP21" s="295">
        <f t="shared" si="121"/>
        <v>0</v>
      </c>
      <c r="AQ21" s="333">
        <f t="shared" si="122"/>
        <v>0</v>
      </c>
      <c r="AR21" s="292"/>
      <c r="AS21" s="326"/>
      <c r="AT21" s="332">
        <f t="shared" si="123"/>
        <v>0</v>
      </c>
      <c r="AU21" s="326"/>
      <c r="AV21" s="332">
        <f t="shared" si="124"/>
        <v>0</v>
      </c>
      <c r="AW21" s="292"/>
      <c r="AX21" s="326"/>
      <c r="AY21" s="332">
        <f t="shared" si="125"/>
        <v>0</v>
      </c>
      <c r="AZ21" s="326"/>
      <c r="BA21" s="332">
        <f t="shared" si="126"/>
        <v>0</v>
      </c>
      <c r="BB21" s="292"/>
      <c r="BC21" s="326"/>
      <c r="BD21" s="332">
        <f t="shared" si="127"/>
        <v>0</v>
      </c>
      <c r="BE21" s="326"/>
      <c r="BF21" s="332">
        <f t="shared" si="128"/>
        <v>0</v>
      </c>
      <c r="BG21" s="328"/>
      <c r="BH21" s="328">
        <f t="shared" si="102"/>
        <v>0</v>
      </c>
      <c r="BI21" s="333">
        <f t="shared" si="129"/>
        <v>0</v>
      </c>
      <c r="BJ21" s="295">
        <f t="shared" si="103"/>
        <v>0</v>
      </c>
      <c r="BK21" s="333">
        <f t="shared" si="130"/>
        <v>0</v>
      </c>
      <c r="BL21" s="292"/>
      <c r="BM21" s="326"/>
      <c r="BN21" s="332">
        <f t="shared" si="131"/>
        <v>0</v>
      </c>
      <c r="BO21" s="326"/>
      <c r="BP21" s="332">
        <f t="shared" si="132"/>
        <v>0</v>
      </c>
      <c r="BQ21" s="292"/>
      <c r="BR21" s="326"/>
      <c r="BS21" s="332">
        <f t="shared" si="133"/>
        <v>0</v>
      </c>
      <c r="BT21" s="326"/>
      <c r="BU21" s="332">
        <f t="shared" si="134"/>
        <v>0</v>
      </c>
      <c r="BV21" s="292"/>
      <c r="BW21" s="326"/>
      <c r="BX21" s="332">
        <f t="shared" si="135"/>
        <v>0</v>
      </c>
      <c r="BY21" s="326"/>
      <c r="BZ21" s="332">
        <f t="shared" si="136"/>
        <v>0</v>
      </c>
      <c r="CA21" s="328"/>
      <c r="CB21" s="328">
        <f t="shared" si="104"/>
        <v>0</v>
      </c>
      <c r="CC21" s="333">
        <f t="shared" si="137"/>
        <v>0</v>
      </c>
      <c r="CD21" s="295">
        <f t="shared" si="105"/>
        <v>0</v>
      </c>
      <c r="CE21" s="333">
        <f t="shared" si="138"/>
        <v>0</v>
      </c>
      <c r="CF21" s="297"/>
      <c r="CG21" s="297">
        <f t="shared" si="139"/>
        <v>0</v>
      </c>
      <c r="CH21" s="334">
        <f t="shared" si="140"/>
        <v>0</v>
      </c>
      <c r="CI21" s="295">
        <f t="shared" si="141"/>
        <v>0</v>
      </c>
      <c r="CJ21" s="335">
        <f t="shared" si="142"/>
        <v>0</v>
      </c>
    </row>
    <row r="22" spans="1:88">
      <c r="A22" s="67"/>
      <c r="B22" s="68"/>
      <c r="C22" s="300"/>
      <c r="D22" s="292"/>
      <c r="E22" s="326"/>
      <c r="F22" s="332">
        <f t="shared" si="106"/>
        <v>0</v>
      </c>
      <c r="G22" s="326"/>
      <c r="H22" s="332">
        <f t="shared" si="107"/>
        <v>0</v>
      </c>
      <c r="I22" s="292"/>
      <c r="J22" s="326"/>
      <c r="K22" s="332">
        <f t="shared" si="108"/>
        <v>0</v>
      </c>
      <c r="L22" s="326"/>
      <c r="M22" s="332">
        <f t="shared" si="109"/>
        <v>0</v>
      </c>
      <c r="N22" s="292"/>
      <c r="O22" s="326"/>
      <c r="P22" s="332">
        <f t="shared" si="110"/>
        <v>0</v>
      </c>
      <c r="Q22" s="326"/>
      <c r="R22" s="332">
        <f t="shared" si="111"/>
        <v>0</v>
      </c>
      <c r="S22" s="328"/>
      <c r="T22" s="328">
        <f t="shared" si="99"/>
        <v>0</v>
      </c>
      <c r="U22" s="333">
        <f t="shared" si="112"/>
        <v>0</v>
      </c>
      <c r="V22" s="295">
        <f t="shared" si="100"/>
        <v>0</v>
      </c>
      <c r="W22" s="333">
        <f t="shared" si="113"/>
        <v>0</v>
      </c>
      <c r="X22" s="292"/>
      <c r="Y22" s="326"/>
      <c r="Z22" s="332">
        <f t="shared" si="114"/>
        <v>0</v>
      </c>
      <c r="AA22" s="326"/>
      <c r="AB22" s="332">
        <f t="shared" si="115"/>
        <v>0</v>
      </c>
      <c r="AC22" s="292"/>
      <c r="AD22" s="326"/>
      <c r="AE22" s="332">
        <f t="shared" si="116"/>
        <v>0</v>
      </c>
      <c r="AF22" s="326"/>
      <c r="AG22" s="332">
        <f t="shared" si="117"/>
        <v>0</v>
      </c>
      <c r="AH22" s="292"/>
      <c r="AI22" s="326"/>
      <c r="AJ22" s="332">
        <f t="shared" si="118"/>
        <v>0</v>
      </c>
      <c r="AK22" s="326"/>
      <c r="AL22" s="332">
        <f t="shared" si="119"/>
        <v>0</v>
      </c>
      <c r="AM22" s="328"/>
      <c r="AN22" s="328">
        <f t="shared" si="101"/>
        <v>0</v>
      </c>
      <c r="AO22" s="333">
        <f t="shared" si="120"/>
        <v>0</v>
      </c>
      <c r="AP22" s="295">
        <f t="shared" si="121"/>
        <v>0</v>
      </c>
      <c r="AQ22" s="333">
        <f t="shared" si="122"/>
        <v>0</v>
      </c>
      <c r="AR22" s="292"/>
      <c r="AS22" s="326"/>
      <c r="AT22" s="332">
        <f t="shared" si="123"/>
        <v>0</v>
      </c>
      <c r="AU22" s="326"/>
      <c r="AV22" s="332">
        <f t="shared" si="124"/>
        <v>0</v>
      </c>
      <c r="AW22" s="292"/>
      <c r="AX22" s="326"/>
      <c r="AY22" s="332">
        <f t="shared" si="125"/>
        <v>0</v>
      </c>
      <c r="AZ22" s="326"/>
      <c r="BA22" s="332">
        <f t="shared" si="126"/>
        <v>0</v>
      </c>
      <c r="BB22" s="292"/>
      <c r="BC22" s="326"/>
      <c r="BD22" s="332">
        <f t="shared" si="127"/>
        <v>0</v>
      </c>
      <c r="BE22" s="326"/>
      <c r="BF22" s="332">
        <f t="shared" si="128"/>
        <v>0</v>
      </c>
      <c r="BG22" s="328"/>
      <c r="BH22" s="328">
        <f t="shared" si="102"/>
        <v>0</v>
      </c>
      <c r="BI22" s="333">
        <f t="shared" si="129"/>
        <v>0</v>
      </c>
      <c r="BJ22" s="295">
        <f t="shared" si="103"/>
        <v>0</v>
      </c>
      <c r="BK22" s="333">
        <f t="shared" si="130"/>
        <v>0</v>
      </c>
      <c r="BL22" s="292"/>
      <c r="BM22" s="326"/>
      <c r="BN22" s="332">
        <f t="shared" si="131"/>
        <v>0</v>
      </c>
      <c r="BO22" s="326"/>
      <c r="BP22" s="332">
        <f t="shared" si="132"/>
        <v>0</v>
      </c>
      <c r="BQ22" s="292"/>
      <c r="BR22" s="326"/>
      <c r="BS22" s="332">
        <f t="shared" si="133"/>
        <v>0</v>
      </c>
      <c r="BT22" s="326"/>
      <c r="BU22" s="332">
        <f t="shared" si="134"/>
        <v>0</v>
      </c>
      <c r="BV22" s="292"/>
      <c r="BW22" s="326"/>
      <c r="BX22" s="332">
        <f t="shared" si="135"/>
        <v>0</v>
      </c>
      <c r="BY22" s="326"/>
      <c r="BZ22" s="332">
        <f t="shared" si="136"/>
        <v>0</v>
      </c>
      <c r="CA22" s="328"/>
      <c r="CB22" s="328">
        <f t="shared" si="104"/>
        <v>0</v>
      </c>
      <c r="CC22" s="333">
        <f t="shared" si="137"/>
        <v>0</v>
      </c>
      <c r="CD22" s="295">
        <f t="shared" si="105"/>
        <v>0</v>
      </c>
      <c r="CE22" s="333">
        <f t="shared" si="138"/>
        <v>0</v>
      </c>
      <c r="CF22" s="297"/>
      <c r="CG22" s="297">
        <f t="shared" si="139"/>
        <v>0</v>
      </c>
      <c r="CH22" s="334">
        <f t="shared" si="140"/>
        <v>0</v>
      </c>
      <c r="CI22" s="295">
        <f t="shared" si="141"/>
        <v>0</v>
      </c>
      <c r="CJ22" s="335">
        <f t="shared" si="142"/>
        <v>0</v>
      </c>
    </row>
    <row r="23" spans="1:88">
      <c r="A23" s="67"/>
      <c r="B23" s="68"/>
      <c r="C23" s="300"/>
      <c r="D23" s="292"/>
      <c r="E23" s="326"/>
      <c r="F23" s="332">
        <f t="shared" si="106"/>
        <v>0</v>
      </c>
      <c r="G23" s="326"/>
      <c r="H23" s="332">
        <f t="shared" si="107"/>
        <v>0</v>
      </c>
      <c r="I23" s="292"/>
      <c r="J23" s="326"/>
      <c r="K23" s="332">
        <f t="shared" si="108"/>
        <v>0</v>
      </c>
      <c r="L23" s="326"/>
      <c r="M23" s="332">
        <f t="shared" si="109"/>
        <v>0</v>
      </c>
      <c r="N23" s="292"/>
      <c r="O23" s="326"/>
      <c r="P23" s="332">
        <f t="shared" si="110"/>
        <v>0</v>
      </c>
      <c r="Q23" s="326"/>
      <c r="R23" s="332">
        <f t="shared" si="111"/>
        <v>0</v>
      </c>
      <c r="S23" s="328"/>
      <c r="T23" s="328">
        <f t="shared" si="99"/>
        <v>0</v>
      </c>
      <c r="U23" s="333">
        <f t="shared" si="112"/>
        <v>0</v>
      </c>
      <c r="V23" s="295">
        <f t="shared" si="100"/>
        <v>0</v>
      </c>
      <c r="W23" s="333">
        <f t="shared" si="113"/>
        <v>0</v>
      </c>
      <c r="X23" s="292"/>
      <c r="Y23" s="326"/>
      <c r="Z23" s="332">
        <f t="shared" si="114"/>
        <v>0</v>
      </c>
      <c r="AA23" s="326"/>
      <c r="AB23" s="332">
        <f t="shared" si="115"/>
        <v>0</v>
      </c>
      <c r="AC23" s="292"/>
      <c r="AD23" s="326"/>
      <c r="AE23" s="332">
        <f t="shared" si="116"/>
        <v>0</v>
      </c>
      <c r="AF23" s="326"/>
      <c r="AG23" s="332">
        <f t="shared" si="117"/>
        <v>0</v>
      </c>
      <c r="AH23" s="292"/>
      <c r="AI23" s="326"/>
      <c r="AJ23" s="332">
        <f t="shared" si="118"/>
        <v>0</v>
      </c>
      <c r="AK23" s="326"/>
      <c r="AL23" s="332">
        <f t="shared" si="119"/>
        <v>0</v>
      </c>
      <c r="AM23" s="328"/>
      <c r="AN23" s="328">
        <f t="shared" si="101"/>
        <v>0</v>
      </c>
      <c r="AO23" s="333">
        <f t="shared" si="120"/>
        <v>0</v>
      </c>
      <c r="AP23" s="295">
        <f t="shared" si="121"/>
        <v>0</v>
      </c>
      <c r="AQ23" s="333">
        <f t="shared" si="122"/>
        <v>0</v>
      </c>
      <c r="AR23" s="292"/>
      <c r="AS23" s="326"/>
      <c r="AT23" s="332">
        <f t="shared" si="123"/>
        <v>0</v>
      </c>
      <c r="AU23" s="326"/>
      <c r="AV23" s="332">
        <f t="shared" si="124"/>
        <v>0</v>
      </c>
      <c r="AW23" s="292"/>
      <c r="AX23" s="326"/>
      <c r="AY23" s="332">
        <f t="shared" si="125"/>
        <v>0</v>
      </c>
      <c r="AZ23" s="326"/>
      <c r="BA23" s="332">
        <f t="shared" si="126"/>
        <v>0</v>
      </c>
      <c r="BB23" s="292"/>
      <c r="BC23" s="326"/>
      <c r="BD23" s="332">
        <f t="shared" si="127"/>
        <v>0</v>
      </c>
      <c r="BE23" s="326"/>
      <c r="BF23" s="332">
        <f t="shared" si="128"/>
        <v>0</v>
      </c>
      <c r="BG23" s="328"/>
      <c r="BH23" s="328">
        <f t="shared" si="102"/>
        <v>0</v>
      </c>
      <c r="BI23" s="333">
        <f t="shared" si="129"/>
        <v>0</v>
      </c>
      <c r="BJ23" s="295">
        <f t="shared" si="103"/>
        <v>0</v>
      </c>
      <c r="BK23" s="333">
        <f t="shared" si="130"/>
        <v>0</v>
      </c>
      <c r="BL23" s="292"/>
      <c r="BM23" s="326"/>
      <c r="BN23" s="332">
        <f t="shared" si="131"/>
        <v>0</v>
      </c>
      <c r="BO23" s="326"/>
      <c r="BP23" s="332">
        <f t="shared" si="132"/>
        <v>0</v>
      </c>
      <c r="BQ23" s="292"/>
      <c r="BR23" s="326"/>
      <c r="BS23" s="332">
        <f t="shared" si="133"/>
        <v>0</v>
      </c>
      <c r="BT23" s="326"/>
      <c r="BU23" s="332">
        <f t="shared" si="134"/>
        <v>0</v>
      </c>
      <c r="BV23" s="292"/>
      <c r="BW23" s="326"/>
      <c r="BX23" s="332">
        <f t="shared" si="135"/>
        <v>0</v>
      </c>
      <c r="BY23" s="326"/>
      <c r="BZ23" s="332">
        <f t="shared" si="136"/>
        <v>0</v>
      </c>
      <c r="CA23" s="328"/>
      <c r="CB23" s="328">
        <f t="shared" si="104"/>
        <v>0</v>
      </c>
      <c r="CC23" s="333">
        <f t="shared" si="137"/>
        <v>0</v>
      </c>
      <c r="CD23" s="295">
        <f t="shared" si="105"/>
        <v>0</v>
      </c>
      <c r="CE23" s="333">
        <f t="shared" si="138"/>
        <v>0</v>
      </c>
      <c r="CF23" s="297"/>
      <c r="CG23" s="297">
        <f t="shared" si="139"/>
        <v>0</v>
      </c>
      <c r="CH23" s="334">
        <f t="shared" si="140"/>
        <v>0</v>
      </c>
      <c r="CI23" s="295">
        <f t="shared" si="141"/>
        <v>0</v>
      </c>
      <c r="CJ23" s="335">
        <f t="shared" si="142"/>
        <v>0</v>
      </c>
    </row>
    <row r="24" spans="1:88">
      <c r="A24" s="67"/>
      <c r="B24" s="68"/>
      <c r="C24" s="300"/>
      <c r="D24" s="292"/>
      <c r="E24" s="326"/>
      <c r="F24" s="332">
        <f t="shared" si="106"/>
        <v>0</v>
      </c>
      <c r="G24" s="326"/>
      <c r="H24" s="332">
        <f t="shared" si="107"/>
        <v>0</v>
      </c>
      <c r="I24" s="292"/>
      <c r="J24" s="326"/>
      <c r="K24" s="332">
        <f t="shared" si="108"/>
        <v>0</v>
      </c>
      <c r="L24" s="326"/>
      <c r="M24" s="332">
        <f t="shared" si="109"/>
        <v>0</v>
      </c>
      <c r="N24" s="292"/>
      <c r="O24" s="326"/>
      <c r="P24" s="332">
        <f t="shared" si="110"/>
        <v>0</v>
      </c>
      <c r="Q24" s="326"/>
      <c r="R24" s="332">
        <f t="shared" si="111"/>
        <v>0</v>
      </c>
      <c r="S24" s="328"/>
      <c r="T24" s="328">
        <f t="shared" si="99"/>
        <v>0</v>
      </c>
      <c r="U24" s="333">
        <f t="shared" si="112"/>
        <v>0</v>
      </c>
      <c r="V24" s="295">
        <f t="shared" si="100"/>
        <v>0</v>
      </c>
      <c r="W24" s="333">
        <f t="shared" si="113"/>
        <v>0</v>
      </c>
      <c r="X24" s="292"/>
      <c r="Y24" s="326"/>
      <c r="Z24" s="332">
        <f t="shared" si="114"/>
        <v>0</v>
      </c>
      <c r="AA24" s="326"/>
      <c r="AB24" s="332">
        <f t="shared" si="115"/>
        <v>0</v>
      </c>
      <c r="AC24" s="292"/>
      <c r="AD24" s="326"/>
      <c r="AE24" s="332">
        <f t="shared" si="116"/>
        <v>0</v>
      </c>
      <c r="AF24" s="326"/>
      <c r="AG24" s="332">
        <f t="shared" si="117"/>
        <v>0</v>
      </c>
      <c r="AH24" s="292"/>
      <c r="AI24" s="326"/>
      <c r="AJ24" s="332">
        <f t="shared" si="118"/>
        <v>0</v>
      </c>
      <c r="AK24" s="326"/>
      <c r="AL24" s="332">
        <f t="shared" si="119"/>
        <v>0</v>
      </c>
      <c r="AM24" s="328"/>
      <c r="AN24" s="328">
        <f t="shared" si="101"/>
        <v>0</v>
      </c>
      <c r="AO24" s="333">
        <f t="shared" si="120"/>
        <v>0</v>
      </c>
      <c r="AP24" s="295">
        <f t="shared" si="121"/>
        <v>0</v>
      </c>
      <c r="AQ24" s="333">
        <f t="shared" si="122"/>
        <v>0</v>
      </c>
      <c r="AR24" s="292"/>
      <c r="AS24" s="326"/>
      <c r="AT24" s="332">
        <f t="shared" si="123"/>
        <v>0</v>
      </c>
      <c r="AU24" s="326"/>
      <c r="AV24" s="332">
        <f t="shared" si="124"/>
        <v>0</v>
      </c>
      <c r="AW24" s="292"/>
      <c r="AX24" s="326"/>
      <c r="AY24" s="332">
        <f t="shared" si="125"/>
        <v>0</v>
      </c>
      <c r="AZ24" s="326"/>
      <c r="BA24" s="332">
        <f t="shared" si="126"/>
        <v>0</v>
      </c>
      <c r="BB24" s="292"/>
      <c r="BC24" s="326"/>
      <c r="BD24" s="332">
        <f t="shared" si="127"/>
        <v>0</v>
      </c>
      <c r="BE24" s="326"/>
      <c r="BF24" s="332">
        <f t="shared" si="128"/>
        <v>0</v>
      </c>
      <c r="BG24" s="328"/>
      <c r="BH24" s="328">
        <f t="shared" si="102"/>
        <v>0</v>
      </c>
      <c r="BI24" s="333">
        <f t="shared" si="129"/>
        <v>0</v>
      </c>
      <c r="BJ24" s="295">
        <f t="shared" si="103"/>
        <v>0</v>
      </c>
      <c r="BK24" s="333">
        <f t="shared" si="130"/>
        <v>0</v>
      </c>
      <c r="BL24" s="292"/>
      <c r="BM24" s="326"/>
      <c r="BN24" s="332">
        <f t="shared" si="131"/>
        <v>0</v>
      </c>
      <c r="BO24" s="326"/>
      <c r="BP24" s="332">
        <f t="shared" si="132"/>
        <v>0</v>
      </c>
      <c r="BQ24" s="292"/>
      <c r="BR24" s="326"/>
      <c r="BS24" s="332">
        <f t="shared" si="133"/>
        <v>0</v>
      </c>
      <c r="BT24" s="326"/>
      <c r="BU24" s="332">
        <f t="shared" si="134"/>
        <v>0</v>
      </c>
      <c r="BV24" s="292"/>
      <c r="BW24" s="326"/>
      <c r="BX24" s="332">
        <f t="shared" si="135"/>
        <v>0</v>
      </c>
      <c r="BY24" s="326"/>
      <c r="BZ24" s="332">
        <f t="shared" si="136"/>
        <v>0</v>
      </c>
      <c r="CA24" s="328"/>
      <c r="CB24" s="328">
        <f t="shared" si="104"/>
        <v>0</v>
      </c>
      <c r="CC24" s="333">
        <f t="shared" si="137"/>
        <v>0</v>
      </c>
      <c r="CD24" s="295">
        <f t="shared" si="105"/>
        <v>0</v>
      </c>
      <c r="CE24" s="333">
        <f t="shared" si="138"/>
        <v>0</v>
      </c>
      <c r="CF24" s="297"/>
      <c r="CG24" s="297">
        <f t="shared" si="139"/>
        <v>0</v>
      </c>
      <c r="CH24" s="334">
        <f t="shared" si="140"/>
        <v>0</v>
      </c>
      <c r="CI24" s="295">
        <f t="shared" si="141"/>
        <v>0</v>
      </c>
      <c r="CJ24" s="335">
        <f t="shared" si="142"/>
        <v>0</v>
      </c>
    </row>
    <row r="25" spans="1:88">
      <c r="A25" s="66"/>
      <c r="B25" s="64" t="s">
        <v>123</v>
      </c>
      <c r="C25" s="64"/>
      <c r="D25" s="336">
        <v>0</v>
      </c>
      <c r="E25" s="336">
        <f>SUM(E19:E24)</f>
        <v>0</v>
      </c>
      <c r="F25" s="322">
        <f t="shared" si="106"/>
        <v>0</v>
      </c>
      <c r="G25" s="320">
        <f>SUM(G19:G24)</f>
        <v>0</v>
      </c>
      <c r="H25" s="322">
        <f t="shared" si="107"/>
        <v>0</v>
      </c>
      <c r="I25" s="320">
        <v>0</v>
      </c>
      <c r="J25" s="320">
        <f>SUM(J19:J24)</f>
        <v>0</v>
      </c>
      <c r="K25" s="322">
        <f t="shared" si="108"/>
        <v>0</v>
      </c>
      <c r="L25" s="320">
        <f>SUM(L19:L24)</f>
        <v>0</v>
      </c>
      <c r="M25" s="322">
        <f t="shared" si="109"/>
        <v>0</v>
      </c>
      <c r="N25" s="320">
        <v>0</v>
      </c>
      <c r="O25" s="320">
        <f>SUM(O19:O24)</f>
        <v>0</v>
      </c>
      <c r="P25" s="322">
        <f t="shared" si="110"/>
        <v>0</v>
      </c>
      <c r="Q25" s="320">
        <f>SUM(Q19:Q24)</f>
        <v>0</v>
      </c>
      <c r="R25" s="322">
        <f t="shared" si="111"/>
        <v>0</v>
      </c>
      <c r="S25" s="320">
        <v>0</v>
      </c>
      <c r="T25" s="320">
        <f>SUM(T19:T24)</f>
        <v>0</v>
      </c>
      <c r="U25" s="322">
        <f t="shared" si="112"/>
        <v>0</v>
      </c>
      <c r="V25" s="320">
        <f>SUM(V19:V24)</f>
        <v>0</v>
      </c>
      <c r="W25" s="322">
        <f t="shared" si="113"/>
        <v>0</v>
      </c>
      <c r="X25" s="320">
        <v>0</v>
      </c>
      <c r="Y25" s="320">
        <f>SUM(Y19:Y24)</f>
        <v>0</v>
      </c>
      <c r="Z25" s="322">
        <f t="shared" si="114"/>
        <v>0</v>
      </c>
      <c r="AA25" s="320">
        <f>SUM(AA19:AA24)</f>
        <v>0</v>
      </c>
      <c r="AB25" s="322">
        <f t="shared" si="115"/>
        <v>0</v>
      </c>
      <c r="AC25" s="320">
        <v>0</v>
      </c>
      <c r="AD25" s="320">
        <f>SUM(AD19:AD24)</f>
        <v>0</v>
      </c>
      <c r="AE25" s="322">
        <f t="shared" si="116"/>
        <v>0</v>
      </c>
      <c r="AF25" s="320">
        <f>SUM(AF19:AF24)</f>
        <v>0</v>
      </c>
      <c r="AG25" s="322">
        <f t="shared" si="117"/>
        <v>0</v>
      </c>
      <c r="AH25" s="320">
        <v>0</v>
      </c>
      <c r="AI25" s="320">
        <f>SUM(AI19:AI24)</f>
        <v>0</v>
      </c>
      <c r="AJ25" s="322">
        <f t="shared" si="118"/>
        <v>0</v>
      </c>
      <c r="AK25" s="320">
        <f>SUM(AK19:AK24)</f>
        <v>0</v>
      </c>
      <c r="AL25" s="322">
        <f t="shared" si="119"/>
        <v>0</v>
      </c>
      <c r="AM25" s="320">
        <v>0</v>
      </c>
      <c r="AN25" s="320">
        <f>SUM(AN19:AN24)</f>
        <v>0</v>
      </c>
      <c r="AO25" s="322">
        <f t="shared" si="120"/>
        <v>0</v>
      </c>
      <c r="AP25" s="320">
        <f>SUM(AP19:AP24)</f>
        <v>0</v>
      </c>
      <c r="AQ25" s="322">
        <f t="shared" si="122"/>
        <v>0</v>
      </c>
      <c r="AR25" s="320">
        <v>0</v>
      </c>
      <c r="AS25" s="320">
        <f>SUM(AS19:AS24)</f>
        <v>0</v>
      </c>
      <c r="AT25" s="322">
        <f t="shared" si="123"/>
        <v>0</v>
      </c>
      <c r="AU25" s="320">
        <f>SUM(AU19:AU24)</f>
        <v>0</v>
      </c>
      <c r="AV25" s="322">
        <f t="shared" si="124"/>
        <v>0</v>
      </c>
      <c r="AW25" s="320">
        <v>0</v>
      </c>
      <c r="AX25" s="320">
        <f>SUM(AX19:AX24)</f>
        <v>0</v>
      </c>
      <c r="AY25" s="322">
        <f t="shared" si="125"/>
        <v>0</v>
      </c>
      <c r="AZ25" s="320">
        <f>SUM(AZ19:AZ24)</f>
        <v>0</v>
      </c>
      <c r="BA25" s="322">
        <f t="shared" si="126"/>
        <v>0</v>
      </c>
      <c r="BB25" s="320">
        <v>0</v>
      </c>
      <c r="BC25" s="320">
        <f>SUM(BC19:BC24)</f>
        <v>0</v>
      </c>
      <c r="BD25" s="322">
        <f t="shared" si="127"/>
        <v>0</v>
      </c>
      <c r="BE25" s="320">
        <f>SUM(BE19:BE24)</f>
        <v>0</v>
      </c>
      <c r="BF25" s="322">
        <f t="shared" si="128"/>
        <v>0</v>
      </c>
      <c r="BG25" s="320">
        <v>0</v>
      </c>
      <c r="BH25" s="320">
        <f>SUM(BH19:BH24)</f>
        <v>0</v>
      </c>
      <c r="BI25" s="322">
        <f t="shared" si="129"/>
        <v>0</v>
      </c>
      <c r="BJ25" s="320">
        <f>SUM(BJ19:BJ24)</f>
        <v>0</v>
      </c>
      <c r="BK25" s="322">
        <f t="shared" si="130"/>
        <v>0</v>
      </c>
      <c r="BL25" s="320">
        <v>0</v>
      </c>
      <c r="BM25" s="320">
        <f>SUM(BM19:BM24)</f>
        <v>0</v>
      </c>
      <c r="BN25" s="322">
        <f t="shared" si="131"/>
        <v>0</v>
      </c>
      <c r="BO25" s="320">
        <f>SUM(BO19:BO24)</f>
        <v>0</v>
      </c>
      <c r="BP25" s="322">
        <f t="shared" si="132"/>
        <v>0</v>
      </c>
      <c r="BQ25" s="320">
        <v>0</v>
      </c>
      <c r="BR25" s="320">
        <f>SUM(BR19:BR24)</f>
        <v>0</v>
      </c>
      <c r="BS25" s="322">
        <f t="shared" si="133"/>
        <v>0</v>
      </c>
      <c r="BT25" s="320">
        <f>SUM(BT19:BT24)</f>
        <v>0</v>
      </c>
      <c r="BU25" s="322">
        <f t="shared" si="134"/>
        <v>0</v>
      </c>
      <c r="BV25" s="320">
        <v>0</v>
      </c>
      <c r="BW25" s="320">
        <f>SUM(BW19:BW24)</f>
        <v>0</v>
      </c>
      <c r="BX25" s="322">
        <f t="shared" si="135"/>
        <v>0</v>
      </c>
      <c r="BY25" s="320">
        <f>SUM(BY19:BY24)</f>
        <v>0</v>
      </c>
      <c r="BZ25" s="322">
        <f t="shared" si="136"/>
        <v>0</v>
      </c>
      <c r="CA25" s="320">
        <v>0</v>
      </c>
      <c r="CB25" s="320">
        <f>SUM(CB19:CB24)</f>
        <v>0</v>
      </c>
      <c r="CC25" s="322">
        <f t="shared" si="137"/>
        <v>0</v>
      </c>
      <c r="CD25" s="320">
        <f>SUM(CD19:CD24)</f>
        <v>0</v>
      </c>
      <c r="CE25" s="322">
        <f t="shared" si="138"/>
        <v>0</v>
      </c>
      <c r="CF25" s="320">
        <v>0</v>
      </c>
      <c r="CG25" s="320">
        <f>AN25+BH25+CB25</f>
        <v>0</v>
      </c>
      <c r="CH25" s="322">
        <f t="shared" si="140"/>
        <v>0</v>
      </c>
      <c r="CI25" s="320">
        <f t="shared" si="141"/>
        <v>0</v>
      </c>
      <c r="CJ25" s="322">
        <f t="shared" si="142"/>
        <v>0</v>
      </c>
    </row>
    <row r="26" spans="1:88" ht="14.65" thickBo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</row>
    <row r="27" spans="1:88">
      <c r="A27" s="66" t="s">
        <v>98</v>
      </c>
      <c r="B27" s="66" t="s">
        <v>149</v>
      </c>
      <c r="C27" s="66"/>
      <c r="D27" s="288" t="s">
        <v>151</v>
      </c>
      <c r="E27" s="289" t="s">
        <v>122</v>
      </c>
      <c r="F27" s="289" t="s">
        <v>33</v>
      </c>
      <c r="G27" s="289" t="s">
        <v>34</v>
      </c>
      <c r="H27" s="290" t="s">
        <v>35</v>
      </c>
      <c r="I27" s="288" t="s">
        <v>151</v>
      </c>
      <c r="J27" s="289" t="s">
        <v>122</v>
      </c>
      <c r="K27" s="289" t="s">
        <v>33</v>
      </c>
      <c r="L27" s="289" t="s">
        <v>34</v>
      </c>
      <c r="M27" s="290" t="s">
        <v>35</v>
      </c>
      <c r="N27" s="288" t="s">
        <v>151</v>
      </c>
      <c r="O27" s="289" t="s">
        <v>122</v>
      </c>
      <c r="P27" s="289" t="s">
        <v>33</v>
      </c>
      <c r="Q27" s="289" t="s">
        <v>34</v>
      </c>
      <c r="R27" s="290" t="s">
        <v>35</v>
      </c>
      <c r="S27" s="288" t="s">
        <v>151</v>
      </c>
      <c r="T27" s="289" t="s">
        <v>122</v>
      </c>
      <c r="U27" s="289" t="s">
        <v>33</v>
      </c>
      <c r="V27" s="289" t="s">
        <v>34</v>
      </c>
      <c r="W27" s="290" t="s">
        <v>35</v>
      </c>
      <c r="X27" s="288" t="s">
        <v>151</v>
      </c>
      <c r="Y27" s="289" t="s">
        <v>122</v>
      </c>
      <c r="Z27" s="289" t="s">
        <v>33</v>
      </c>
      <c r="AA27" s="289" t="s">
        <v>34</v>
      </c>
      <c r="AB27" s="290" t="s">
        <v>35</v>
      </c>
      <c r="AC27" s="288" t="s">
        <v>151</v>
      </c>
      <c r="AD27" s="289" t="s">
        <v>122</v>
      </c>
      <c r="AE27" s="289" t="s">
        <v>33</v>
      </c>
      <c r="AF27" s="289" t="s">
        <v>34</v>
      </c>
      <c r="AG27" s="290" t="s">
        <v>35</v>
      </c>
      <c r="AH27" s="288" t="s">
        <v>151</v>
      </c>
      <c r="AI27" s="289" t="s">
        <v>122</v>
      </c>
      <c r="AJ27" s="289" t="s">
        <v>33</v>
      </c>
      <c r="AK27" s="289" t="s">
        <v>34</v>
      </c>
      <c r="AL27" s="290" t="s">
        <v>35</v>
      </c>
      <c r="AM27" s="288" t="s">
        <v>151</v>
      </c>
      <c r="AN27" s="289" t="s">
        <v>122</v>
      </c>
      <c r="AO27" s="289" t="s">
        <v>33</v>
      </c>
      <c r="AP27" s="289" t="s">
        <v>34</v>
      </c>
      <c r="AQ27" s="290" t="s">
        <v>35</v>
      </c>
      <c r="AR27" s="288" t="s">
        <v>151</v>
      </c>
      <c r="AS27" s="289" t="s">
        <v>122</v>
      </c>
      <c r="AT27" s="289" t="s">
        <v>33</v>
      </c>
      <c r="AU27" s="289" t="s">
        <v>34</v>
      </c>
      <c r="AV27" s="290" t="s">
        <v>35</v>
      </c>
      <c r="AW27" s="288" t="s">
        <v>151</v>
      </c>
      <c r="AX27" s="289" t="s">
        <v>122</v>
      </c>
      <c r="AY27" s="289" t="s">
        <v>33</v>
      </c>
      <c r="AZ27" s="289" t="s">
        <v>34</v>
      </c>
      <c r="BA27" s="290" t="s">
        <v>35</v>
      </c>
      <c r="BB27" s="288" t="s">
        <v>151</v>
      </c>
      <c r="BC27" s="289" t="s">
        <v>122</v>
      </c>
      <c r="BD27" s="289" t="s">
        <v>33</v>
      </c>
      <c r="BE27" s="289" t="s">
        <v>34</v>
      </c>
      <c r="BF27" s="290" t="s">
        <v>35</v>
      </c>
      <c r="BG27" s="288" t="s">
        <v>151</v>
      </c>
      <c r="BH27" s="289" t="s">
        <v>122</v>
      </c>
      <c r="BI27" s="289" t="s">
        <v>33</v>
      </c>
      <c r="BJ27" s="289" t="s">
        <v>34</v>
      </c>
      <c r="BK27" s="290" t="s">
        <v>35</v>
      </c>
      <c r="BL27" s="288" t="s">
        <v>151</v>
      </c>
      <c r="BM27" s="289" t="s">
        <v>122</v>
      </c>
      <c r="BN27" s="289" t="s">
        <v>33</v>
      </c>
      <c r="BO27" s="289" t="s">
        <v>34</v>
      </c>
      <c r="BP27" s="290" t="s">
        <v>35</v>
      </c>
      <c r="BQ27" s="288" t="s">
        <v>151</v>
      </c>
      <c r="BR27" s="289" t="s">
        <v>122</v>
      </c>
      <c r="BS27" s="289" t="s">
        <v>33</v>
      </c>
      <c r="BT27" s="289" t="s">
        <v>34</v>
      </c>
      <c r="BU27" s="290" t="s">
        <v>35</v>
      </c>
      <c r="BV27" s="288" t="s">
        <v>151</v>
      </c>
      <c r="BW27" s="289" t="s">
        <v>122</v>
      </c>
      <c r="BX27" s="289" t="s">
        <v>33</v>
      </c>
      <c r="BY27" s="289" t="s">
        <v>34</v>
      </c>
      <c r="BZ27" s="290" t="s">
        <v>35</v>
      </c>
      <c r="CA27" s="288" t="s">
        <v>151</v>
      </c>
      <c r="CB27" s="289" t="s">
        <v>122</v>
      </c>
      <c r="CC27" s="289" t="s">
        <v>33</v>
      </c>
      <c r="CD27" s="289" t="s">
        <v>34</v>
      </c>
      <c r="CE27" s="290" t="s">
        <v>35</v>
      </c>
      <c r="CF27" s="288" t="s">
        <v>151</v>
      </c>
      <c r="CG27" s="289" t="s">
        <v>122</v>
      </c>
      <c r="CH27" s="289" t="s">
        <v>33</v>
      </c>
      <c r="CI27" s="289" t="s">
        <v>34</v>
      </c>
      <c r="CJ27" s="290" t="s">
        <v>35</v>
      </c>
    </row>
    <row r="28" spans="1:88">
      <c r="A28" s="67" t="s">
        <v>125</v>
      </c>
      <c r="B28" s="465" t="s">
        <v>165</v>
      </c>
      <c r="C28" s="291">
        <v>44307</v>
      </c>
      <c r="D28" s="292"/>
      <c r="E28" s="326"/>
      <c r="F28" s="332">
        <f t="shared" ref="F28:F34" si="143">IFERROR(D28/E28,0)</f>
        <v>0</v>
      </c>
      <c r="G28" s="326"/>
      <c r="H28" s="332">
        <f t="shared" ref="H28:H34" si="144">IFERROR(G28/E28,0)</f>
        <v>0</v>
      </c>
      <c r="I28" s="292"/>
      <c r="J28" s="326"/>
      <c r="K28" s="332">
        <f t="shared" ref="K28:K34" si="145">IFERROR(I28/J28,0)</f>
        <v>0</v>
      </c>
      <c r="L28" s="326"/>
      <c r="M28" s="332">
        <f t="shared" ref="M28:M34" si="146">IFERROR(L28/J28,0)</f>
        <v>0</v>
      </c>
      <c r="N28" s="292"/>
      <c r="O28" s="326"/>
      <c r="P28" s="332">
        <f t="shared" ref="P28:P34" si="147">IFERROR(N28/O28,0)</f>
        <v>0</v>
      </c>
      <c r="Q28" s="326"/>
      <c r="R28" s="332">
        <f t="shared" ref="R28:R34" si="148">IFERROR(Q28/O28,0)</f>
        <v>0</v>
      </c>
      <c r="S28" s="328"/>
      <c r="T28" s="328">
        <f t="shared" ref="T28:T33" si="149">E28+J28+O28</f>
        <v>0</v>
      </c>
      <c r="U28" s="333">
        <f t="shared" ref="U28:U34" si="150">IFERROR(S28/T28,0)</f>
        <v>0</v>
      </c>
      <c r="V28" s="295">
        <f t="shared" ref="V28:V33" si="151">G28+L28+Q28</f>
        <v>0</v>
      </c>
      <c r="W28" s="333">
        <f t="shared" ref="W28:W34" si="152">IFERROR(V28/T28,0)</f>
        <v>0</v>
      </c>
      <c r="X28" s="353">
        <v>5362</v>
      </c>
      <c r="Y28" s="326"/>
      <c r="Z28" s="332">
        <f t="shared" ref="Z28:Z34" si="153">IFERROR(X28/Y28,0)</f>
        <v>0</v>
      </c>
      <c r="AA28" s="230">
        <f t="shared" ref="AA28" ca="1" si="154">X28+RANDBETWEEN(1000,10000)</f>
        <v>15068</v>
      </c>
      <c r="AB28" s="332">
        <f t="shared" ref="AB28:AB34" ca="1" si="155">IFERROR(AA28/Y28,0)</f>
        <v>0</v>
      </c>
      <c r="AC28" s="353">
        <v>2066</v>
      </c>
      <c r="AD28" s="326"/>
      <c r="AE28" s="332">
        <f t="shared" ref="AE28:AE34" si="156">IFERROR(AC28/AD28,0)</f>
        <v>0</v>
      </c>
      <c r="AF28" s="230">
        <f t="shared" ref="AF28" ca="1" si="157">AC28+RANDBETWEEN(1000,10000)</f>
        <v>11356</v>
      </c>
      <c r="AG28" s="332">
        <f t="shared" ref="AG28:AG34" ca="1" si="158">IFERROR(AF28/AD28,0)</f>
        <v>0</v>
      </c>
      <c r="AH28" s="353">
        <v>2236</v>
      </c>
      <c r="AI28" s="326"/>
      <c r="AJ28" s="332">
        <f t="shared" ref="AJ28:AJ34" si="159">IFERROR(AH28/AI28,0)</f>
        <v>0</v>
      </c>
      <c r="AK28" s="230">
        <f t="shared" ref="AK28" ca="1" si="160">AH28+RANDBETWEEN(1000,10000)</f>
        <v>3975</v>
      </c>
      <c r="AL28" s="332">
        <f t="shared" ref="AL28:AL34" ca="1" si="161">IFERROR(AK28/AI28,0)</f>
        <v>0</v>
      </c>
      <c r="AM28" s="328"/>
      <c r="AN28" s="328">
        <f t="shared" ref="AN28:AN33" si="162">Y28+AD28+AI28</f>
        <v>0</v>
      </c>
      <c r="AO28" s="333">
        <f t="shared" ref="AO28:AO34" si="163">IFERROR(AM28/AN28,0)</f>
        <v>0</v>
      </c>
      <c r="AP28" s="295">
        <f t="shared" ref="AP28:AP33" ca="1" si="164">AA28+AF28+AK28</f>
        <v>30399</v>
      </c>
      <c r="AQ28" s="333">
        <f t="shared" ref="AQ28:AQ34" ca="1" si="165">IFERROR(AP28/AN28,0)</f>
        <v>0</v>
      </c>
      <c r="AR28" s="353">
        <v>8939</v>
      </c>
      <c r="AS28" s="326"/>
      <c r="AT28" s="332">
        <f t="shared" ref="AT28:AT34" si="166">IFERROR(AR28/AS28,0)</f>
        <v>0</v>
      </c>
      <c r="AU28" s="230">
        <f t="shared" ref="AU28" ca="1" si="167">AR28+RANDBETWEEN(1000,10000)</f>
        <v>13560</v>
      </c>
      <c r="AV28" s="332">
        <f t="shared" ref="AV28:AV34" ca="1" si="168">IFERROR(AU28/AS28,0)</f>
        <v>0</v>
      </c>
      <c r="AW28" s="353">
        <v>5486</v>
      </c>
      <c r="AX28" s="326"/>
      <c r="AY28" s="332">
        <f t="shared" ref="AY28:AY34" si="169">IFERROR(AW28/AX28,0)</f>
        <v>0</v>
      </c>
      <c r="AZ28" s="230">
        <f t="shared" ref="AZ28" ca="1" si="170">AW28+RANDBETWEEN(1000,10000)</f>
        <v>9100</v>
      </c>
      <c r="BA28" s="332">
        <f t="shared" ref="BA28:BA34" ca="1" si="171">IFERROR(AZ28/AX28,0)</f>
        <v>0</v>
      </c>
      <c r="BB28" s="353">
        <v>2715</v>
      </c>
      <c r="BC28" s="326"/>
      <c r="BD28" s="332">
        <f t="shared" ref="BD28:BD34" si="172">IFERROR(BB28/BC28,0)</f>
        <v>0</v>
      </c>
      <c r="BE28" s="230">
        <f t="shared" ref="BE28" ca="1" si="173">BB28+RANDBETWEEN(1000,10000)</f>
        <v>7253</v>
      </c>
      <c r="BF28" s="332">
        <f t="shared" ref="BF28:BF34" ca="1" si="174">IFERROR(BE28/BC28,0)</f>
        <v>0</v>
      </c>
      <c r="BG28" s="328"/>
      <c r="BH28" s="328">
        <f t="shared" ref="BH28:BH33" si="175">AS28+AX28+BC28</f>
        <v>0</v>
      </c>
      <c r="BI28" s="333">
        <f t="shared" ref="BI28:BI34" si="176">IFERROR(BG28/BH28,0)</f>
        <v>0</v>
      </c>
      <c r="BJ28" s="295">
        <f t="shared" ref="BJ28:BJ33" ca="1" si="177">AU28+AZ28+BE28</f>
        <v>29913</v>
      </c>
      <c r="BK28" s="333">
        <f t="shared" ref="BK28:BK34" ca="1" si="178">IFERROR(BJ28/BH28,0)</f>
        <v>0</v>
      </c>
      <c r="BL28" s="353">
        <v>3089</v>
      </c>
      <c r="BM28" s="326"/>
      <c r="BN28" s="332">
        <f t="shared" ref="BN28:BN34" si="179">IFERROR(BL28/BM28,0)</f>
        <v>0</v>
      </c>
      <c r="BO28" s="230">
        <f t="shared" ref="BO28" ca="1" si="180">BL28+RANDBETWEEN(1000,10000)</f>
        <v>10182</v>
      </c>
      <c r="BP28" s="332">
        <f t="shared" ref="BP28:BP34" ca="1" si="181">IFERROR(BO28/BM28,0)</f>
        <v>0</v>
      </c>
      <c r="BQ28" s="353">
        <v>6649</v>
      </c>
      <c r="BR28" s="326"/>
      <c r="BS28" s="332">
        <f t="shared" ref="BS28:BS34" si="182">IFERROR(BQ28/BR28,0)</f>
        <v>0</v>
      </c>
      <c r="BT28" s="230">
        <f t="shared" ref="BT28" ca="1" si="183">BQ28+RANDBETWEEN(1000,10000)</f>
        <v>8889</v>
      </c>
      <c r="BU28" s="332">
        <f t="shared" ref="BU28:BU34" ca="1" si="184">IFERROR(BT28/BR28,0)</f>
        <v>0</v>
      </c>
      <c r="BV28" s="353">
        <v>6940</v>
      </c>
      <c r="BW28" s="326"/>
      <c r="BX28" s="332">
        <f t="shared" ref="BX28:BX34" si="185">IFERROR(BV28/BW28,0)</f>
        <v>0</v>
      </c>
      <c r="BY28" s="230">
        <f t="shared" ref="BY28" ca="1" si="186">BV28+RANDBETWEEN(1000,10000)</f>
        <v>13754</v>
      </c>
      <c r="BZ28" s="332">
        <f t="shared" ref="BZ28:BZ34" ca="1" si="187">IFERROR(BY28/BW28,0)</f>
        <v>0</v>
      </c>
      <c r="CA28" s="328"/>
      <c r="CB28" s="328">
        <f t="shared" ref="CB28:CB33" si="188">BM28+BR28+BW28</f>
        <v>0</v>
      </c>
      <c r="CC28" s="333">
        <f t="shared" ref="CC28:CC34" si="189">IFERROR(CA28/CB28,0)</f>
        <v>0</v>
      </c>
      <c r="CD28" s="295">
        <f t="shared" ref="CD28:CD33" ca="1" si="190">BO28+BT28+BY28</f>
        <v>32825</v>
      </c>
      <c r="CE28" s="333">
        <f t="shared" ref="CE28:CE34" ca="1" si="191">IFERROR(CD28/CB28,0)</f>
        <v>0</v>
      </c>
      <c r="CF28" s="297"/>
      <c r="CG28" s="297">
        <f t="shared" ref="CG28:CG33" si="192">AN28+BH28+CB28</f>
        <v>0</v>
      </c>
      <c r="CH28" s="334">
        <f t="shared" ref="CH28:CH34" si="193">IFERROR(CF28/CG28,0)</f>
        <v>0</v>
      </c>
      <c r="CI28" s="295">
        <f t="shared" ref="CI28:CI34" ca="1" si="194">AP28+BJ28+CD28</f>
        <v>93137</v>
      </c>
      <c r="CJ28" s="335">
        <f t="shared" ref="CJ28:CJ34" ca="1" si="195">IFERROR(CI28/CG28,0)</f>
        <v>0</v>
      </c>
    </row>
    <row r="29" spans="1:88">
      <c r="A29" s="67"/>
      <c r="B29" s="68"/>
      <c r="C29" s="300"/>
      <c r="D29" s="292"/>
      <c r="E29" s="326"/>
      <c r="F29" s="332">
        <f t="shared" si="143"/>
        <v>0</v>
      </c>
      <c r="G29" s="326"/>
      <c r="H29" s="332">
        <f t="shared" si="144"/>
        <v>0</v>
      </c>
      <c r="I29" s="292"/>
      <c r="J29" s="326"/>
      <c r="K29" s="332">
        <f t="shared" si="145"/>
        <v>0</v>
      </c>
      <c r="L29" s="326"/>
      <c r="M29" s="332">
        <f t="shared" si="146"/>
        <v>0</v>
      </c>
      <c r="N29" s="292"/>
      <c r="O29" s="326"/>
      <c r="P29" s="332">
        <f t="shared" si="147"/>
        <v>0</v>
      </c>
      <c r="Q29" s="326"/>
      <c r="R29" s="332">
        <f t="shared" si="148"/>
        <v>0</v>
      </c>
      <c r="S29" s="328"/>
      <c r="T29" s="328">
        <f t="shared" si="149"/>
        <v>0</v>
      </c>
      <c r="U29" s="333">
        <f t="shared" si="150"/>
        <v>0</v>
      </c>
      <c r="V29" s="295">
        <f t="shared" si="151"/>
        <v>0</v>
      </c>
      <c r="W29" s="333">
        <f t="shared" si="152"/>
        <v>0</v>
      </c>
      <c r="X29" s="292"/>
      <c r="Y29" s="326"/>
      <c r="Z29" s="332">
        <f t="shared" si="153"/>
        <v>0</v>
      </c>
      <c r="AA29" s="326"/>
      <c r="AB29" s="332">
        <f t="shared" si="155"/>
        <v>0</v>
      </c>
      <c r="AC29" s="292"/>
      <c r="AD29" s="326"/>
      <c r="AE29" s="332">
        <f t="shared" si="156"/>
        <v>0</v>
      </c>
      <c r="AF29" s="326"/>
      <c r="AG29" s="332">
        <f t="shared" si="158"/>
        <v>0</v>
      </c>
      <c r="AH29" s="292"/>
      <c r="AI29" s="326"/>
      <c r="AJ29" s="332">
        <f t="shared" si="159"/>
        <v>0</v>
      </c>
      <c r="AK29" s="326"/>
      <c r="AL29" s="332">
        <f t="shared" si="161"/>
        <v>0</v>
      </c>
      <c r="AM29" s="328"/>
      <c r="AN29" s="328">
        <f t="shared" si="162"/>
        <v>0</v>
      </c>
      <c r="AO29" s="333">
        <f t="shared" si="163"/>
        <v>0</v>
      </c>
      <c r="AP29" s="295">
        <f t="shared" si="164"/>
        <v>0</v>
      </c>
      <c r="AQ29" s="333">
        <f t="shared" si="165"/>
        <v>0</v>
      </c>
      <c r="AR29" s="292"/>
      <c r="AS29" s="326"/>
      <c r="AT29" s="332">
        <f t="shared" si="166"/>
        <v>0</v>
      </c>
      <c r="AU29" s="326"/>
      <c r="AV29" s="332">
        <f t="shared" si="168"/>
        <v>0</v>
      </c>
      <c r="AW29" s="292"/>
      <c r="AX29" s="326"/>
      <c r="AY29" s="332">
        <f t="shared" si="169"/>
        <v>0</v>
      </c>
      <c r="AZ29" s="326"/>
      <c r="BA29" s="332">
        <f t="shared" si="171"/>
        <v>0</v>
      </c>
      <c r="BB29" s="292"/>
      <c r="BC29" s="326"/>
      <c r="BD29" s="332">
        <f t="shared" si="172"/>
        <v>0</v>
      </c>
      <c r="BE29" s="326"/>
      <c r="BF29" s="332">
        <f t="shared" si="174"/>
        <v>0</v>
      </c>
      <c r="BG29" s="328"/>
      <c r="BH29" s="328">
        <f t="shared" si="175"/>
        <v>0</v>
      </c>
      <c r="BI29" s="333">
        <f t="shared" si="176"/>
        <v>0</v>
      </c>
      <c r="BJ29" s="295">
        <f t="shared" si="177"/>
        <v>0</v>
      </c>
      <c r="BK29" s="333">
        <f t="shared" si="178"/>
        <v>0</v>
      </c>
      <c r="BL29" s="292"/>
      <c r="BM29" s="326"/>
      <c r="BN29" s="332">
        <f t="shared" si="179"/>
        <v>0</v>
      </c>
      <c r="BO29" s="326"/>
      <c r="BP29" s="332">
        <f t="shared" si="181"/>
        <v>0</v>
      </c>
      <c r="BQ29" s="292"/>
      <c r="BR29" s="326"/>
      <c r="BS29" s="332">
        <f t="shared" si="182"/>
        <v>0</v>
      </c>
      <c r="BT29" s="326"/>
      <c r="BU29" s="332">
        <f t="shared" si="184"/>
        <v>0</v>
      </c>
      <c r="BV29" s="292"/>
      <c r="BW29" s="326"/>
      <c r="BX29" s="332">
        <f t="shared" si="185"/>
        <v>0</v>
      </c>
      <c r="BY29" s="326"/>
      <c r="BZ29" s="332">
        <f t="shared" si="187"/>
        <v>0</v>
      </c>
      <c r="CA29" s="328"/>
      <c r="CB29" s="328">
        <f t="shared" si="188"/>
        <v>0</v>
      </c>
      <c r="CC29" s="333">
        <f t="shared" si="189"/>
        <v>0</v>
      </c>
      <c r="CD29" s="295">
        <f t="shared" si="190"/>
        <v>0</v>
      </c>
      <c r="CE29" s="333">
        <f t="shared" si="191"/>
        <v>0</v>
      </c>
      <c r="CF29" s="297"/>
      <c r="CG29" s="297">
        <f t="shared" si="192"/>
        <v>0</v>
      </c>
      <c r="CH29" s="334">
        <f t="shared" si="193"/>
        <v>0</v>
      </c>
      <c r="CI29" s="295">
        <f t="shared" si="194"/>
        <v>0</v>
      </c>
      <c r="CJ29" s="335">
        <f t="shared" si="195"/>
        <v>0</v>
      </c>
    </row>
    <row r="30" spans="1:88">
      <c r="A30" s="67"/>
      <c r="B30" s="68"/>
      <c r="C30" s="300"/>
      <c r="D30" s="292"/>
      <c r="E30" s="326"/>
      <c r="F30" s="332">
        <f t="shared" si="143"/>
        <v>0</v>
      </c>
      <c r="G30" s="326"/>
      <c r="H30" s="332">
        <f t="shared" si="144"/>
        <v>0</v>
      </c>
      <c r="I30" s="292"/>
      <c r="J30" s="326"/>
      <c r="K30" s="332">
        <f t="shared" si="145"/>
        <v>0</v>
      </c>
      <c r="L30" s="326"/>
      <c r="M30" s="332">
        <f t="shared" si="146"/>
        <v>0</v>
      </c>
      <c r="N30" s="292"/>
      <c r="O30" s="326"/>
      <c r="P30" s="332">
        <f t="shared" si="147"/>
        <v>0</v>
      </c>
      <c r="Q30" s="326"/>
      <c r="R30" s="332">
        <f t="shared" si="148"/>
        <v>0</v>
      </c>
      <c r="S30" s="328"/>
      <c r="T30" s="328">
        <f t="shared" si="149"/>
        <v>0</v>
      </c>
      <c r="U30" s="333">
        <f t="shared" si="150"/>
        <v>0</v>
      </c>
      <c r="V30" s="295">
        <f t="shared" si="151"/>
        <v>0</v>
      </c>
      <c r="W30" s="333">
        <f t="shared" si="152"/>
        <v>0</v>
      </c>
      <c r="X30" s="292"/>
      <c r="Y30" s="326"/>
      <c r="Z30" s="332">
        <f t="shared" si="153"/>
        <v>0</v>
      </c>
      <c r="AA30" s="326"/>
      <c r="AB30" s="332">
        <f t="shared" si="155"/>
        <v>0</v>
      </c>
      <c r="AC30" s="292"/>
      <c r="AD30" s="326"/>
      <c r="AE30" s="332">
        <f t="shared" si="156"/>
        <v>0</v>
      </c>
      <c r="AF30" s="326"/>
      <c r="AG30" s="332">
        <f t="shared" si="158"/>
        <v>0</v>
      </c>
      <c r="AH30" s="292"/>
      <c r="AI30" s="326"/>
      <c r="AJ30" s="332">
        <f t="shared" si="159"/>
        <v>0</v>
      </c>
      <c r="AK30" s="326"/>
      <c r="AL30" s="332">
        <f t="shared" si="161"/>
        <v>0</v>
      </c>
      <c r="AM30" s="328"/>
      <c r="AN30" s="328">
        <f t="shared" si="162"/>
        <v>0</v>
      </c>
      <c r="AO30" s="333">
        <f t="shared" si="163"/>
        <v>0</v>
      </c>
      <c r="AP30" s="295">
        <f t="shared" si="164"/>
        <v>0</v>
      </c>
      <c r="AQ30" s="333">
        <f t="shared" si="165"/>
        <v>0</v>
      </c>
      <c r="AR30" s="292"/>
      <c r="AS30" s="326"/>
      <c r="AT30" s="332">
        <f t="shared" si="166"/>
        <v>0</v>
      </c>
      <c r="AU30" s="326"/>
      <c r="AV30" s="332">
        <f t="shared" si="168"/>
        <v>0</v>
      </c>
      <c r="AW30" s="292"/>
      <c r="AX30" s="326"/>
      <c r="AY30" s="332">
        <f t="shared" si="169"/>
        <v>0</v>
      </c>
      <c r="AZ30" s="326"/>
      <c r="BA30" s="332">
        <f t="shared" si="171"/>
        <v>0</v>
      </c>
      <c r="BB30" s="292"/>
      <c r="BC30" s="326"/>
      <c r="BD30" s="332">
        <f t="shared" si="172"/>
        <v>0</v>
      </c>
      <c r="BE30" s="326"/>
      <c r="BF30" s="332">
        <f t="shared" si="174"/>
        <v>0</v>
      </c>
      <c r="BG30" s="328"/>
      <c r="BH30" s="328">
        <f t="shared" si="175"/>
        <v>0</v>
      </c>
      <c r="BI30" s="333">
        <f t="shared" si="176"/>
        <v>0</v>
      </c>
      <c r="BJ30" s="295">
        <f t="shared" si="177"/>
        <v>0</v>
      </c>
      <c r="BK30" s="333">
        <f t="shared" si="178"/>
        <v>0</v>
      </c>
      <c r="BL30" s="292"/>
      <c r="BM30" s="326"/>
      <c r="BN30" s="332">
        <f t="shared" si="179"/>
        <v>0</v>
      </c>
      <c r="BO30" s="326"/>
      <c r="BP30" s="332">
        <f t="shared" si="181"/>
        <v>0</v>
      </c>
      <c r="BQ30" s="292"/>
      <c r="BR30" s="326"/>
      <c r="BS30" s="332">
        <f t="shared" si="182"/>
        <v>0</v>
      </c>
      <c r="BT30" s="326"/>
      <c r="BU30" s="332">
        <f t="shared" si="184"/>
        <v>0</v>
      </c>
      <c r="BV30" s="292"/>
      <c r="BW30" s="326"/>
      <c r="BX30" s="332">
        <f t="shared" si="185"/>
        <v>0</v>
      </c>
      <c r="BY30" s="326"/>
      <c r="BZ30" s="332">
        <f t="shared" si="187"/>
        <v>0</v>
      </c>
      <c r="CA30" s="328"/>
      <c r="CB30" s="328">
        <f t="shared" si="188"/>
        <v>0</v>
      </c>
      <c r="CC30" s="333">
        <f t="shared" si="189"/>
        <v>0</v>
      </c>
      <c r="CD30" s="295">
        <f t="shared" si="190"/>
        <v>0</v>
      </c>
      <c r="CE30" s="333">
        <f t="shared" si="191"/>
        <v>0</v>
      </c>
      <c r="CF30" s="297"/>
      <c r="CG30" s="297">
        <f t="shared" si="192"/>
        <v>0</v>
      </c>
      <c r="CH30" s="334">
        <f t="shared" si="193"/>
        <v>0</v>
      </c>
      <c r="CI30" s="295">
        <f t="shared" si="194"/>
        <v>0</v>
      </c>
      <c r="CJ30" s="335">
        <f t="shared" si="195"/>
        <v>0</v>
      </c>
    </row>
    <row r="31" spans="1:88">
      <c r="A31" s="67"/>
      <c r="B31" s="68"/>
      <c r="C31" s="300"/>
      <c r="D31" s="292"/>
      <c r="E31" s="326"/>
      <c r="F31" s="332">
        <f t="shared" si="143"/>
        <v>0</v>
      </c>
      <c r="G31" s="326"/>
      <c r="H31" s="332">
        <f t="shared" si="144"/>
        <v>0</v>
      </c>
      <c r="I31" s="292"/>
      <c r="J31" s="326"/>
      <c r="K31" s="332">
        <f t="shared" si="145"/>
        <v>0</v>
      </c>
      <c r="L31" s="326"/>
      <c r="M31" s="332">
        <f t="shared" si="146"/>
        <v>0</v>
      </c>
      <c r="N31" s="292"/>
      <c r="O31" s="326"/>
      <c r="P31" s="332">
        <f t="shared" si="147"/>
        <v>0</v>
      </c>
      <c r="Q31" s="326"/>
      <c r="R31" s="332">
        <f t="shared" si="148"/>
        <v>0</v>
      </c>
      <c r="S31" s="328"/>
      <c r="T31" s="328">
        <f t="shared" si="149"/>
        <v>0</v>
      </c>
      <c r="U31" s="333">
        <f t="shared" si="150"/>
        <v>0</v>
      </c>
      <c r="V31" s="295">
        <f t="shared" si="151"/>
        <v>0</v>
      </c>
      <c r="W31" s="333">
        <f t="shared" si="152"/>
        <v>0</v>
      </c>
      <c r="X31" s="292"/>
      <c r="Y31" s="326"/>
      <c r="Z31" s="332">
        <f t="shared" si="153"/>
        <v>0</v>
      </c>
      <c r="AA31" s="326"/>
      <c r="AB31" s="332">
        <f t="shared" si="155"/>
        <v>0</v>
      </c>
      <c r="AC31" s="292"/>
      <c r="AD31" s="326"/>
      <c r="AE31" s="332">
        <f t="shared" si="156"/>
        <v>0</v>
      </c>
      <c r="AF31" s="326"/>
      <c r="AG31" s="332">
        <f t="shared" si="158"/>
        <v>0</v>
      </c>
      <c r="AH31" s="292"/>
      <c r="AI31" s="326"/>
      <c r="AJ31" s="332">
        <f t="shared" si="159"/>
        <v>0</v>
      </c>
      <c r="AK31" s="326"/>
      <c r="AL31" s="332">
        <f t="shared" si="161"/>
        <v>0</v>
      </c>
      <c r="AM31" s="328"/>
      <c r="AN31" s="328">
        <f t="shared" si="162"/>
        <v>0</v>
      </c>
      <c r="AO31" s="333">
        <f t="shared" si="163"/>
        <v>0</v>
      </c>
      <c r="AP31" s="295">
        <f t="shared" si="164"/>
        <v>0</v>
      </c>
      <c r="AQ31" s="333">
        <f t="shared" si="165"/>
        <v>0</v>
      </c>
      <c r="AR31" s="292"/>
      <c r="AS31" s="326"/>
      <c r="AT31" s="332">
        <f t="shared" si="166"/>
        <v>0</v>
      </c>
      <c r="AU31" s="326"/>
      <c r="AV31" s="332">
        <f t="shared" si="168"/>
        <v>0</v>
      </c>
      <c r="AW31" s="292"/>
      <c r="AX31" s="326"/>
      <c r="AY31" s="332">
        <f t="shared" si="169"/>
        <v>0</v>
      </c>
      <c r="AZ31" s="326"/>
      <c r="BA31" s="332">
        <f t="shared" si="171"/>
        <v>0</v>
      </c>
      <c r="BB31" s="292"/>
      <c r="BC31" s="326"/>
      <c r="BD31" s="332">
        <f t="shared" si="172"/>
        <v>0</v>
      </c>
      <c r="BE31" s="326"/>
      <c r="BF31" s="332">
        <f t="shared" si="174"/>
        <v>0</v>
      </c>
      <c r="BG31" s="328"/>
      <c r="BH31" s="328">
        <f t="shared" si="175"/>
        <v>0</v>
      </c>
      <c r="BI31" s="333">
        <f t="shared" si="176"/>
        <v>0</v>
      </c>
      <c r="BJ31" s="295">
        <f t="shared" si="177"/>
        <v>0</v>
      </c>
      <c r="BK31" s="333">
        <f t="shared" si="178"/>
        <v>0</v>
      </c>
      <c r="BL31" s="292"/>
      <c r="BM31" s="326"/>
      <c r="BN31" s="332">
        <f t="shared" si="179"/>
        <v>0</v>
      </c>
      <c r="BO31" s="326"/>
      <c r="BP31" s="332">
        <f t="shared" si="181"/>
        <v>0</v>
      </c>
      <c r="BQ31" s="292"/>
      <c r="BR31" s="326"/>
      <c r="BS31" s="332">
        <f t="shared" si="182"/>
        <v>0</v>
      </c>
      <c r="BT31" s="326"/>
      <c r="BU31" s="332">
        <f t="shared" si="184"/>
        <v>0</v>
      </c>
      <c r="BV31" s="292"/>
      <c r="BW31" s="326"/>
      <c r="BX31" s="332">
        <f t="shared" si="185"/>
        <v>0</v>
      </c>
      <c r="BY31" s="326"/>
      <c r="BZ31" s="332">
        <f t="shared" si="187"/>
        <v>0</v>
      </c>
      <c r="CA31" s="328"/>
      <c r="CB31" s="328">
        <f t="shared" si="188"/>
        <v>0</v>
      </c>
      <c r="CC31" s="333">
        <f t="shared" si="189"/>
        <v>0</v>
      </c>
      <c r="CD31" s="295">
        <f t="shared" si="190"/>
        <v>0</v>
      </c>
      <c r="CE31" s="333">
        <f t="shared" si="191"/>
        <v>0</v>
      </c>
      <c r="CF31" s="297"/>
      <c r="CG31" s="297">
        <f t="shared" si="192"/>
        <v>0</v>
      </c>
      <c r="CH31" s="334">
        <f t="shared" si="193"/>
        <v>0</v>
      </c>
      <c r="CI31" s="295">
        <f t="shared" si="194"/>
        <v>0</v>
      </c>
      <c r="CJ31" s="335">
        <f t="shared" si="195"/>
        <v>0</v>
      </c>
    </row>
    <row r="32" spans="1:88">
      <c r="A32" s="67"/>
      <c r="B32" s="68"/>
      <c r="C32" s="300"/>
      <c r="D32" s="292"/>
      <c r="E32" s="326"/>
      <c r="F32" s="332">
        <f t="shared" ref="F32" si="196">IFERROR(D32/E32,0)</f>
        <v>0</v>
      </c>
      <c r="G32" s="326"/>
      <c r="H32" s="332">
        <f t="shared" ref="H32" si="197">IFERROR(G32/E32,0)</f>
        <v>0</v>
      </c>
      <c r="I32" s="292"/>
      <c r="J32" s="326"/>
      <c r="K32" s="332">
        <f t="shared" ref="K32" si="198">IFERROR(I32/J32,0)</f>
        <v>0</v>
      </c>
      <c r="L32" s="326"/>
      <c r="M32" s="332">
        <f t="shared" ref="M32" si="199">IFERROR(L32/J32,0)</f>
        <v>0</v>
      </c>
      <c r="N32" s="292"/>
      <c r="O32" s="326"/>
      <c r="P32" s="332">
        <f t="shared" ref="P32" si="200">IFERROR(N32/O32,0)</f>
        <v>0</v>
      </c>
      <c r="Q32" s="326"/>
      <c r="R32" s="332">
        <f t="shared" ref="R32" si="201">IFERROR(Q32/O32,0)</f>
        <v>0</v>
      </c>
      <c r="S32" s="328"/>
      <c r="T32" s="328">
        <f t="shared" ref="T32" si="202">E32+J32+O32</f>
        <v>0</v>
      </c>
      <c r="U32" s="333">
        <f t="shared" ref="U32" si="203">IFERROR(S32/T32,0)</f>
        <v>0</v>
      </c>
      <c r="V32" s="295">
        <f t="shared" ref="V32" si="204">G32+L32+Q32</f>
        <v>0</v>
      </c>
      <c r="W32" s="333">
        <f t="shared" ref="W32" si="205">IFERROR(V32/T32,0)</f>
        <v>0</v>
      </c>
      <c r="X32" s="292"/>
      <c r="Y32" s="326"/>
      <c r="Z32" s="332">
        <f t="shared" ref="Z32" si="206">IFERROR(X32/Y32,0)</f>
        <v>0</v>
      </c>
      <c r="AA32" s="326"/>
      <c r="AB32" s="332">
        <f t="shared" ref="AB32" si="207">IFERROR(AA32/Y32,0)</f>
        <v>0</v>
      </c>
      <c r="AC32" s="292"/>
      <c r="AD32" s="326"/>
      <c r="AE32" s="332">
        <f t="shared" ref="AE32" si="208">IFERROR(AC32/AD32,0)</f>
        <v>0</v>
      </c>
      <c r="AF32" s="326"/>
      <c r="AG32" s="332">
        <f t="shared" ref="AG32" si="209">IFERROR(AF32/AD32,0)</f>
        <v>0</v>
      </c>
      <c r="AH32" s="292"/>
      <c r="AI32" s="326"/>
      <c r="AJ32" s="332">
        <f t="shared" ref="AJ32" si="210">IFERROR(AH32/AI32,0)</f>
        <v>0</v>
      </c>
      <c r="AK32" s="326"/>
      <c r="AL32" s="332">
        <f t="shared" ref="AL32" si="211">IFERROR(AK32/AI32,0)</f>
        <v>0</v>
      </c>
      <c r="AM32" s="328"/>
      <c r="AN32" s="328">
        <f t="shared" ref="AN32" si="212">Y32+AD32+AI32</f>
        <v>0</v>
      </c>
      <c r="AO32" s="333">
        <f t="shared" ref="AO32" si="213">IFERROR(AM32/AN32,0)</f>
        <v>0</v>
      </c>
      <c r="AP32" s="295">
        <f t="shared" ref="AP32" si="214">AA32+AF32+AK32</f>
        <v>0</v>
      </c>
      <c r="AQ32" s="333">
        <f t="shared" ref="AQ32" si="215">IFERROR(AP32/AN32,0)</f>
        <v>0</v>
      </c>
      <c r="AR32" s="292"/>
      <c r="AS32" s="326"/>
      <c r="AT32" s="332">
        <f t="shared" ref="AT32" si="216">IFERROR(AR32/AS32,0)</f>
        <v>0</v>
      </c>
      <c r="AU32" s="326"/>
      <c r="AV32" s="332">
        <f t="shared" ref="AV32" si="217">IFERROR(AU32/AS32,0)</f>
        <v>0</v>
      </c>
      <c r="AW32" s="292"/>
      <c r="AX32" s="326"/>
      <c r="AY32" s="332">
        <f t="shared" ref="AY32" si="218">IFERROR(AW32/AX32,0)</f>
        <v>0</v>
      </c>
      <c r="AZ32" s="326"/>
      <c r="BA32" s="332">
        <f t="shared" ref="BA32" si="219">IFERROR(AZ32/AX32,0)</f>
        <v>0</v>
      </c>
      <c r="BB32" s="292"/>
      <c r="BC32" s="326"/>
      <c r="BD32" s="332">
        <f t="shared" ref="BD32" si="220">IFERROR(BB32/BC32,0)</f>
        <v>0</v>
      </c>
      <c r="BE32" s="326"/>
      <c r="BF32" s="332">
        <f t="shared" ref="BF32" si="221">IFERROR(BE32/BC32,0)</f>
        <v>0</v>
      </c>
      <c r="BG32" s="328"/>
      <c r="BH32" s="328">
        <f t="shared" ref="BH32" si="222">AS32+AX32+BC32</f>
        <v>0</v>
      </c>
      <c r="BI32" s="333">
        <f t="shared" ref="BI32" si="223">IFERROR(BG32/BH32,0)</f>
        <v>0</v>
      </c>
      <c r="BJ32" s="295">
        <f t="shared" ref="BJ32" si="224">AU32+AZ32+BE32</f>
        <v>0</v>
      </c>
      <c r="BK32" s="333">
        <f t="shared" ref="BK32" si="225">IFERROR(BJ32/BH32,0)</f>
        <v>0</v>
      </c>
      <c r="BL32" s="292"/>
      <c r="BM32" s="326"/>
      <c r="BN32" s="332">
        <f t="shared" ref="BN32" si="226">IFERROR(BL32/BM32,0)</f>
        <v>0</v>
      </c>
      <c r="BO32" s="326"/>
      <c r="BP32" s="332">
        <f t="shared" ref="BP32" si="227">IFERROR(BO32/BM32,0)</f>
        <v>0</v>
      </c>
      <c r="BQ32" s="292"/>
      <c r="BR32" s="326"/>
      <c r="BS32" s="332">
        <f t="shared" ref="BS32" si="228">IFERROR(BQ32/BR32,0)</f>
        <v>0</v>
      </c>
      <c r="BT32" s="326"/>
      <c r="BU32" s="332">
        <f t="shared" ref="BU32" si="229">IFERROR(BT32/BR32,0)</f>
        <v>0</v>
      </c>
      <c r="BV32" s="292"/>
      <c r="BW32" s="326"/>
      <c r="BX32" s="332">
        <f t="shared" ref="BX32" si="230">IFERROR(BV32/BW32,0)</f>
        <v>0</v>
      </c>
      <c r="BY32" s="326"/>
      <c r="BZ32" s="332">
        <f t="shared" ref="BZ32" si="231">IFERROR(BY32/BW32,0)</f>
        <v>0</v>
      </c>
      <c r="CA32" s="328"/>
      <c r="CB32" s="328">
        <f t="shared" ref="CB32" si="232">BM32+BR32+BW32</f>
        <v>0</v>
      </c>
      <c r="CC32" s="333">
        <f t="shared" ref="CC32" si="233">IFERROR(CA32/CB32,0)</f>
        <v>0</v>
      </c>
      <c r="CD32" s="295">
        <f t="shared" ref="CD32" si="234">BO32+BT32+BY32</f>
        <v>0</v>
      </c>
      <c r="CE32" s="333">
        <f t="shared" ref="CE32" si="235">IFERROR(CD32/CB32,0)</f>
        <v>0</v>
      </c>
      <c r="CF32" s="297"/>
      <c r="CG32" s="297">
        <f t="shared" ref="CG32" si="236">AN32+BH32+CB32</f>
        <v>0</v>
      </c>
      <c r="CH32" s="334">
        <f t="shared" ref="CH32" si="237">IFERROR(CF32/CG32,0)</f>
        <v>0</v>
      </c>
      <c r="CI32" s="295">
        <f t="shared" ref="CI32" si="238">AP32+BJ32+CD32</f>
        <v>0</v>
      </c>
      <c r="CJ32" s="335">
        <f t="shared" ref="CJ32" si="239">IFERROR(CI32/CG32,0)</f>
        <v>0</v>
      </c>
    </row>
    <row r="33" spans="1:88">
      <c r="A33" s="67"/>
      <c r="B33" s="68"/>
      <c r="C33" s="300"/>
      <c r="D33" s="292"/>
      <c r="E33" s="326"/>
      <c r="F33" s="332">
        <f t="shared" si="143"/>
        <v>0</v>
      </c>
      <c r="G33" s="326"/>
      <c r="H33" s="332">
        <f t="shared" si="144"/>
        <v>0</v>
      </c>
      <c r="I33" s="292"/>
      <c r="J33" s="326"/>
      <c r="K33" s="332">
        <f t="shared" si="145"/>
        <v>0</v>
      </c>
      <c r="L33" s="326"/>
      <c r="M33" s="332">
        <f t="shared" si="146"/>
        <v>0</v>
      </c>
      <c r="N33" s="292"/>
      <c r="O33" s="326"/>
      <c r="P33" s="332">
        <f t="shared" si="147"/>
        <v>0</v>
      </c>
      <c r="Q33" s="326"/>
      <c r="R33" s="332">
        <f t="shared" si="148"/>
        <v>0</v>
      </c>
      <c r="S33" s="328"/>
      <c r="T33" s="328">
        <f t="shared" si="149"/>
        <v>0</v>
      </c>
      <c r="U33" s="333">
        <f t="shared" si="150"/>
        <v>0</v>
      </c>
      <c r="V33" s="295">
        <f t="shared" si="151"/>
        <v>0</v>
      </c>
      <c r="W33" s="333">
        <f t="shared" si="152"/>
        <v>0</v>
      </c>
      <c r="X33" s="292"/>
      <c r="Y33" s="326"/>
      <c r="Z33" s="332">
        <f t="shared" si="153"/>
        <v>0</v>
      </c>
      <c r="AA33" s="326"/>
      <c r="AB33" s="332">
        <f t="shared" si="155"/>
        <v>0</v>
      </c>
      <c r="AC33" s="292"/>
      <c r="AD33" s="326"/>
      <c r="AE33" s="332">
        <f t="shared" si="156"/>
        <v>0</v>
      </c>
      <c r="AF33" s="326"/>
      <c r="AG33" s="332">
        <f t="shared" si="158"/>
        <v>0</v>
      </c>
      <c r="AH33" s="292"/>
      <c r="AI33" s="326"/>
      <c r="AJ33" s="332">
        <f t="shared" si="159"/>
        <v>0</v>
      </c>
      <c r="AK33" s="326"/>
      <c r="AL33" s="332">
        <f t="shared" si="161"/>
        <v>0</v>
      </c>
      <c r="AM33" s="328"/>
      <c r="AN33" s="328">
        <f t="shared" si="162"/>
        <v>0</v>
      </c>
      <c r="AO33" s="333">
        <f t="shared" si="163"/>
        <v>0</v>
      </c>
      <c r="AP33" s="295">
        <f t="shared" si="164"/>
        <v>0</v>
      </c>
      <c r="AQ33" s="333">
        <f t="shared" si="165"/>
        <v>0</v>
      </c>
      <c r="AR33" s="292"/>
      <c r="AS33" s="326"/>
      <c r="AT33" s="332">
        <f t="shared" si="166"/>
        <v>0</v>
      </c>
      <c r="AU33" s="326"/>
      <c r="AV33" s="332">
        <f t="shared" si="168"/>
        <v>0</v>
      </c>
      <c r="AW33" s="292"/>
      <c r="AX33" s="326"/>
      <c r="AY33" s="332">
        <f t="shared" si="169"/>
        <v>0</v>
      </c>
      <c r="AZ33" s="326"/>
      <c r="BA33" s="332">
        <f t="shared" si="171"/>
        <v>0</v>
      </c>
      <c r="BB33" s="292"/>
      <c r="BC33" s="326"/>
      <c r="BD33" s="332">
        <f t="shared" si="172"/>
        <v>0</v>
      </c>
      <c r="BE33" s="326"/>
      <c r="BF33" s="332">
        <f t="shared" si="174"/>
        <v>0</v>
      </c>
      <c r="BG33" s="328"/>
      <c r="BH33" s="328">
        <f t="shared" si="175"/>
        <v>0</v>
      </c>
      <c r="BI33" s="333">
        <f t="shared" si="176"/>
        <v>0</v>
      </c>
      <c r="BJ33" s="295">
        <f t="shared" si="177"/>
        <v>0</v>
      </c>
      <c r="BK33" s="333">
        <f t="shared" si="178"/>
        <v>0</v>
      </c>
      <c r="BL33" s="292"/>
      <c r="BM33" s="326"/>
      <c r="BN33" s="332">
        <f t="shared" si="179"/>
        <v>0</v>
      </c>
      <c r="BO33" s="326"/>
      <c r="BP33" s="332">
        <f t="shared" si="181"/>
        <v>0</v>
      </c>
      <c r="BQ33" s="292"/>
      <c r="BR33" s="326"/>
      <c r="BS33" s="332">
        <f t="shared" si="182"/>
        <v>0</v>
      </c>
      <c r="BT33" s="326"/>
      <c r="BU33" s="332">
        <f t="shared" si="184"/>
        <v>0</v>
      </c>
      <c r="BV33" s="292"/>
      <c r="BW33" s="326"/>
      <c r="BX33" s="332">
        <f t="shared" si="185"/>
        <v>0</v>
      </c>
      <c r="BY33" s="326"/>
      <c r="BZ33" s="332">
        <f t="shared" si="187"/>
        <v>0</v>
      </c>
      <c r="CA33" s="328"/>
      <c r="CB33" s="328">
        <f t="shared" si="188"/>
        <v>0</v>
      </c>
      <c r="CC33" s="333">
        <f t="shared" si="189"/>
        <v>0</v>
      </c>
      <c r="CD33" s="295">
        <f t="shared" si="190"/>
        <v>0</v>
      </c>
      <c r="CE33" s="333">
        <f t="shared" si="191"/>
        <v>0</v>
      </c>
      <c r="CF33" s="297"/>
      <c r="CG33" s="297">
        <f t="shared" si="192"/>
        <v>0</v>
      </c>
      <c r="CH33" s="334">
        <f t="shared" si="193"/>
        <v>0</v>
      </c>
      <c r="CI33" s="295">
        <f t="shared" si="194"/>
        <v>0</v>
      </c>
      <c r="CJ33" s="335">
        <f t="shared" si="195"/>
        <v>0</v>
      </c>
    </row>
    <row r="34" spans="1:88">
      <c r="A34" s="66"/>
      <c r="B34" s="64" t="s">
        <v>123</v>
      </c>
      <c r="C34" s="64"/>
      <c r="D34" s="364">
        <v>0</v>
      </c>
      <c r="E34" s="336">
        <f>SUM(E28:E33)</f>
        <v>0</v>
      </c>
      <c r="F34" s="322">
        <f t="shared" si="143"/>
        <v>0</v>
      </c>
      <c r="G34" s="320">
        <f>SUM(G28:G33)</f>
        <v>0</v>
      </c>
      <c r="H34" s="322">
        <f t="shared" si="144"/>
        <v>0</v>
      </c>
      <c r="I34" s="365">
        <v>0</v>
      </c>
      <c r="J34" s="320">
        <f>SUM(J28:J33)</f>
        <v>0</v>
      </c>
      <c r="K34" s="322">
        <f t="shared" si="145"/>
        <v>0</v>
      </c>
      <c r="L34" s="320">
        <f>SUM(L28:L33)</f>
        <v>0</v>
      </c>
      <c r="M34" s="322">
        <f t="shared" si="146"/>
        <v>0</v>
      </c>
      <c r="N34" s="365">
        <v>0</v>
      </c>
      <c r="O34" s="320">
        <f>SUM(O28:O33)</f>
        <v>0</v>
      </c>
      <c r="P34" s="322">
        <f t="shared" si="147"/>
        <v>0</v>
      </c>
      <c r="Q34" s="320">
        <f>SUM(Q28:Q33)</f>
        <v>0</v>
      </c>
      <c r="R34" s="322">
        <f t="shared" si="148"/>
        <v>0</v>
      </c>
      <c r="S34" s="365">
        <v>0</v>
      </c>
      <c r="T34" s="320">
        <f>SUM(T28:T33)</f>
        <v>0</v>
      </c>
      <c r="U34" s="322">
        <f t="shared" si="150"/>
        <v>0</v>
      </c>
      <c r="V34" s="320">
        <f>SUM(V28:V33)</f>
        <v>0</v>
      </c>
      <c r="W34" s="322">
        <f t="shared" si="152"/>
        <v>0</v>
      </c>
      <c r="X34" s="365">
        <v>5362</v>
      </c>
      <c r="Y34" s="320">
        <f>SUM(Y28:Y33)</f>
        <v>0</v>
      </c>
      <c r="Z34" s="322">
        <f t="shared" si="153"/>
        <v>0</v>
      </c>
      <c r="AA34" s="320">
        <f ca="1">SUM(AA28:AA33)</f>
        <v>15068</v>
      </c>
      <c r="AB34" s="322">
        <f t="shared" ca="1" si="155"/>
        <v>0</v>
      </c>
      <c r="AC34" s="365">
        <v>2066</v>
      </c>
      <c r="AD34" s="320">
        <f>SUM(AD28:AD33)</f>
        <v>0</v>
      </c>
      <c r="AE34" s="322">
        <f t="shared" si="156"/>
        <v>0</v>
      </c>
      <c r="AF34" s="320">
        <f ca="1">SUM(AF28:AF33)</f>
        <v>11356</v>
      </c>
      <c r="AG34" s="322">
        <f t="shared" ca="1" si="158"/>
        <v>0</v>
      </c>
      <c r="AH34" s="365">
        <v>2236</v>
      </c>
      <c r="AI34" s="320">
        <f>SUM(AI28:AI33)</f>
        <v>0</v>
      </c>
      <c r="AJ34" s="322">
        <f t="shared" si="159"/>
        <v>0</v>
      </c>
      <c r="AK34" s="320">
        <f ca="1">SUM(AK28:AK33)</f>
        <v>3975</v>
      </c>
      <c r="AL34" s="322">
        <f t="shared" ca="1" si="161"/>
        <v>0</v>
      </c>
      <c r="AM34" s="365">
        <v>0</v>
      </c>
      <c r="AN34" s="320">
        <f>SUM(AN28:AN33)</f>
        <v>0</v>
      </c>
      <c r="AO34" s="322">
        <f t="shared" si="163"/>
        <v>0</v>
      </c>
      <c r="AP34" s="320">
        <f ca="1">SUM(AP28:AP33)</f>
        <v>30399</v>
      </c>
      <c r="AQ34" s="322">
        <f t="shared" ca="1" si="165"/>
        <v>0</v>
      </c>
      <c r="AR34" s="365">
        <v>8939</v>
      </c>
      <c r="AS34" s="320">
        <f>SUM(AS28:AS33)</f>
        <v>0</v>
      </c>
      <c r="AT34" s="322">
        <f t="shared" si="166"/>
        <v>0</v>
      </c>
      <c r="AU34" s="320">
        <f ca="1">SUM(AU28:AU33)</f>
        <v>13560</v>
      </c>
      <c r="AV34" s="322">
        <f t="shared" ca="1" si="168"/>
        <v>0</v>
      </c>
      <c r="AW34" s="365">
        <v>5486</v>
      </c>
      <c r="AX34" s="320">
        <f>SUM(AX28:AX33)</f>
        <v>0</v>
      </c>
      <c r="AY34" s="322">
        <f t="shared" si="169"/>
        <v>0</v>
      </c>
      <c r="AZ34" s="320">
        <f ca="1">SUM(AZ28:AZ33)</f>
        <v>9100</v>
      </c>
      <c r="BA34" s="322">
        <f t="shared" ca="1" si="171"/>
        <v>0</v>
      </c>
      <c r="BB34" s="365">
        <v>2715</v>
      </c>
      <c r="BC34" s="320">
        <f>SUM(BC28:BC33)</f>
        <v>0</v>
      </c>
      <c r="BD34" s="322">
        <f t="shared" si="172"/>
        <v>0</v>
      </c>
      <c r="BE34" s="320">
        <f ca="1">SUM(BE28:BE33)</f>
        <v>7253</v>
      </c>
      <c r="BF34" s="322">
        <f t="shared" ca="1" si="174"/>
        <v>0</v>
      </c>
      <c r="BG34" s="363">
        <v>0</v>
      </c>
      <c r="BH34" s="320">
        <f>SUM(BH28:BH33)</f>
        <v>0</v>
      </c>
      <c r="BI34" s="322">
        <f t="shared" si="176"/>
        <v>0</v>
      </c>
      <c r="BJ34" s="320">
        <f ca="1">SUM(BJ28:BJ33)</f>
        <v>29913</v>
      </c>
      <c r="BK34" s="322">
        <f t="shared" ca="1" si="178"/>
        <v>0</v>
      </c>
      <c r="BL34" s="365">
        <v>3089</v>
      </c>
      <c r="BM34" s="320">
        <f>SUM(BM28:BM33)</f>
        <v>0</v>
      </c>
      <c r="BN34" s="322">
        <f t="shared" si="179"/>
        <v>0</v>
      </c>
      <c r="BO34" s="320">
        <f ca="1">SUM(BO28:BO33)</f>
        <v>10182</v>
      </c>
      <c r="BP34" s="322">
        <f t="shared" ca="1" si="181"/>
        <v>0</v>
      </c>
      <c r="BQ34" s="365">
        <v>6649</v>
      </c>
      <c r="BR34" s="320">
        <f>SUM(BR28:BR33)</f>
        <v>0</v>
      </c>
      <c r="BS34" s="322">
        <f t="shared" si="182"/>
        <v>0</v>
      </c>
      <c r="BT34" s="320">
        <f ca="1">SUM(BT28:BT33)</f>
        <v>8889</v>
      </c>
      <c r="BU34" s="322">
        <f t="shared" ca="1" si="184"/>
        <v>0</v>
      </c>
      <c r="BV34" s="365">
        <v>6940</v>
      </c>
      <c r="BW34" s="320">
        <f>SUM(BW28:BW33)</f>
        <v>0</v>
      </c>
      <c r="BX34" s="322">
        <f t="shared" si="185"/>
        <v>0</v>
      </c>
      <c r="BY34" s="320">
        <f ca="1">SUM(BY28:BY33)</f>
        <v>13754</v>
      </c>
      <c r="BZ34" s="322">
        <f t="shared" ca="1" si="187"/>
        <v>0</v>
      </c>
      <c r="CA34" s="365">
        <v>0</v>
      </c>
      <c r="CB34" s="320">
        <f>SUM(CB28:CB33)</f>
        <v>0</v>
      </c>
      <c r="CC34" s="322">
        <f t="shared" si="189"/>
        <v>0</v>
      </c>
      <c r="CD34" s="294">
        <f ca="1">SUM(CD28:CD33)</f>
        <v>32825</v>
      </c>
      <c r="CE34" s="322">
        <f t="shared" ca="1" si="191"/>
        <v>0</v>
      </c>
      <c r="CF34" s="365">
        <v>0</v>
      </c>
      <c r="CG34" s="320">
        <f>AN34+BH34+CB34</f>
        <v>0</v>
      </c>
      <c r="CH34" s="322">
        <f t="shared" si="193"/>
        <v>0</v>
      </c>
      <c r="CI34" s="320">
        <f t="shared" ca="1" si="194"/>
        <v>93137</v>
      </c>
      <c r="CJ34" s="322">
        <f t="shared" ca="1" si="195"/>
        <v>0</v>
      </c>
    </row>
    <row r="35" spans="1:88" ht="14.65" thickBot="1"/>
    <row r="36" spans="1:88">
      <c r="A36" s="66" t="s">
        <v>100</v>
      </c>
      <c r="B36" s="66" t="s">
        <v>149</v>
      </c>
      <c r="C36" s="66"/>
      <c r="D36" s="288" t="s">
        <v>151</v>
      </c>
      <c r="E36" s="289" t="s">
        <v>122</v>
      </c>
      <c r="F36" s="289" t="s">
        <v>33</v>
      </c>
      <c r="G36" s="289" t="s">
        <v>34</v>
      </c>
      <c r="H36" s="290" t="s">
        <v>35</v>
      </c>
      <c r="I36" s="288" t="s">
        <v>151</v>
      </c>
      <c r="J36" s="289" t="s">
        <v>122</v>
      </c>
      <c r="K36" s="289" t="s">
        <v>33</v>
      </c>
      <c r="L36" s="289" t="s">
        <v>34</v>
      </c>
      <c r="M36" s="290" t="s">
        <v>35</v>
      </c>
      <c r="N36" s="288" t="s">
        <v>151</v>
      </c>
      <c r="O36" s="289" t="s">
        <v>122</v>
      </c>
      <c r="P36" s="289" t="s">
        <v>33</v>
      </c>
      <c r="Q36" s="289" t="s">
        <v>34</v>
      </c>
      <c r="R36" s="290" t="s">
        <v>35</v>
      </c>
      <c r="S36" s="288" t="s">
        <v>151</v>
      </c>
      <c r="T36" s="289" t="s">
        <v>122</v>
      </c>
      <c r="U36" s="289" t="s">
        <v>33</v>
      </c>
      <c r="V36" s="289" t="s">
        <v>34</v>
      </c>
      <c r="W36" s="290" t="s">
        <v>35</v>
      </c>
      <c r="X36" s="288" t="s">
        <v>151</v>
      </c>
      <c r="Y36" s="289" t="s">
        <v>122</v>
      </c>
      <c r="Z36" s="289" t="s">
        <v>33</v>
      </c>
      <c r="AA36" s="289" t="s">
        <v>34</v>
      </c>
      <c r="AB36" s="290" t="s">
        <v>35</v>
      </c>
      <c r="AC36" s="288" t="s">
        <v>151</v>
      </c>
      <c r="AD36" s="289" t="s">
        <v>122</v>
      </c>
      <c r="AE36" s="289" t="s">
        <v>33</v>
      </c>
      <c r="AF36" s="289" t="s">
        <v>34</v>
      </c>
      <c r="AG36" s="290" t="s">
        <v>35</v>
      </c>
      <c r="AH36" s="288" t="s">
        <v>151</v>
      </c>
      <c r="AI36" s="289" t="s">
        <v>122</v>
      </c>
      <c r="AJ36" s="289" t="s">
        <v>33</v>
      </c>
      <c r="AK36" s="289" t="s">
        <v>34</v>
      </c>
      <c r="AL36" s="290" t="s">
        <v>35</v>
      </c>
      <c r="AM36" s="288" t="s">
        <v>151</v>
      </c>
      <c r="AN36" s="289" t="s">
        <v>122</v>
      </c>
      <c r="AO36" s="289" t="s">
        <v>33</v>
      </c>
      <c r="AP36" s="289" t="s">
        <v>34</v>
      </c>
      <c r="AQ36" s="290" t="s">
        <v>35</v>
      </c>
      <c r="AR36" s="288" t="s">
        <v>151</v>
      </c>
      <c r="AS36" s="289" t="s">
        <v>122</v>
      </c>
      <c r="AT36" s="289" t="s">
        <v>33</v>
      </c>
      <c r="AU36" s="289" t="s">
        <v>34</v>
      </c>
      <c r="AV36" s="290" t="s">
        <v>35</v>
      </c>
      <c r="AW36" s="288" t="s">
        <v>151</v>
      </c>
      <c r="AX36" s="289" t="s">
        <v>122</v>
      </c>
      <c r="AY36" s="289" t="s">
        <v>33</v>
      </c>
      <c r="AZ36" s="289" t="s">
        <v>34</v>
      </c>
      <c r="BA36" s="290" t="s">
        <v>35</v>
      </c>
      <c r="BB36" s="288" t="s">
        <v>151</v>
      </c>
      <c r="BC36" s="289" t="s">
        <v>122</v>
      </c>
      <c r="BD36" s="289" t="s">
        <v>33</v>
      </c>
      <c r="BE36" s="289" t="s">
        <v>34</v>
      </c>
      <c r="BF36" s="290" t="s">
        <v>35</v>
      </c>
      <c r="BG36" s="288" t="s">
        <v>151</v>
      </c>
      <c r="BH36" s="289" t="s">
        <v>122</v>
      </c>
      <c r="BI36" s="289" t="s">
        <v>33</v>
      </c>
      <c r="BJ36" s="289" t="s">
        <v>34</v>
      </c>
      <c r="BK36" s="290" t="s">
        <v>35</v>
      </c>
      <c r="BL36" s="288" t="s">
        <v>151</v>
      </c>
      <c r="BM36" s="289" t="s">
        <v>122</v>
      </c>
      <c r="BN36" s="289" t="s">
        <v>33</v>
      </c>
      <c r="BO36" s="289" t="s">
        <v>34</v>
      </c>
      <c r="BP36" s="290" t="s">
        <v>35</v>
      </c>
      <c r="BQ36" s="288" t="s">
        <v>151</v>
      </c>
      <c r="BR36" s="289" t="s">
        <v>122</v>
      </c>
      <c r="BS36" s="289" t="s">
        <v>33</v>
      </c>
      <c r="BT36" s="289" t="s">
        <v>34</v>
      </c>
      <c r="BU36" s="290" t="s">
        <v>35</v>
      </c>
      <c r="BV36" s="288" t="s">
        <v>151</v>
      </c>
      <c r="BW36" s="289" t="s">
        <v>122</v>
      </c>
      <c r="BX36" s="289" t="s">
        <v>33</v>
      </c>
      <c r="BY36" s="289" t="s">
        <v>34</v>
      </c>
      <c r="BZ36" s="290" t="s">
        <v>35</v>
      </c>
      <c r="CA36" s="288" t="s">
        <v>151</v>
      </c>
      <c r="CB36" s="289" t="s">
        <v>122</v>
      </c>
      <c r="CC36" s="289" t="s">
        <v>33</v>
      </c>
      <c r="CD36" s="289" t="s">
        <v>34</v>
      </c>
      <c r="CE36" s="290" t="s">
        <v>35</v>
      </c>
      <c r="CF36" s="288" t="s">
        <v>151</v>
      </c>
      <c r="CG36" s="289" t="s">
        <v>122</v>
      </c>
      <c r="CH36" s="289" t="s">
        <v>33</v>
      </c>
      <c r="CI36" s="289" t="s">
        <v>34</v>
      </c>
      <c r="CJ36" s="290" t="s">
        <v>35</v>
      </c>
    </row>
    <row r="37" spans="1:88">
      <c r="A37" s="67"/>
      <c r="B37" s="68"/>
      <c r="C37" s="300"/>
      <c r="D37" s="292"/>
      <c r="E37" s="326"/>
      <c r="F37" s="327">
        <f>IFERROR(D37/E37,0)</f>
        <v>0</v>
      </c>
      <c r="G37" s="326"/>
      <c r="H37" s="327">
        <f>IFERROR(G37/E37,0)</f>
        <v>0</v>
      </c>
      <c r="I37" s="292"/>
      <c r="J37" s="326"/>
      <c r="K37" s="327">
        <f>IFERROR(I37/J37,0)</f>
        <v>0</v>
      </c>
      <c r="L37" s="326"/>
      <c r="M37" s="327">
        <f>IFERROR(L37/J37,0)</f>
        <v>0</v>
      </c>
      <c r="N37" s="292"/>
      <c r="O37" s="326"/>
      <c r="P37" s="327">
        <f>IFERROR(N37/O37,0)</f>
        <v>0</v>
      </c>
      <c r="Q37" s="326"/>
      <c r="R37" s="327">
        <f>IFERROR(Q37/O37,0)</f>
        <v>0</v>
      </c>
      <c r="S37" s="328"/>
      <c r="T37" s="328">
        <f t="shared" ref="T37:T41" si="240">E37+J37+O37</f>
        <v>0</v>
      </c>
      <c r="U37" s="329">
        <f>IFERROR(S37/T37,0)</f>
        <v>0</v>
      </c>
      <c r="V37" s="295">
        <f t="shared" ref="V37:V41" si="241">G37+L37+Q37</f>
        <v>0</v>
      </c>
      <c r="W37" s="329">
        <f>IFERROR(V37/T37,0)</f>
        <v>0</v>
      </c>
      <c r="X37" s="292"/>
      <c r="Y37" s="326"/>
      <c r="Z37" s="327">
        <f>IFERROR(X37/Y37,0)</f>
        <v>0</v>
      </c>
      <c r="AA37" s="326"/>
      <c r="AB37" s="327">
        <f>IFERROR(AA37/Y37,0)</f>
        <v>0</v>
      </c>
      <c r="AC37" s="292"/>
      <c r="AD37" s="326"/>
      <c r="AE37" s="327">
        <f>IFERROR(AC37/AD37,0)</f>
        <v>0</v>
      </c>
      <c r="AF37" s="326"/>
      <c r="AG37" s="327">
        <f>IFERROR(AF37/AD37,0)</f>
        <v>0</v>
      </c>
      <c r="AH37" s="292"/>
      <c r="AI37" s="326"/>
      <c r="AJ37" s="327">
        <f>IFERROR(AH37/AI37,0)</f>
        <v>0</v>
      </c>
      <c r="AK37" s="326"/>
      <c r="AL37" s="327">
        <f>IFERROR(AK37/AI37,0)</f>
        <v>0</v>
      </c>
      <c r="AM37" s="328"/>
      <c r="AN37" s="328">
        <f t="shared" ref="AN37:AN41" si="242">Y37+AD37+AI37</f>
        <v>0</v>
      </c>
      <c r="AO37" s="329">
        <f>IFERROR(AM37/AN37,0)</f>
        <v>0</v>
      </c>
      <c r="AP37" s="295">
        <f>AA37+AF37+AK37</f>
        <v>0</v>
      </c>
      <c r="AQ37" s="329">
        <f>IFERROR(AP37/AN37,0)</f>
        <v>0</v>
      </c>
      <c r="AR37" s="292"/>
      <c r="AS37" s="326"/>
      <c r="AT37" s="327">
        <f>IFERROR(AR37/AS37,0)</f>
        <v>0</v>
      </c>
      <c r="AU37" s="326"/>
      <c r="AV37" s="327">
        <f>IFERROR(AU37/AS37,0)</f>
        <v>0</v>
      </c>
      <c r="AW37" s="292"/>
      <c r="AX37" s="326"/>
      <c r="AY37" s="327">
        <f>IFERROR(AW37/AX37,0)</f>
        <v>0</v>
      </c>
      <c r="AZ37" s="326"/>
      <c r="BA37" s="327">
        <f>IFERROR(AZ37/AX37,0)</f>
        <v>0</v>
      </c>
      <c r="BB37" s="292"/>
      <c r="BC37" s="326"/>
      <c r="BD37" s="327">
        <f>IFERROR(BB37/BC37,0)</f>
        <v>0</v>
      </c>
      <c r="BE37" s="326"/>
      <c r="BF37" s="327">
        <f>IFERROR(BE37/BC37,0)</f>
        <v>0</v>
      </c>
      <c r="BG37" s="328"/>
      <c r="BH37" s="328">
        <f t="shared" ref="BH37:BH41" si="243">AS37+AX37+BC37</f>
        <v>0</v>
      </c>
      <c r="BI37" s="329">
        <f>IFERROR(BG37/BH37,0)</f>
        <v>0</v>
      </c>
      <c r="BJ37" s="295">
        <f t="shared" ref="BJ37:BJ41" si="244">AU37+AZ37+BE37</f>
        <v>0</v>
      </c>
      <c r="BK37" s="329">
        <f>IFERROR(BJ37/BH37,0)</f>
        <v>0</v>
      </c>
      <c r="BL37" s="292"/>
      <c r="BM37" s="326"/>
      <c r="BN37" s="327">
        <f>IFERROR(BL37/BM37,0)</f>
        <v>0</v>
      </c>
      <c r="BO37" s="326"/>
      <c r="BP37" s="327">
        <f>IFERROR(BO37/BM37,0)</f>
        <v>0</v>
      </c>
      <c r="BQ37" s="292"/>
      <c r="BR37" s="326"/>
      <c r="BS37" s="327">
        <f>IFERROR(BQ37/BR37,0)</f>
        <v>0</v>
      </c>
      <c r="BT37" s="326"/>
      <c r="BU37" s="327">
        <f>IFERROR(BT37/BR37,0)</f>
        <v>0</v>
      </c>
      <c r="BV37" s="292"/>
      <c r="BW37" s="326"/>
      <c r="BX37" s="327">
        <f>IFERROR(BV37/BW37,0)</f>
        <v>0</v>
      </c>
      <c r="BY37" s="326"/>
      <c r="BZ37" s="327">
        <f>IFERROR(BY37/BW37,0)</f>
        <v>0</v>
      </c>
      <c r="CA37" s="328"/>
      <c r="CB37" s="328">
        <f t="shared" ref="CB37:CB41" si="245">BM37+BR37+BW37</f>
        <v>0</v>
      </c>
      <c r="CC37" s="329">
        <f>IFERROR(CA37/CB37,0)</f>
        <v>0</v>
      </c>
      <c r="CD37" s="295">
        <f t="shared" ref="CD37:CD41" si="246">BO37+BT37+BY37</f>
        <v>0</v>
      </c>
      <c r="CE37" s="329">
        <f>IFERROR(CD37/CB37,0)</f>
        <v>0</v>
      </c>
      <c r="CF37" s="297"/>
      <c r="CG37" s="297">
        <f>AN37+BH37+CB37</f>
        <v>0</v>
      </c>
      <c r="CH37" s="330">
        <f>IFERROR(CF37/CG37,0)</f>
        <v>0</v>
      </c>
      <c r="CI37" s="295">
        <f>AP37+BJ37+CD37</f>
        <v>0</v>
      </c>
      <c r="CJ37" s="331">
        <f>IFERROR(CI37/CG37,0)</f>
        <v>0</v>
      </c>
    </row>
    <row r="38" spans="1:88">
      <c r="A38" s="67"/>
      <c r="B38" s="68"/>
      <c r="C38" s="300"/>
      <c r="D38" s="292"/>
      <c r="E38" s="326"/>
      <c r="F38" s="332">
        <f t="shared" ref="F38:F42" si="247">IFERROR(D38/E38,0)</f>
        <v>0</v>
      </c>
      <c r="G38" s="326"/>
      <c r="H38" s="332">
        <f t="shared" ref="H38:H42" si="248">IFERROR(G38/E38,0)</f>
        <v>0</v>
      </c>
      <c r="I38" s="292"/>
      <c r="J38" s="326"/>
      <c r="K38" s="332">
        <f t="shared" ref="K38:K42" si="249">IFERROR(I38/J38,0)</f>
        <v>0</v>
      </c>
      <c r="L38" s="326"/>
      <c r="M38" s="332">
        <f t="shared" ref="M38:M42" si="250">IFERROR(L38/J38,0)</f>
        <v>0</v>
      </c>
      <c r="N38" s="292"/>
      <c r="O38" s="326"/>
      <c r="P38" s="332">
        <f t="shared" ref="P38:P42" si="251">IFERROR(N38/O38,0)</f>
        <v>0</v>
      </c>
      <c r="Q38" s="326"/>
      <c r="R38" s="332">
        <f t="shared" ref="R38:R42" si="252">IFERROR(Q38/O38,0)</f>
        <v>0</v>
      </c>
      <c r="S38" s="328"/>
      <c r="T38" s="328">
        <f t="shared" si="240"/>
        <v>0</v>
      </c>
      <c r="U38" s="333">
        <f t="shared" ref="U38:U42" si="253">IFERROR(S38/T38,0)</f>
        <v>0</v>
      </c>
      <c r="V38" s="295">
        <f t="shared" si="241"/>
        <v>0</v>
      </c>
      <c r="W38" s="333">
        <f t="shared" ref="W38:W42" si="254">IFERROR(V38/T38,0)</f>
        <v>0</v>
      </c>
      <c r="X38" s="292"/>
      <c r="Y38" s="326"/>
      <c r="Z38" s="332">
        <f t="shared" ref="Z38:Z42" si="255">IFERROR(X38/Y38,0)</f>
        <v>0</v>
      </c>
      <c r="AA38" s="326"/>
      <c r="AB38" s="332">
        <f t="shared" ref="AB38:AB42" si="256">IFERROR(AA38/Y38,0)</f>
        <v>0</v>
      </c>
      <c r="AC38" s="292"/>
      <c r="AD38" s="326"/>
      <c r="AE38" s="332">
        <f t="shared" ref="AE38:AE42" si="257">IFERROR(AC38/AD38,0)</f>
        <v>0</v>
      </c>
      <c r="AF38" s="326"/>
      <c r="AG38" s="332">
        <f t="shared" ref="AG38:AG42" si="258">IFERROR(AF38/AD38,0)</f>
        <v>0</v>
      </c>
      <c r="AH38" s="292"/>
      <c r="AI38" s="326"/>
      <c r="AJ38" s="332">
        <f t="shared" ref="AJ38:AJ42" si="259">IFERROR(AH38/AI38,0)</f>
        <v>0</v>
      </c>
      <c r="AK38" s="326"/>
      <c r="AL38" s="332">
        <f t="shared" ref="AL38:AL42" si="260">IFERROR(AK38/AI38,0)</f>
        <v>0</v>
      </c>
      <c r="AM38" s="328"/>
      <c r="AN38" s="328">
        <f t="shared" si="242"/>
        <v>0</v>
      </c>
      <c r="AO38" s="333">
        <f t="shared" ref="AO38:AO42" si="261">IFERROR(AM38/AN38,0)</f>
        <v>0</v>
      </c>
      <c r="AP38" s="295">
        <f t="shared" ref="AP38:AP41" si="262">AA38+AF38+AK38</f>
        <v>0</v>
      </c>
      <c r="AQ38" s="333">
        <f t="shared" ref="AQ38:AQ42" si="263">IFERROR(AP38/AN38,0)</f>
        <v>0</v>
      </c>
      <c r="AR38" s="292"/>
      <c r="AS38" s="326"/>
      <c r="AT38" s="332">
        <f t="shared" ref="AT38:AT42" si="264">IFERROR(AR38/AS38,0)</f>
        <v>0</v>
      </c>
      <c r="AU38" s="326"/>
      <c r="AV38" s="332">
        <f t="shared" ref="AV38:AV42" si="265">IFERROR(AU38/AS38,0)</f>
        <v>0</v>
      </c>
      <c r="AW38" s="292"/>
      <c r="AX38" s="326"/>
      <c r="AY38" s="332">
        <f t="shared" ref="AY38:AY42" si="266">IFERROR(AW38/AX38,0)</f>
        <v>0</v>
      </c>
      <c r="AZ38" s="326"/>
      <c r="BA38" s="332">
        <f t="shared" ref="BA38:BA42" si="267">IFERROR(AZ38/AX38,0)</f>
        <v>0</v>
      </c>
      <c r="BB38" s="292"/>
      <c r="BC38" s="326"/>
      <c r="BD38" s="332">
        <f t="shared" ref="BD38:BD42" si="268">IFERROR(BB38/BC38,0)</f>
        <v>0</v>
      </c>
      <c r="BE38" s="326"/>
      <c r="BF38" s="332">
        <f t="shared" ref="BF38:BF42" si="269">IFERROR(BE38/BC38,0)</f>
        <v>0</v>
      </c>
      <c r="BG38" s="328"/>
      <c r="BH38" s="328">
        <f t="shared" si="243"/>
        <v>0</v>
      </c>
      <c r="BI38" s="333">
        <f t="shared" ref="BI38:BI42" si="270">IFERROR(BG38/BH38,0)</f>
        <v>0</v>
      </c>
      <c r="BJ38" s="295">
        <f t="shared" si="244"/>
        <v>0</v>
      </c>
      <c r="BK38" s="333">
        <f t="shared" ref="BK38:BK42" si="271">IFERROR(BJ38/BH38,0)</f>
        <v>0</v>
      </c>
      <c r="BL38" s="292"/>
      <c r="BM38" s="326"/>
      <c r="BN38" s="332">
        <f t="shared" ref="BN38:BN42" si="272">IFERROR(BL38/BM38,0)</f>
        <v>0</v>
      </c>
      <c r="BO38" s="326"/>
      <c r="BP38" s="332">
        <f t="shared" ref="BP38:BP42" si="273">IFERROR(BO38/BM38,0)</f>
        <v>0</v>
      </c>
      <c r="BQ38" s="292"/>
      <c r="BR38" s="326"/>
      <c r="BS38" s="332">
        <f t="shared" ref="BS38:BS42" si="274">IFERROR(BQ38/BR38,0)</f>
        <v>0</v>
      </c>
      <c r="BT38" s="326"/>
      <c r="BU38" s="332">
        <f t="shared" ref="BU38:BU42" si="275">IFERROR(BT38/BR38,0)</f>
        <v>0</v>
      </c>
      <c r="BV38" s="292"/>
      <c r="BW38" s="326"/>
      <c r="BX38" s="332">
        <f t="shared" ref="BX38:BX42" si="276">IFERROR(BV38/BW38,0)</f>
        <v>0</v>
      </c>
      <c r="BY38" s="326"/>
      <c r="BZ38" s="332">
        <f t="shared" ref="BZ38:BZ42" si="277">IFERROR(BY38/BW38,0)</f>
        <v>0</v>
      </c>
      <c r="CA38" s="328"/>
      <c r="CB38" s="328">
        <f t="shared" si="245"/>
        <v>0</v>
      </c>
      <c r="CC38" s="333">
        <f t="shared" ref="CC38:CC42" si="278">IFERROR(CA38/CB38,0)</f>
        <v>0</v>
      </c>
      <c r="CD38" s="295">
        <f t="shared" si="246"/>
        <v>0</v>
      </c>
      <c r="CE38" s="333">
        <f t="shared" ref="CE38:CE42" si="279">IFERROR(CD38/CB38,0)</f>
        <v>0</v>
      </c>
      <c r="CF38" s="297"/>
      <c r="CG38" s="297">
        <f t="shared" ref="CG38:CG41" si="280">AN38+BH38+CB38</f>
        <v>0</v>
      </c>
      <c r="CH38" s="334">
        <f t="shared" ref="CH38:CH42" si="281">IFERROR(CF38/CG38,0)</f>
        <v>0</v>
      </c>
      <c r="CI38" s="295">
        <f t="shared" ref="CI38:CI42" si="282">AP38+BJ38+CD38</f>
        <v>0</v>
      </c>
      <c r="CJ38" s="335">
        <f t="shared" ref="CJ38:CJ42" si="283">IFERROR(CI38/CG38,0)</f>
        <v>0</v>
      </c>
    </row>
    <row r="39" spans="1:88">
      <c r="A39" s="67"/>
      <c r="B39" s="68"/>
      <c r="C39" s="300"/>
      <c r="D39" s="292"/>
      <c r="E39" s="326"/>
      <c r="F39" s="332">
        <f t="shared" si="247"/>
        <v>0</v>
      </c>
      <c r="G39" s="326"/>
      <c r="H39" s="332">
        <f t="shared" si="248"/>
        <v>0</v>
      </c>
      <c r="I39" s="292"/>
      <c r="J39" s="326"/>
      <c r="K39" s="332">
        <f t="shared" si="249"/>
        <v>0</v>
      </c>
      <c r="L39" s="326"/>
      <c r="M39" s="332">
        <f t="shared" si="250"/>
        <v>0</v>
      </c>
      <c r="N39" s="292"/>
      <c r="O39" s="326"/>
      <c r="P39" s="332">
        <f t="shared" si="251"/>
        <v>0</v>
      </c>
      <c r="Q39" s="326"/>
      <c r="R39" s="332">
        <f t="shared" si="252"/>
        <v>0</v>
      </c>
      <c r="S39" s="328"/>
      <c r="T39" s="328">
        <f t="shared" si="240"/>
        <v>0</v>
      </c>
      <c r="U39" s="333">
        <f t="shared" si="253"/>
        <v>0</v>
      </c>
      <c r="V39" s="295">
        <f t="shared" si="241"/>
        <v>0</v>
      </c>
      <c r="W39" s="333">
        <f t="shared" si="254"/>
        <v>0</v>
      </c>
      <c r="X39" s="292"/>
      <c r="Y39" s="326"/>
      <c r="Z39" s="332">
        <f t="shared" si="255"/>
        <v>0</v>
      </c>
      <c r="AA39" s="326"/>
      <c r="AB39" s="332">
        <f t="shared" si="256"/>
        <v>0</v>
      </c>
      <c r="AC39" s="292"/>
      <c r="AD39" s="326"/>
      <c r="AE39" s="332">
        <f t="shared" si="257"/>
        <v>0</v>
      </c>
      <c r="AF39" s="326"/>
      <c r="AG39" s="332">
        <f t="shared" si="258"/>
        <v>0</v>
      </c>
      <c r="AH39" s="292"/>
      <c r="AI39" s="326"/>
      <c r="AJ39" s="332">
        <f t="shared" si="259"/>
        <v>0</v>
      </c>
      <c r="AK39" s="326"/>
      <c r="AL39" s="332">
        <f t="shared" si="260"/>
        <v>0</v>
      </c>
      <c r="AM39" s="328"/>
      <c r="AN39" s="328">
        <f t="shared" si="242"/>
        <v>0</v>
      </c>
      <c r="AO39" s="333">
        <f t="shared" si="261"/>
        <v>0</v>
      </c>
      <c r="AP39" s="295">
        <f t="shared" si="262"/>
        <v>0</v>
      </c>
      <c r="AQ39" s="333">
        <f t="shared" si="263"/>
        <v>0</v>
      </c>
      <c r="AR39" s="292"/>
      <c r="AS39" s="326"/>
      <c r="AT39" s="332">
        <f t="shared" si="264"/>
        <v>0</v>
      </c>
      <c r="AU39" s="326"/>
      <c r="AV39" s="332">
        <f t="shared" si="265"/>
        <v>0</v>
      </c>
      <c r="AW39" s="292"/>
      <c r="AX39" s="326"/>
      <c r="AY39" s="332">
        <f t="shared" si="266"/>
        <v>0</v>
      </c>
      <c r="AZ39" s="326"/>
      <c r="BA39" s="332">
        <f t="shared" si="267"/>
        <v>0</v>
      </c>
      <c r="BB39" s="292"/>
      <c r="BC39" s="326"/>
      <c r="BD39" s="332">
        <f t="shared" si="268"/>
        <v>0</v>
      </c>
      <c r="BE39" s="326"/>
      <c r="BF39" s="332">
        <f t="shared" si="269"/>
        <v>0</v>
      </c>
      <c r="BG39" s="328"/>
      <c r="BH39" s="328">
        <f t="shared" si="243"/>
        <v>0</v>
      </c>
      <c r="BI39" s="333">
        <f t="shared" si="270"/>
        <v>0</v>
      </c>
      <c r="BJ39" s="295">
        <f t="shared" si="244"/>
        <v>0</v>
      </c>
      <c r="BK39" s="333">
        <f t="shared" si="271"/>
        <v>0</v>
      </c>
      <c r="BL39" s="292"/>
      <c r="BM39" s="326"/>
      <c r="BN39" s="332">
        <f t="shared" si="272"/>
        <v>0</v>
      </c>
      <c r="BO39" s="326"/>
      <c r="BP39" s="332">
        <f t="shared" si="273"/>
        <v>0</v>
      </c>
      <c r="BQ39" s="292"/>
      <c r="BR39" s="326"/>
      <c r="BS39" s="332">
        <f t="shared" si="274"/>
        <v>0</v>
      </c>
      <c r="BT39" s="326"/>
      <c r="BU39" s="332">
        <f t="shared" si="275"/>
        <v>0</v>
      </c>
      <c r="BV39" s="292"/>
      <c r="BW39" s="326"/>
      <c r="BX39" s="332">
        <f t="shared" si="276"/>
        <v>0</v>
      </c>
      <c r="BY39" s="326"/>
      <c r="BZ39" s="332">
        <f t="shared" si="277"/>
        <v>0</v>
      </c>
      <c r="CA39" s="328"/>
      <c r="CB39" s="328">
        <f t="shared" si="245"/>
        <v>0</v>
      </c>
      <c r="CC39" s="333">
        <f t="shared" si="278"/>
        <v>0</v>
      </c>
      <c r="CD39" s="295">
        <f t="shared" si="246"/>
        <v>0</v>
      </c>
      <c r="CE39" s="333">
        <f t="shared" si="279"/>
        <v>0</v>
      </c>
      <c r="CF39" s="297"/>
      <c r="CG39" s="297">
        <f t="shared" si="280"/>
        <v>0</v>
      </c>
      <c r="CH39" s="334">
        <f t="shared" si="281"/>
        <v>0</v>
      </c>
      <c r="CI39" s="295">
        <f t="shared" si="282"/>
        <v>0</v>
      </c>
      <c r="CJ39" s="335">
        <f t="shared" si="283"/>
        <v>0</v>
      </c>
    </row>
    <row r="40" spans="1:88">
      <c r="A40" s="67"/>
      <c r="B40" s="68"/>
      <c r="C40" s="300"/>
      <c r="D40" s="292"/>
      <c r="E40" s="326"/>
      <c r="F40" s="332">
        <f t="shared" si="247"/>
        <v>0</v>
      </c>
      <c r="G40" s="326"/>
      <c r="H40" s="332">
        <f t="shared" si="248"/>
        <v>0</v>
      </c>
      <c r="I40" s="292"/>
      <c r="J40" s="326"/>
      <c r="K40" s="332">
        <f t="shared" si="249"/>
        <v>0</v>
      </c>
      <c r="L40" s="326"/>
      <c r="M40" s="332">
        <f t="shared" si="250"/>
        <v>0</v>
      </c>
      <c r="N40" s="292"/>
      <c r="O40" s="326"/>
      <c r="P40" s="332">
        <f t="shared" si="251"/>
        <v>0</v>
      </c>
      <c r="Q40" s="326"/>
      <c r="R40" s="332">
        <f t="shared" si="252"/>
        <v>0</v>
      </c>
      <c r="S40" s="328"/>
      <c r="T40" s="328">
        <f t="shared" si="240"/>
        <v>0</v>
      </c>
      <c r="U40" s="333">
        <f t="shared" si="253"/>
        <v>0</v>
      </c>
      <c r="V40" s="295">
        <f t="shared" si="241"/>
        <v>0</v>
      </c>
      <c r="W40" s="333">
        <f t="shared" si="254"/>
        <v>0</v>
      </c>
      <c r="X40" s="292"/>
      <c r="Y40" s="326"/>
      <c r="Z40" s="332">
        <f t="shared" si="255"/>
        <v>0</v>
      </c>
      <c r="AA40" s="326"/>
      <c r="AB40" s="332">
        <f t="shared" si="256"/>
        <v>0</v>
      </c>
      <c r="AC40" s="292"/>
      <c r="AD40" s="326"/>
      <c r="AE40" s="332">
        <f t="shared" si="257"/>
        <v>0</v>
      </c>
      <c r="AF40" s="326"/>
      <c r="AG40" s="332">
        <f t="shared" si="258"/>
        <v>0</v>
      </c>
      <c r="AH40" s="292"/>
      <c r="AI40" s="326"/>
      <c r="AJ40" s="332">
        <f t="shared" si="259"/>
        <v>0</v>
      </c>
      <c r="AK40" s="326"/>
      <c r="AL40" s="332">
        <f t="shared" si="260"/>
        <v>0</v>
      </c>
      <c r="AM40" s="328"/>
      <c r="AN40" s="328">
        <f t="shared" si="242"/>
        <v>0</v>
      </c>
      <c r="AO40" s="333">
        <f t="shared" si="261"/>
        <v>0</v>
      </c>
      <c r="AP40" s="295">
        <f t="shared" si="262"/>
        <v>0</v>
      </c>
      <c r="AQ40" s="333">
        <f t="shared" si="263"/>
        <v>0</v>
      </c>
      <c r="AR40" s="292"/>
      <c r="AS40" s="326"/>
      <c r="AT40" s="332">
        <f t="shared" si="264"/>
        <v>0</v>
      </c>
      <c r="AU40" s="326"/>
      <c r="AV40" s="332">
        <f t="shared" si="265"/>
        <v>0</v>
      </c>
      <c r="AW40" s="292"/>
      <c r="AX40" s="326"/>
      <c r="AY40" s="332">
        <f t="shared" si="266"/>
        <v>0</v>
      </c>
      <c r="AZ40" s="326"/>
      <c r="BA40" s="332">
        <f t="shared" si="267"/>
        <v>0</v>
      </c>
      <c r="BB40" s="292"/>
      <c r="BC40" s="326"/>
      <c r="BD40" s="332">
        <f t="shared" si="268"/>
        <v>0</v>
      </c>
      <c r="BE40" s="326"/>
      <c r="BF40" s="332">
        <f t="shared" si="269"/>
        <v>0</v>
      </c>
      <c r="BG40" s="328"/>
      <c r="BH40" s="328">
        <f t="shared" si="243"/>
        <v>0</v>
      </c>
      <c r="BI40" s="333">
        <f t="shared" si="270"/>
        <v>0</v>
      </c>
      <c r="BJ40" s="295">
        <f t="shared" si="244"/>
        <v>0</v>
      </c>
      <c r="BK40" s="333">
        <f t="shared" si="271"/>
        <v>0</v>
      </c>
      <c r="BL40" s="292"/>
      <c r="BM40" s="326"/>
      <c r="BN40" s="332">
        <f t="shared" si="272"/>
        <v>0</v>
      </c>
      <c r="BO40" s="326"/>
      <c r="BP40" s="332">
        <f t="shared" si="273"/>
        <v>0</v>
      </c>
      <c r="BQ40" s="292"/>
      <c r="BR40" s="326"/>
      <c r="BS40" s="332">
        <f t="shared" si="274"/>
        <v>0</v>
      </c>
      <c r="BT40" s="326"/>
      <c r="BU40" s="332">
        <f t="shared" si="275"/>
        <v>0</v>
      </c>
      <c r="BV40" s="292"/>
      <c r="BW40" s="326"/>
      <c r="BX40" s="332">
        <f t="shared" si="276"/>
        <v>0</v>
      </c>
      <c r="BY40" s="326"/>
      <c r="BZ40" s="332">
        <f t="shared" si="277"/>
        <v>0</v>
      </c>
      <c r="CA40" s="328"/>
      <c r="CB40" s="328">
        <f t="shared" si="245"/>
        <v>0</v>
      </c>
      <c r="CC40" s="333">
        <f t="shared" si="278"/>
        <v>0</v>
      </c>
      <c r="CD40" s="295">
        <f t="shared" si="246"/>
        <v>0</v>
      </c>
      <c r="CE40" s="333">
        <f t="shared" si="279"/>
        <v>0</v>
      </c>
      <c r="CF40" s="297"/>
      <c r="CG40" s="297">
        <f t="shared" si="280"/>
        <v>0</v>
      </c>
      <c r="CH40" s="334">
        <f t="shared" si="281"/>
        <v>0</v>
      </c>
      <c r="CI40" s="295">
        <f t="shared" si="282"/>
        <v>0</v>
      </c>
      <c r="CJ40" s="335">
        <f t="shared" si="283"/>
        <v>0</v>
      </c>
    </row>
    <row r="41" spans="1:88">
      <c r="A41" s="67"/>
      <c r="B41" s="68"/>
      <c r="C41" s="300"/>
      <c r="D41" s="292"/>
      <c r="E41" s="326"/>
      <c r="F41" s="332">
        <f t="shared" si="247"/>
        <v>0</v>
      </c>
      <c r="G41" s="326"/>
      <c r="H41" s="332">
        <f t="shared" si="248"/>
        <v>0</v>
      </c>
      <c r="I41" s="292"/>
      <c r="J41" s="326"/>
      <c r="K41" s="332">
        <f t="shared" si="249"/>
        <v>0</v>
      </c>
      <c r="L41" s="326"/>
      <c r="M41" s="332">
        <f t="shared" si="250"/>
        <v>0</v>
      </c>
      <c r="N41" s="292"/>
      <c r="O41" s="326"/>
      <c r="P41" s="332">
        <f t="shared" si="251"/>
        <v>0</v>
      </c>
      <c r="Q41" s="326"/>
      <c r="R41" s="332">
        <f t="shared" si="252"/>
        <v>0</v>
      </c>
      <c r="S41" s="328"/>
      <c r="T41" s="328">
        <f t="shared" si="240"/>
        <v>0</v>
      </c>
      <c r="U41" s="333">
        <f t="shared" si="253"/>
        <v>0</v>
      </c>
      <c r="V41" s="295">
        <f t="shared" si="241"/>
        <v>0</v>
      </c>
      <c r="W41" s="333">
        <f t="shared" si="254"/>
        <v>0</v>
      </c>
      <c r="X41" s="292"/>
      <c r="Y41" s="326"/>
      <c r="Z41" s="332">
        <f t="shared" si="255"/>
        <v>0</v>
      </c>
      <c r="AA41" s="326"/>
      <c r="AB41" s="332">
        <f t="shared" si="256"/>
        <v>0</v>
      </c>
      <c r="AC41" s="292"/>
      <c r="AD41" s="326"/>
      <c r="AE41" s="332">
        <f t="shared" si="257"/>
        <v>0</v>
      </c>
      <c r="AF41" s="326"/>
      <c r="AG41" s="332">
        <f t="shared" si="258"/>
        <v>0</v>
      </c>
      <c r="AH41" s="292"/>
      <c r="AI41" s="326"/>
      <c r="AJ41" s="332">
        <f t="shared" si="259"/>
        <v>0</v>
      </c>
      <c r="AK41" s="326"/>
      <c r="AL41" s="332">
        <f t="shared" si="260"/>
        <v>0</v>
      </c>
      <c r="AM41" s="328"/>
      <c r="AN41" s="328">
        <f t="shared" si="242"/>
        <v>0</v>
      </c>
      <c r="AO41" s="333">
        <f t="shared" si="261"/>
        <v>0</v>
      </c>
      <c r="AP41" s="295">
        <f t="shared" si="262"/>
        <v>0</v>
      </c>
      <c r="AQ41" s="333">
        <f t="shared" si="263"/>
        <v>0</v>
      </c>
      <c r="AR41" s="292"/>
      <c r="AS41" s="326"/>
      <c r="AT41" s="332">
        <f t="shared" si="264"/>
        <v>0</v>
      </c>
      <c r="AU41" s="326"/>
      <c r="AV41" s="332">
        <f t="shared" si="265"/>
        <v>0</v>
      </c>
      <c r="AW41" s="292"/>
      <c r="AX41" s="326"/>
      <c r="AY41" s="332">
        <f t="shared" si="266"/>
        <v>0</v>
      </c>
      <c r="AZ41" s="326"/>
      <c r="BA41" s="332">
        <f t="shared" si="267"/>
        <v>0</v>
      </c>
      <c r="BB41" s="292"/>
      <c r="BC41" s="326"/>
      <c r="BD41" s="332">
        <f t="shared" si="268"/>
        <v>0</v>
      </c>
      <c r="BE41" s="326"/>
      <c r="BF41" s="332">
        <f t="shared" si="269"/>
        <v>0</v>
      </c>
      <c r="BG41" s="328"/>
      <c r="BH41" s="328">
        <f t="shared" si="243"/>
        <v>0</v>
      </c>
      <c r="BI41" s="333">
        <f t="shared" si="270"/>
        <v>0</v>
      </c>
      <c r="BJ41" s="295">
        <f t="shared" si="244"/>
        <v>0</v>
      </c>
      <c r="BK41" s="333">
        <f t="shared" si="271"/>
        <v>0</v>
      </c>
      <c r="BL41" s="292"/>
      <c r="BM41" s="326"/>
      <c r="BN41" s="332">
        <f t="shared" si="272"/>
        <v>0</v>
      </c>
      <c r="BO41" s="326"/>
      <c r="BP41" s="332">
        <f t="shared" si="273"/>
        <v>0</v>
      </c>
      <c r="BQ41" s="292"/>
      <c r="BR41" s="326"/>
      <c r="BS41" s="332">
        <f t="shared" si="274"/>
        <v>0</v>
      </c>
      <c r="BT41" s="326"/>
      <c r="BU41" s="332">
        <f t="shared" si="275"/>
        <v>0</v>
      </c>
      <c r="BV41" s="292"/>
      <c r="BW41" s="326"/>
      <c r="BX41" s="332">
        <f t="shared" si="276"/>
        <v>0</v>
      </c>
      <c r="BY41" s="326"/>
      <c r="BZ41" s="332">
        <f t="shared" si="277"/>
        <v>0</v>
      </c>
      <c r="CA41" s="328"/>
      <c r="CB41" s="328">
        <f t="shared" si="245"/>
        <v>0</v>
      </c>
      <c r="CC41" s="333">
        <f t="shared" si="278"/>
        <v>0</v>
      </c>
      <c r="CD41" s="295">
        <f t="shared" si="246"/>
        <v>0</v>
      </c>
      <c r="CE41" s="333">
        <f t="shared" si="279"/>
        <v>0</v>
      </c>
      <c r="CF41" s="297"/>
      <c r="CG41" s="297">
        <f t="shared" si="280"/>
        <v>0</v>
      </c>
      <c r="CH41" s="334">
        <f t="shared" si="281"/>
        <v>0</v>
      </c>
      <c r="CI41" s="295">
        <f t="shared" si="282"/>
        <v>0</v>
      </c>
      <c r="CJ41" s="335">
        <f t="shared" si="283"/>
        <v>0</v>
      </c>
    </row>
    <row r="42" spans="1:88">
      <c r="A42" s="66"/>
      <c r="B42" s="64" t="s">
        <v>123</v>
      </c>
      <c r="C42" s="64"/>
      <c r="D42" s="336">
        <v>0</v>
      </c>
      <c r="E42" s="336">
        <f>SUM(E37:E41)</f>
        <v>0</v>
      </c>
      <c r="F42" s="322">
        <f t="shared" si="247"/>
        <v>0</v>
      </c>
      <c r="G42" s="320">
        <f>SUM(G37:G41)</f>
        <v>0</v>
      </c>
      <c r="H42" s="322">
        <f t="shared" si="248"/>
        <v>0</v>
      </c>
      <c r="I42" s="320">
        <v>0</v>
      </c>
      <c r="J42" s="320">
        <f>SUM(J37:J41)</f>
        <v>0</v>
      </c>
      <c r="K42" s="322">
        <f t="shared" si="249"/>
        <v>0</v>
      </c>
      <c r="L42" s="320">
        <f>SUM(L37:L41)</f>
        <v>0</v>
      </c>
      <c r="M42" s="322">
        <f t="shared" si="250"/>
        <v>0</v>
      </c>
      <c r="N42" s="320">
        <v>0</v>
      </c>
      <c r="O42" s="320">
        <f>SUM(O37:O41)</f>
        <v>0</v>
      </c>
      <c r="P42" s="322">
        <f t="shared" si="251"/>
        <v>0</v>
      </c>
      <c r="Q42" s="320">
        <f>SUM(Q37:Q41)</f>
        <v>0</v>
      </c>
      <c r="R42" s="322">
        <f t="shared" si="252"/>
        <v>0</v>
      </c>
      <c r="S42" s="320">
        <v>0</v>
      </c>
      <c r="T42" s="320">
        <f>SUM(T37:T41)</f>
        <v>0</v>
      </c>
      <c r="U42" s="322">
        <f t="shared" si="253"/>
        <v>0</v>
      </c>
      <c r="V42" s="320">
        <f>SUM(V37:V41)</f>
        <v>0</v>
      </c>
      <c r="W42" s="322">
        <f t="shared" si="254"/>
        <v>0</v>
      </c>
      <c r="X42" s="320">
        <v>0</v>
      </c>
      <c r="Y42" s="320">
        <f>SUM(Y37:Y41)</f>
        <v>0</v>
      </c>
      <c r="Z42" s="322">
        <f t="shared" si="255"/>
        <v>0</v>
      </c>
      <c r="AA42" s="320">
        <f>SUM(AA37:AA41)</f>
        <v>0</v>
      </c>
      <c r="AB42" s="322">
        <f t="shared" si="256"/>
        <v>0</v>
      </c>
      <c r="AC42" s="320">
        <v>0</v>
      </c>
      <c r="AD42" s="320">
        <f>SUM(AD37:AD41)</f>
        <v>0</v>
      </c>
      <c r="AE42" s="322">
        <f t="shared" si="257"/>
        <v>0</v>
      </c>
      <c r="AF42" s="320">
        <f>SUM(AF37:AF41)</f>
        <v>0</v>
      </c>
      <c r="AG42" s="322">
        <f t="shared" si="258"/>
        <v>0</v>
      </c>
      <c r="AH42" s="320">
        <v>0</v>
      </c>
      <c r="AI42" s="320">
        <f>SUM(AI37:AI41)</f>
        <v>0</v>
      </c>
      <c r="AJ42" s="322">
        <f t="shared" si="259"/>
        <v>0</v>
      </c>
      <c r="AK42" s="320">
        <f>SUM(AK37:AK41)</f>
        <v>0</v>
      </c>
      <c r="AL42" s="322">
        <f t="shared" si="260"/>
        <v>0</v>
      </c>
      <c r="AM42" s="320">
        <v>0</v>
      </c>
      <c r="AN42" s="320">
        <f>SUM(AN37:AN41)</f>
        <v>0</v>
      </c>
      <c r="AO42" s="322">
        <f t="shared" si="261"/>
        <v>0</v>
      </c>
      <c r="AP42" s="320">
        <f>SUM(AP37:AP41)</f>
        <v>0</v>
      </c>
      <c r="AQ42" s="322">
        <f t="shared" si="263"/>
        <v>0</v>
      </c>
      <c r="AR42" s="320">
        <v>0</v>
      </c>
      <c r="AS42" s="320">
        <f>SUM(AS37:AS41)</f>
        <v>0</v>
      </c>
      <c r="AT42" s="322">
        <f t="shared" si="264"/>
        <v>0</v>
      </c>
      <c r="AU42" s="320">
        <f>SUM(AU37:AU41)</f>
        <v>0</v>
      </c>
      <c r="AV42" s="322">
        <f t="shared" si="265"/>
        <v>0</v>
      </c>
      <c r="AW42" s="320">
        <v>0</v>
      </c>
      <c r="AX42" s="320">
        <f>SUM(AX37:AX41)</f>
        <v>0</v>
      </c>
      <c r="AY42" s="322">
        <f t="shared" si="266"/>
        <v>0</v>
      </c>
      <c r="AZ42" s="320">
        <f>SUM(AZ37:AZ41)</f>
        <v>0</v>
      </c>
      <c r="BA42" s="322">
        <f t="shared" si="267"/>
        <v>0</v>
      </c>
      <c r="BB42" s="320">
        <v>0</v>
      </c>
      <c r="BC42" s="320">
        <f>SUM(BC37:BC41)</f>
        <v>0</v>
      </c>
      <c r="BD42" s="322">
        <f t="shared" si="268"/>
        <v>0</v>
      </c>
      <c r="BE42" s="320">
        <f>SUM(BE37:BE41)</f>
        <v>0</v>
      </c>
      <c r="BF42" s="322">
        <f t="shared" si="269"/>
        <v>0</v>
      </c>
      <c r="BG42" s="320">
        <v>0</v>
      </c>
      <c r="BH42" s="320">
        <f>SUM(BH37:BH41)</f>
        <v>0</v>
      </c>
      <c r="BI42" s="322">
        <f t="shared" si="270"/>
        <v>0</v>
      </c>
      <c r="BJ42" s="320">
        <f>SUM(BJ37:BJ41)</f>
        <v>0</v>
      </c>
      <c r="BK42" s="322">
        <f t="shared" si="271"/>
        <v>0</v>
      </c>
      <c r="BL42" s="320">
        <v>0</v>
      </c>
      <c r="BM42" s="320">
        <f>SUM(BM37:BM41)</f>
        <v>0</v>
      </c>
      <c r="BN42" s="322">
        <f t="shared" si="272"/>
        <v>0</v>
      </c>
      <c r="BO42" s="320">
        <f>SUM(BO37:BO41)</f>
        <v>0</v>
      </c>
      <c r="BP42" s="322">
        <f t="shared" si="273"/>
        <v>0</v>
      </c>
      <c r="BQ42" s="320">
        <v>0</v>
      </c>
      <c r="BR42" s="320">
        <f>SUM(BR37:BR41)</f>
        <v>0</v>
      </c>
      <c r="BS42" s="322">
        <f t="shared" si="274"/>
        <v>0</v>
      </c>
      <c r="BT42" s="320">
        <f>SUM(BT37:BT41)</f>
        <v>0</v>
      </c>
      <c r="BU42" s="322">
        <f t="shared" si="275"/>
        <v>0</v>
      </c>
      <c r="BV42" s="320">
        <v>0</v>
      </c>
      <c r="BW42" s="320">
        <f>SUM(BW37:BW41)</f>
        <v>0</v>
      </c>
      <c r="BX42" s="322">
        <f t="shared" si="276"/>
        <v>0</v>
      </c>
      <c r="BY42" s="320">
        <f>SUM(BY37:BY41)</f>
        <v>0</v>
      </c>
      <c r="BZ42" s="322">
        <f t="shared" si="277"/>
        <v>0</v>
      </c>
      <c r="CA42" s="320">
        <v>0</v>
      </c>
      <c r="CB42" s="320">
        <f>SUM(CB37:CB41)</f>
        <v>0</v>
      </c>
      <c r="CC42" s="322">
        <f t="shared" si="278"/>
        <v>0</v>
      </c>
      <c r="CD42" s="320">
        <f>SUM(CD37:CD41)</f>
        <v>0</v>
      </c>
      <c r="CE42" s="322">
        <f t="shared" si="279"/>
        <v>0</v>
      </c>
      <c r="CF42" s="320">
        <v>0</v>
      </c>
      <c r="CG42" s="320">
        <f>AN42+BH42+CB42</f>
        <v>0</v>
      </c>
      <c r="CH42" s="322">
        <f t="shared" si="281"/>
        <v>0</v>
      </c>
      <c r="CI42" s="320">
        <f t="shared" si="282"/>
        <v>0</v>
      </c>
      <c r="CJ42" s="322">
        <f t="shared" si="283"/>
        <v>0</v>
      </c>
    </row>
    <row r="43" spans="1:88" ht="14.65" thickBot="1">
      <c r="A43" s="7"/>
      <c r="B43" s="7"/>
      <c r="C43" s="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7"/>
      <c r="R43" s="337"/>
      <c r="S43" s="337"/>
      <c r="T43" s="337"/>
      <c r="U43" s="337"/>
      <c r="V43" s="337"/>
      <c r="W43" s="337"/>
      <c r="X43" s="337"/>
      <c r="Y43" s="337"/>
      <c r="Z43" s="337"/>
      <c r="AA43" s="337"/>
      <c r="AB43" s="337"/>
      <c r="AC43" s="337"/>
      <c r="AD43" s="337"/>
      <c r="AE43" s="337"/>
      <c r="AF43" s="337"/>
      <c r="AG43" s="337"/>
      <c r="AH43" s="337"/>
      <c r="AI43" s="337"/>
      <c r="AJ43" s="337"/>
      <c r="AK43" s="337"/>
      <c r="AL43" s="337"/>
      <c r="AM43" s="337"/>
      <c r="AN43" s="337"/>
      <c r="AO43" s="337"/>
      <c r="AP43" s="337"/>
      <c r="AQ43" s="337"/>
      <c r="AR43" s="337"/>
      <c r="AS43" s="337"/>
      <c r="AT43" s="337"/>
      <c r="AU43" s="337"/>
      <c r="AV43" s="337"/>
      <c r="AW43" s="337"/>
      <c r="AX43" s="337"/>
      <c r="AY43" s="337"/>
      <c r="AZ43" s="337"/>
      <c r="BA43" s="337"/>
      <c r="BB43" s="337"/>
      <c r="BC43" s="337"/>
      <c r="BD43" s="337"/>
      <c r="BE43" s="337"/>
      <c r="BF43" s="337"/>
      <c r="BG43" s="337"/>
      <c r="BH43" s="337"/>
      <c r="BI43" s="337"/>
      <c r="BJ43" s="337"/>
      <c r="BK43" s="337"/>
      <c r="BL43" s="337"/>
      <c r="BM43" s="337"/>
      <c r="BN43" s="338"/>
      <c r="BO43" s="337"/>
      <c r="BP43" s="338"/>
      <c r="BQ43" s="337"/>
      <c r="BR43" s="337"/>
      <c r="BS43" s="337"/>
      <c r="BT43" s="337"/>
      <c r="BU43" s="337"/>
      <c r="BV43" s="337"/>
      <c r="BW43" s="337"/>
      <c r="BX43" s="337"/>
      <c r="BY43" s="337"/>
      <c r="BZ43" s="337"/>
      <c r="CA43" s="337"/>
      <c r="CB43" s="337"/>
      <c r="CC43" s="337"/>
      <c r="CD43" s="337"/>
      <c r="CE43" s="337"/>
      <c r="CF43" s="337"/>
      <c r="CG43" s="337"/>
      <c r="CH43" s="337"/>
      <c r="CI43" s="337"/>
      <c r="CJ43" s="337"/>
    </row>
    <row r="44" spans="1:88" ht="26.25">
      <c r="A44" s="66" t="s">
        <v>101</v>
      </c>
      <c r="B44" s="66" t="s">
        <v>149</v>
      </c>
      <c r="C44" s="66"/>
      <c r="D44" s="288" t="s">
        <v>151</v>
      </c>
      <c r="E44" s="289" t="s">
        <v>122</v>
      </c>
      <c r="F44" s="289" t="s">
        <v>33</v>
      </c>
      <c r="G44" s="289" t="s">
        <v>34</v>
      </c>
      <c r="H44" s="290" t="s">
        <v>35</v>
      </c>
      <c r="I44" s="288" t="s">
        <v>151</v>
      </c>
      <c r="J44" s="289" t="s">
        <v>122</v>
      </c>
      <c r="K44" s="289" t="s">
        <v>33</v>
      </c>
      <c r="L44" s="289" t="s">
        <v>34</v>
      </c>
      <c r="M44" s="290" t="s">
        <v>35</v>
      </c>
      <c r="N44" s="288" t="s">
        <v>151</v>
      </c>
      <c r="O44" s="289" t="s">
        <v>122</v>
      </c>
      <c r="P44" s="289" t="s">
        <v>33</v>
      </c>
      <c r="Q44" s="289" t="s">
        <v>34</v>
      </c>
      <c r="R44" s="290" t="s">
        <v>35</v>
      </c>
      <c r="S44" s="288" t="s">
        <v>151</v>
      </c>
      <c r="T44" s="289" t="s">
        <v>122</v>
      </c>
      <c r="U44" s="289" t="s">
        <v>33</v>
      </c>
      <c r="V44" s="289" t="s">
        <v>34</v>
      </c>
      <c r="W44" s="290" t="s">
        <v>35</v>
      </c>
      <c r="X44" s="288" t="s">
        <v>151</v>
      </c>
      <c r="Y44" s="289" t="s">
        <v>122</v>
      </c>
      <c r="Z44" s="289" t="s">
        <v>33</v>
      </c>
      <c r="AA44" s="289" t="s">
        <v>34</v>
      </c>
      <c r="AB44" s="290" t="s">
        <v>35</v>
      </c>
      <c r="AC44" s="288" t="s">
        <v>151</v>
      </c>
      <c r="AD44" s="289" t="s">
        <v>122</v>
      </c>
      <c r="AE44" s="289" t="s">
        <v>33</v>
      </c>
      <c r="AF44" s="289" t="s">
        <v>34</v>
      </c>
      <c r="AG44" s="290" t="s">
        <v>35</v>
      </c>
      <c r="AH44" s="288" t="s">
        <v>151</v>
      </c>
      <c r="AI44" s="289" t="s">
        <v>122</v>
      </c>
      <c r="AJ44" s="289" t="s">
        <v>33</v>
      </c>
      <c r="AK44" s="289" t="s">
        <v>34</v>
      </c>
      <c r="AL44" s="290" t="s">
        <v>35</v>
      </c>
      <c r="AM44" s="288" t="s">
        <v>151</v>
      </c>
      <c r="AN44" s="289" t="s">
        <v>122</v>
      </c>
      <c r="AO44" s="289" t="s">
        <v>33</v>
      </c>
      <c r="AP44" s="289" t="s">
        <v>34</v>
      </c>
      <c r="AQ44" s="290" t="s">
        <v>35</v>
      </c>
      <c r="AR44" s="288" t="s">
        <v>151</v>
      </c>
      <c r="AS44" s="289" t="s">
        <v>122</v>
      </c>
      <c r="AT44" s="289" t="s">
        <v>33</v>
      </c>
      <c r="AU44" s="289" t="s">
        <v>34</v>
      </c>
      <c r="AV44" s="290" t="s">
        <v>35</v>
      </c>
      <c r="AW44" s="288" t="s">
        <v>151</v>
      </c>
      <c r="AX44" s="289" t="s">
        <v>122</v>
      </c>
      <c r="AY44" s="289" t="s">
        <v>33</v>
      </c>
      <c r="AZ44" s="289" t="s">
        <v>34</v>
      </c>
      <c r="BA44" s="290" t="s">
        <v>35</v>
      </c>
      <c r="BB44" s="288" t="s">
        <v>151</v>
      </c>
      <c r="BC44" s="289" t="s">
        <v>122</v>
      </c>
      <c r="BD44" s="289" t="s">
        <v>33</v>
      </c>
      <c r="BE44" s="289" t="s">
        <v>34</v>
      </c>
      <c r="BF44" s="290" t="s">
        <v>35</v>
      </c>
      <c r="BG44" s="288" t="s">
        <v>151</v>
      </c>
      <c r="BH44" s="289" t="s">
        <v>122</v>
      </c>
      <c r="BI44" s="289" t="s">
        <v>33</v>
      </c>
      <c r="BJ44" s="289" t="s">
        <v>34</v>
      </c>
      <c r="BK44" s="290" t="s">
        <v>35</v>
      </c>
      <c r="BL44" s="288" t="s">
        <v>151</v>
      </c>
      <c r="BM44" s="289" t="s">
        <v>122</v>
      </c>
      <c r="BN44" s="289" t="s">
        <v>33</v>
      </c>
      <c r="BO44" s="289" t="s">
        <v>34</v>
      </c>
      <c r="BP44" s="290" t="s">
        <v>35</v>
      </c>
      <c r="BQ44" s="288" t="s">
        <v>151</v>
      </c>
      <c r="BR44" s="289" t="s">
        <v>122</v>
      </c>
      <c r="BS44" s="289" t="s">
        <v>33</v>
      </c>
      <c r="BT44" s="289" t="s">
        <v>34</v>
      </c>
      <c r="BU44" s="290" t="s">
        <v>35</v>
      </c>
      <c r="BV44" s="288" t="s">
        <v>151</v>
      </c>
      <c r="BW44" s="289" t="s">
        <v>122</v>
      </c>
      <c r="BX44" s="289" t="s">
        <v>33</v>
      </c>
      <c r="BY44" s="289" t="s">
        <v>34</v>
      </c>
      <c r="BZ44" s="290" t="s">
        <v>35</v>
      </c>
      <c r="CA44" s="288" t="s">
        <v>151</v>
      </c>
      <c r="CB44" s="289" t="s">
        <v>122</v>
      </c>
      <c r="CC44" s="289" t="s">
        <v>33</v>
      </c>
      <c r="CD44" s="289" t="s">
        <v>34</v>
      </c>
      <c r="CE44" s="290" t="s">
        <v>35</v>
      </c>
      <c r="CF44" s="288" t="s">
        <v>151</v>
      </c>
      <c r="CG44" s="289" t="s">
        <v>122</v>
      </c>
      <c r="CH44" s="289" t="s">
        <v>33</v>
      </c>
      <c r="CI44" s="289" t="s">
        <v>34</v>
      </c>
      <c r="CJ44" s="290" t="s">
        <v>35</v>
      </c>
    </row>
    <row r="45" spans="1:88">
      <c r="A45" s="67" t="s">
        <v>125</v>
      </c>
      <c r="B45" s="465" t="s">
        <v>126</v>
      </c>
      <c r="C45" s="291">
        <v>43851</v>
      </c>
      <c r="D45" s="353"/>
      <c r="E45" s="326"/>
      <c r="F45" s="332">
        <f t="shared" ref="F45:F50" si="284">IFERROR(D45/E45,0)</f>
        <v>0</v>
      </c>
      <c r="G45" s="230">
        <f t="shared" ref="G45" ca="1" si="285">D45+RANDBETWEEN(1000,10000)</f>
        <v>3022</v>
      </c>
      <c r="H45" s="332">
        <f t="shared" ref="H45:H51" ca="1" si="286">IFERROR(G45/E45,0)</f>
        <v>0</v>
      </c>
      <c r="I45" s="353">
        <v>7245</v>
      </c>
      <c r="J45" s="326"/>
      <c r="K45" s="332">
        <f t="shared" ref="K45:K51" si="287">IFERROR(I45/J45,0)</f>
        <v>0</v>
      </c>
      <c r="L45" s="230">
        <f t="shared" ref="L45" ca="1" si="288">I45+RANDBETWEEN(1000,10000)</f>
        <v>14543</v>
      </c>
      <c r="M45" s="332">
        <f t="shared" ref="M45:M51" ca="1" si="289">IFERROR(L45/J45,0)</f>
        <v>0</v>
      </c>
      <c r="N45" s="353">
        <v>4007</v>
      </c>
      <c r="O45" s="326"/>
      <c r="P45" s="332">
        <f t="shared" ref="P45:P51" si="290">IFERROR(N45/O45,0)</f>
        <v>0</v>
      </c>
      <c r="Q45" s="230">
        <f t="shared" ref="Q45" ca="1" si="291">N45+RANDBETWEEN(1000,10000)</f>
        <v>12091</v>
      </c>
      <c r="R45" s="332">
        <f t="shared" ref="R45:R51" ca="1" si="292">IFERROR(Q45/O45,0)</f>
        <v>0</v>
      </c>
      <c r="S45" s="398">
        <v>4423</v>
      </c>
      <c r="T45" s="328">
        <f t="shared" ref="T45:T46" si="293">E45+J45+O45</f>
        <v>0</v>
      </c>
      <c r="U45" s="333">
        <f t="shared" ref="U45:U51" si="294">IFERROR(S45/T45,0)</f>
        <v>0</v>
      </c>
      <c r="V45" s="295">
        <f t="shared" ref="V45:V46" ca="1" si="295">G45+L45+Q45</f>
        <v>29656</v>
      </c>
      <c r="W45" s="333">
        <f t="shared" ref="W45:W51" ca="1" si="296">IFERROR(V45/T45,0)</f>
        <v>0</v>
      </c>
      <c r="X45" s="353">
        <v>9905</v>
      </c>
      <c r="Y45" s="326"/>
      <c r="Z45" s="332">
        <f t="shared" ref="Z45:Z51" si="297">IFERROR(X45/Y45,0)</f>
        <v>0</v>
      </c>
      <c r="AA45" s="230">
        <f t="shared" ref="AA45:AA47" ca="1" si="298">X45+RANDBETWEEN(1000,10000)</f>
        <v>18975</v>
      </c>
      <c r="AB45" s="332">
        <f t="shared" ref="AB45:AB51" ca="1" si="299">IFERROR(AA45/Y45,0)</f>
        <v>0</v>
      </c>
      <c r="AC45" s="353">
        <v>3395</v>
      </c>
      <c r="AD45" s="326"/>
      <c r="AE45" s="332">
        <f t="shared" ref="AE45:AE51" si="300">IFERROR(AC45/AD45,0)</f>
        <v>0</v>
      </c>
      <c r="AF45" s="230">
        <f t="shared" ref="AF45:AF47" ca="1" si="301">AC45+RANDBETWEEN(1000,10000)</f>
        <v>4811</v>
      </c>
      <c r="AG45" s="332">
        <f t="shared" ref="AG45:AG51" ca="1" si="302">IFERROR(AF45/AD45,0)</f>
        <v>0</v>
      </c>
      <c r="AH45" s="353">
        <v>5723</v>
      </c>
      <c r="AI45" s="326"/>
      <c r="AJ45" s="332">
        <f t="shared" ref="AJ45:AJ51" si="303">IFERROR(AH45/AI45,0)</f>
        <v>0</v>
      </c>
      <c r="AK45" s="230">
        <f t="shared" ref="AK45:AK47" ca="1" si="304">AH45+RANDBETWEEN(1000,10000)</f>
        <v>15002</v>
      </c>
      <c r="AL45" s="332">
        <f t="shared" ref="AL45:AL51" ca="1" si="305">IFERROR(AK45/AI45,0)</f>
        <v>0</v>
      </c>
      <c r="AM45" s="398">
        <v>8887</v>
      </c>
      <c r="AN45" s="328">
        <f t="shared" ref="AN45:AN46" si="306">Y45+AD45+AI45</f>
        <v>0</v>
      </c>
      <c r="AO45" s="333">
        <f t="shared" ref="AO45:AO51" si="307">IFERROR(AM45/AN45,0)</f>
        <v>0</v>
      </c>
      <c r="AP45" s="295">
        <f t="shared" ref="AP45:AP46" ca="1" si="308">AA45+AF45+AK45</f>
        <v>38788</v>
      </c>
      <c r="AQ45" s="333">
        <f t="shared" ref="AQ45:AQ51" ca="1" si="309">IFERROR(AP45/AN45,0)</f>
        <v>0</v>
      </c>
      <c r="AR45" s="353">
        <v>6478</v>
      </c>
      <c r="AS45" s="326"/>
      <c r="AT45" s="332">
        <f t="shared" ref="AT45:AT51" si="310">IFERROR(AR45/AS45,0)</f>
        <v>0</v>
      </c>
      <c r="AU45" s="230">
        <f t="shared" ref="AU45:AU47" ca="1" si="311">AR45+RANDBETWEEN(1000,10000)</f>
        <v>10675</v>
      </c>
      <c r="AV45" s="332">
        <f t="shared" ref="AV45:AV51" ca="1" si="312">IFERROR(AU45/AS45,0)</f>
        <v>0</v>
      </c>
      <c r="AW45" s="353">
        <v>6248</v>
      </c>
      <c r="AX45" s="326"/>
      <c r="AY45" s="332">
        <f t="shared" ref="AY45:AY51" si="313">IFERROR(AW45/AX45,0)</f>
        <v>0</v>
      </c>
      <c r="AZ45" s="230">
        <f t="shared" ref="AZ45:AZ47" ca="1" si="314">AW45+RANDBETWEEN(1000,10000)</f>
        <v>9572</v>
      </c>
      <c r="BA45" s="332">
        <f t="shared" ref="BA45:BA51" ca="1" si="315">IFERROR(AZ45/AX45,0)</f>
        <v>0</v>
      </c>
      <c r="BB45" s="353">
        <v>8611</v>
      </c>
      <c r="BC45" s="326"/>
      <c r="BD45" s="332">
        <f t="shared" ref="BD45:BD51" si="316">IFERROR(BB45/BC45,0)</f>
        <v>0</v>
      </c>
      <c r="BE45" s="230">
        <f t="shared" ref="BE45:BE47" ca="1" si="317">BB45+RANDBETWEEN(1000,10000)</f>
        <v>10867</v>
      </c>
      <c r="BF45" s="332">
        <f t="shared" ref="BF45:BF51" ca="1" si="318">IFERROR(BE45/BC45,0)</f>
        <v>0</v>
      </c>
      <c r="BG45" s="398">
        <v>4209</v>
      </c>
      <c r="BH45" s="328">
        <f t="shared" ref="BH45:BH46" si="319">AS45+AX45+BC45</f>
        <v>0</v>
      </c>
      <c r="BI45" s="333">
        <f t="shared" ref="BI45:BI51" si="320">IFERROR(BG45/BH45,0)</f>
        <v>0</v>
      </c>
      <c r="BJ45" s="295">
        <f t="shared" ref="BJ45:BJ47" ca="1" si="321">AU45+AZ45+BE45</f>
        <v>31114</v>
      </c>
      <c r="BK45" s="333">
        <f t="shared" ref="BK45:BK51" ca="1" si="322">IFERROR(BJ45/BH45,0)</f>
        <v>0</v>
      </c>
      <c r="BL45" s="353">
        <v>8603</v>
      </c>
      <c r="BM45" s="326"/>
      <c r="BN45" s="332">
        <f t="shared" ref="BN45:BN51" si="323">IFERROR(BL45/BM45,0)</f>
        <v>0</v>
      </c>
      <c r="BO45" s="230">
        <f t="shared" ref="BO45:BO47" ca="1" si="324">BL45+RANDBETWEEN(1000,10000)</f>
        <v>10270</v>
      </c>
      <c r="BP45" s="332">
        <f t="shared" ref="BP45:BP51" ca="1" si="325">IFERROR(BO45/BM45,0)</f>
        <v>0</v>
      </c>
      <c r="BQ45" s="353">
        <v>6580</v>
      </c>
      <c r="BR45" s="326"/>
      <c r="BS45" s="332">
        <f t="shared" ref="BS45:BS51" si="326">IFERROR(BQ45/BR45,0)</f>
        <v>0</v>
      </c>
      <c r="BT45" s="230">
        <f t="shared" ref="BT45:BT47" ca="1" si="327">BQ45+RANDBETWEEN(1000,10000)</f>
        <v>10914</v>
      </c>
      <c r="BU45" s="332">
        <f t="shared" ref="BU45:BU51" ca="1" si="328">IFERROR(BT45/BR45,0)</f>
        <v>0</v>
      </c>
      <c r="BV45" s="353">
        <v>6032</v>
      </c>
      <c r="BW45" s="326"/>
      <c r="BX45" s="332">
        <f t="shared" ref="BX45:BX51" si="329">IFERROR(BV45/BW45,0)</f>
        <v>0</v>
      </c>
      <c r="BY45" s="230">
        <f t="shared" ref="BY45:BY47" ca="1" si="330">BV45+RANDBETWEEN(1000,10000)</f>
        <v>12874</v>
      </c>
      <c r="BZ45" s="332">
        <f t="shared" ref="BZ45:BZ51" ca="1" si="331">IFERROR(BY45/BW45,0)</f>
        <v>0</v>
      </c>
      <c r="CA45" s="398">
        <v>2402</v>
      </c>
      <c r="CB45" s="328">
        <f t="shared" ref="CB45:CB46" si="332">BM45+BR45+BW45</f>
        <v>0</v>
      </c>
      <c r="CC45" s="333">
        <f t="shared" ref="CC45:CC51" si="333">IFERROR(CA45/CB45,0)</f>
        <v>0</v>
      </c>
      <c r="CD45" s="295">
        <f t="shared" ref="CD45:CD49" ca="1" si="334">BO45+BT45+BY45</f>
        <v>34058</v>
      </c>
      <c r="CE45" s="333">
        <f t="shared" ref="CE45:CE51" ca="1" si="335">IFERROR(CD45/CB45,0)</f>
        <v>0</v>
      </c>
      <c r="CF45" s="355">
        <v>6481</v>
      </c>
      <c r="CG45" s="297">
        <f t="shared" ref="CG45:CG46" si="336">AN45+BH45+CB45</f>
        <v>0</v>
      </c>
      <c r="CH45" s="334">
        <f t="shared" ref="CH45:CH51" si="337">IFERROR(CF45/CG45,0)</f>
        <v>0</v>
      </c>
      <c r="CI45" s="295">
        <f t="shared" ref="CI45:CI47" ca="1" si="338">AP45+BJ45+CD45</f>
        <v>103960</v>
      </c>
      <c r="CJ45" s="335">
        <f t="shared" ref="CJ45:CJ51" ca="1" si="339">IFERROR(CI45/CG45,0)</f>
        <v>0</v>
      </c>
    </row>
    <row r="46" spans="1:88">
      <c r="A46" s="67" t="s">
        <v>125</v>
      </c>
      <c r="B46" s="465" t="s">
        <v>134</v>
      </c>
      <c r="C46" s="291">
        <v>44307</v>
      </c>
      <c r="D46" s="353"/>
      <c r="E46" s="326"/>
      <c r="F46" s="332">
        <f t="shared" si="284"/>
        <v>0</v>
      </c>
      <c r="G46" s="326"/>
      <c r="H46" s="332">
        <f t="shared" si="286"/>
        <v>0</v>
      </c>
      <c r="I46" s="292"/>
      <c r="J46" s="326"/>
      <c r="K46" s="332">
        <f t="shared" si="287"/>
        <v>0</v>
      </c>
      <c r="L46" s="326"/>
      <c r="M46" s="332">
        <f t="shared" si="289"/>
        <v>0</v>
      </c>
      <c r="N46" s="292"/>
      <c r="O46" s="326"/>
      <c r="P46" s="332">
        <f t="shared" si="290"/>
        <v>0</v>
      </c>
      <c r="Q46" s="326"/>
      <c r="R46" s="332">
        <f t="shared" si="292"/>
        <v>0</v>
      </c>
      <c r="S46" s="328"/>
      <c r="T46" s="328">
        <f t="shared" si="293"/>
        <v>0</v>
      </c>
      <c r="U46" s="333">
        <f t="shared" si="294"/>
        <v>0</v>
      </c>
      <c r="V46" s="295">
        <f t="shared" si="295"/>
        <v>0</v>
      </c>
      <c r="W46" s="333">
        <f t="shared" si="296"/>
        <v>0</v>
      </c>
      <c r="X46" s="353">
        <v>1973</v>
      </c>
      <c r="Y46" s="326"/>
      <c r="Z46" s="332">
        <f t="shared" si="297"/>
        <v>0</v>
      </c>
      <c r="AA46" s="230">
        <f t="shared" ca="1" si="298"/>
        <v>10646</v>
      </c>
      <c r="AB46" s="332">
        <f t="shared" ca="1" si="299"/>
        <v>0</v>
      </c>
      <c r="AC46" s="353">
        <v>9859</v>
      </c>
      <c r="AD46" s="326"/>
      <c r="AE46" s="332">
        <f t="shared" si="300"/>
        <v>0</v>
      </c>
      <c r="AF46" s="230">
        <f t="shared" ca="1" si="301"/>
        <v>12754</v>
      </c>
      <c r="AG46" s="332">
        <f t="shared" ca="1" si="302"/>
        <v>0</v>
      </c>
      <c r="AH46" s="353">
        <v>1998</v>
      </c>
      <c r="AI46" s="326"/>
      <c r="AJ46" s="332">
        <f t="shared" si="303"/>
        <v>0</v>
      </c>
      <c r="AK46" s="230">
        <f t="shared" ca="1" si="304"/>
        <v>3278</v>
      </c>
      <c r="AL46" s="332">
        <f t="shared" ca="1" si="305"/>
        <v>0</v>
      </c>
      <c r="AM46" s="398">
        <v>3015</v>
      </c>
      <c r="AN46" s="328">
        <f t="shared" si="306"/>
        <v>0</v>
      </c>
      <c r="AO46" s="333">
        <f t="shared" si="307"/>
        <v>0</v>
      </c>
      <c r="AP46" s="295">
        <f t="shared" ca="1" si="308"/>
        <v>26678</v>
      </c>
      <c r="AQ46" s="333">
        <f t="shared" ca="1" si="309"/>
        <v>0</v>
      </c>
      <c r="AR46" s="353">
        <v>7929</v>
      </c>
      <c r="AS46" s="326"/>
      <c r="AT46" s="332">
        <f t="shared" si="310"/>
        <v>0</v>
      </c>
      <c r="AU46" s="230">
        <f t="shared" ca="1" si="311"/>
        <v>17374</v>
      </c>
      <c r="AV46" s="332">
        <f t="shared" ca="1" si="312"/>
        <v>0</v>
      </c>
      <c r="AW46" s="353">
        <v>7573</v>
      </c>
      <c r="AX46" s="326"/>
      <c r="AY46" s="332">
        <f t="shared" si="313"/>
        <v>0</v>
      </c>
      <c r="AZ46" s="230">
        <f t="shared" ca="1" si="314"/>
        <v>14048</v>
      </c>
      <c r="BA46" s="332">
        <f t="shared" ca="1" si="315"/>
        <v>0</v>
      </c>
      <c r="BB46" s="353">
        <v>2325</v>
      </c>
      <c r="BC46" s="326"/>
      <c r="BD46" s="332">
        <f t="shared" si="316"/>
        <v>0</v>
      </c>
      <c r="BE46" s="230">
        <f t="shared" ca="1" si="317"/>
        <v>7626</v>
      </c>
      <c r="BF46" s="332">
        <f t="shared" ca="1" si="318"/>
        <v>0</v>
      </c>
      <c r="BG46" s="398">
        <v>6136</v>
      </c>
      <c r="BH46" s="328">
        <f t="shared" si="319"/>
        <v>0</v>
      </c>
      <c r="BI46" s="333">
        <f t="shared" si="320"/>
        <v>0</v>
      </c>
      <c r="BJ46" s="295">
        <f t="shared" ca="1" si="321"/>
        <v>39048</v>
      </c>
      <c r="BK46" s="333">
        <f t="shared" ca="1" si="322"/>
        <v>0</v>
      </c>
      <c r="BL46" s="353">
        <v>1797</v>
      </c>
      <c r="BM46" s="326"/>
      <c r="BN46" s="332">
        <f t="shared" si="323"/>
        <v>0</v>
      </c>
      <c r="BO46" s="230">
        <f t="shared" ca="1" si="324"/>
        <v>11163</v>
      </c>
      <c r="BP46" s="332">
        <f t="shared" ca="1" si="325"/>
        <v>0</v>
      </c>
      <c r="BQ46" s="353">
        <v>1581</v>
      </c>
      <c r="BR46" s="326"/>
      <c r="BS46" s="332">
        <f t="shared" si="326"/>
        <v>0</v>
      </c>
      <c r="BT46" s="230">
        <f t="shared" ca="1" si="327"/>
        <v>9888</v>
      </c>
      <c r="BU46" s="332">
        <f t="shared" ca="1" si="328"/>
        <v>0</v>
      </c>
      <c r="BV46" s="353">
        <v>5555</v>
      </c>
      <c r="BW46" s="326"/>
      <c r="BX46" s="332">
        <f t="shared" si="329"/>
        <v>0</v>
      </c>
      <c r="BY46" s="230">
        <f t="shared" ca="1" si="330"/>
        <v>12034</v>
      </c>
      <c r="BZ46" s="332">
        <f t="shared" ca="1" si="331"/>
        <v>0</v>
      </c>
      <c r="CA46" s="398">
        <v>8672</v>
      </c>
      <c r="CB46" s="328">
        <f t="shared" si="332"/>
        <v>0</v>
      </c>
      <c r="CC46" s="333">
        <f t="shared" si="333"/>
        <v>0</v>
      </c>
      <c r="CD46" s="295">
        <f t="shared" ca="1" si="334"/>
        <v>33085</v>
      </c>
      <c r="CE46" s="333">
        <f t="shared" ca="1" si="335"/>
        <v>0</v>
      </c>
      <c r="CF46" s="355">
        <v>2583</v>
      </c>
      <c r="CG46" s="297">
        <f t="shared" si="336"/>
        <v>0</v>
      </c>
      <c r="CH46" s="334">
        <f t="shared" si="337"/>
        <v>0</v>
      </c>
      <c r="CI46" s="295">
        <f t="shared" ca="1" si="338"/>
        <v>98811</v>
      </c>
      <c r="CJ46" s="335">
        <f t="shared" ca="1" si="339"/>
        <v>0</v>
      </c>
    </row>
    <row r="47" spans="1:88">
      <c r="A47" s="67" t="s">
        <v>125</v>
      </c>
      <c r="B47" s="465" t="s">
        <v>157</v>
      </c>
      <c r="C47" s="291">
        <v>44276</v>
      </c>
      <c r="D47" s="353"/>
      <c r="E47" s="326"/>
      <c r="F47" s="332"/>
      <c r="G47" s="326"/>
      <c r="H47" s="332"/>
      <c r="I47" s="292"/>
      <c r="J47" s="326"/>
      <c r="K47" s="332"/>
      <c r="L47" s="326"/>
      <c r="M47" s="332"/>
      <c r="N47" s="353">
        <v>5080</v>
      </c>
      <c r="O47" s="326"/>
      <c r="P47" s="332"/>
      <c r="Q47" s="230">
        <f t="shared" ref="Q47" ca="1" si="340">N47+RANDBETWEEN(1000,10000)</f>
        <v>10585</v>
      </c>
      <c r="R47" s="332"/>
      <c r="S47" s="398">
        <v>9332</v>
      </c>
      <c r="T47" s="328"/>
      <c r="U47" s="333"/>
      <c r="V47" s="295"/>
      <c r="W47" s="333"/>
      <c r="X47" s="353">
        <v>9208</v>
      </c>
      <c r="Y47" s="326"/>
      <c r="Z47" s="332"/>
      <c r="AA47" s="230">
        <f t="shared" ca="1" si="298"/>
        <v>18325</v>
      </c>
      <c r="AB47" s="332"/>
      <c r="AC47" s="353">
        <v>3040</v>
      </c>
      <c r="AD47" s="326"/>
      <c r="AE47" s="332"/>
      <c r="AF47" s="230">
        <f t="shared" ca="1" si="301"/>
        <v>4878</v>
      </c>
      <c r="AG47" s="332"/>
      <c r="AH47" s="353">
        <v>6051</v>
      </c>
      <c r="AI47" s="326"/>
      <c r="AJ47" s="332"/>
      <c r="AK47" s="230">
        <f t="shared" ca="1" si="304"/>
        <v>10483</v>
      </c>
      <c r="AL47" s="332"/>
      <c r="AM47" s="398">
        <v>1168</v>
      </c>
      <c r="AN47" s="328"/>
      <c r="AO47" s="333"/>
      <c r="AP47" s="295"/>
      <c r="AQ47" s="333"/>
      <c r="AR47" s="353">
        <v>7677</v>
      </c>
      <c r="AS47" s="326"/>
      <c r="AT47" s="332"/>
      <c r="AU47" s="230">
        <f t="shared" ca="1" si="311"/>
        <v>9368</v>
      </c>
      <c r="AV47" s="332"/>
      <c r="AW47" s="353">
        <v>5416</v>
      </c>
      <c r="AX47" s="326"/>
      <c r="AY47" s="332"/>
      <c r="AZ47" s="230">
        <f t="shared" ca="1" si="314"/>
        <v>7461</v>
      </c>
      <c r="BA47" s="332"/>
      <c r="BB47" s="353">
        <v>3674</v>
      </c>
      <c r="BC47" s="326"/>
      <c r="BD47" s="332"/>
      <c r="BE47" s="230">
        <f t="shared" ca="1" si="317"/>
        <v>8536</v>
      </c>
      <c r="BF47" s="332"/>
      <c r="BG47" s="398">
        <v>3582</v>
      </c>
      <c r="BH47" s="328"/>
      <c r="BI47" s="333"/>
      <c r="BJ47" s="295">
        <f t="shared" ca="1" si="321"/>
        <v>25365</v>
      </c>
      <c r="BK47" s="333"/>
      <c r="BL47" s="353">
        <v>5827</v>
      </c>
      <c r="BM47" s="326"/>
      <c r="BN47" s="332"/>
      <c r="BO47" s="230">
        <f t="shared" ca="1" si="324"/>
        <v>9920</v>
      </c>
      <c r="BP47" s="332"/>
      <c r="BQ47" s="353">
        <v>7660</v>
      </c>
      <c r="BR47" s="326"/>
      <c r="BS47" s="332"/>
      <c r="BT47" s="230">
        <f t="shared" ca="1" si="327"/>
        <v>13486</v>
      </c>
      <c r="BU47" s="332"/>
      <c r="BV47" s="353">
        <v>8660</v>
      </c>
      <c r="BW47" s="326"/>
      <c r="BX47" s="332"/>
      <c r="BY47" s="230">
        <f t="shared" ca="1" si="330"/>
        <v>17884</v>
      </c>
      <c r="BZ47" s="332"/>
      <c r="CA47" s="398">
        <v>8664</v>
      </c>
      <c r="CB47" s="328"/>
      <c r="CC47" s="333"/>
      <c r="CD47" s="295">
        <f t="shared" ca="1" si="334"/>
        <v>41290</v>
      </c>
      <c r="CE47" s="333"/>
      <c r="CF47" s="355">
        <v>2308</v>
      </c>
      <c r="CG47" s="297"/>
      <c r="CH47" s="334"/>
      <c r="CI47" s="295">
        <f t="shared" ca="1" si="338"/>
        <v>66655</v>
      </c>
      <c r="CJ47" s="335"/>
    </row>
    <row r="48" spans="1:88">
      <c r="A48" s="67"/>
      <c r="B48" s="68"/>
      <c r="C48" s="291"/>
      <c r="D48" s="292"/>
      <c r="E48" s="326"/>
      <c r="F48" s="332"/>
      <c r="G48" s="326"/>
      <c r="H48" s="332"/>
      <c r="I48" s="292"/>
      <c r="J48" s="326"/>
      <c r="K48" s="332"/>
      <c r="L48" s="326"/>
      <c r="M48" s="332"/>
      <c r="N48" s="292"/>
      <c r="O48" s="326"/>
      <c r="P48" s="332"/>
      <c r="Q48" s="326"/>
      <c r="R48" s="332"/>
      <c r="S48" s="328"/>
      <c r="T48" s="328"/>
      <c r="U48" s="333"/>
      <c r="V48" s="295"/>
      <c r="W48" s="333"/>
      <c r="X48" s="292"/>
      <c r="Y48" s="326"/>
      <c r="Z48" s="332"/>
      <c r="AA48" s="326"/>
      <c r="AB48" s="332"/>
      <c r="AC48" s="292"/>
      <c r="AD48" s="326"/>
      <c r="AE48" s="332"/>
      <c r="AF48" s="326"/>
      <c r="AG48" s="332"/>
      <c r="AH48" s="292"/>
      <c r="AI48" s="326"/>
      <c r="AJ48" s="332"/>
      <c r="AK48" s="326"/>
      <c r="AL48" s="332"/>
      <c r="AM48" s="328"/>
      <c r="AN48" s="328"/>
      <c r="AO48" s="333"/>
      <c r="AP48" s="295"/>
      <c r="AQ48" s="333"/>
      <c r="AR48" s="292"/>
      <c r="AS48" s="326"/>
      <c r="AT48" s="332"/>
      <c r="AU48" s="326"/>
      <c r="AV48" s="332"/>
      <c r="AW48" s="292"/>
      <c r="AX48" s="326"/>
      <c r="AY48" s="332"/>
      <c r="AZ48" s="326"/>
      <c r="BA48" s="332"/>
      <c r="BB48" s="292"/>
      <c r="BC48" s="326"/>
      <c r="BD48" s="332"/>
      <c r="BE48" s="326"/>
      <c r="BF48" s="332"/>
      <c r="BG48" s="328"/>
      <c r="BH48" s="328"/>
      <c r="BI48" s="333"/>
      <c r="BJ48" s="295"/>
      <c r="BK48" s="333"/>
      <c r="BL48" s="292"/>
      <c r="BM48" s="326"/>
      <c r="BN48" s="332"/>
      <c r="BO48" s="326"/>
      <c r="BP48" s="332"/>
      <c r="BQ48" s="292"/>
      <c r="BR48" s="326"/>
      <c r="BS48" s="332"/>
      <c r="BT48" s="326"/>
      <c r="BU48" s="332"/>
      <c r="BV48" s="292"/>
      <c r="BW48" s="326"/>
      <c r="BX48" s="332"/>
      <c r="BY48" s="326"/>
      <c r="BZ48" s="332"/>
      <c r="CA48" s="328"/>
      <c r="CB48" s="328"/>
      <c r="CC48" s="333"/>
      <c r="CD48" s="295"/>
      <c r="CE48" s="333"/>
      <c r="CF48" s="297"/>
      <c r="CG48" s="297"/>
      <c r="CH48" s="334"/>
      <c r="CI48" s="295"/>
      <c r="CJ48" s="335"/>
    </row>
    <row r="49" spans="1:88">
      <c r="A49" s="67"/>
      <c r="B49" s="68"/>
      <c r="C49" s="291"/>
      <c r="D49" s="292"/>
      <c r="E49" s="326"/>
      <c r="F49" s="332"/>
      <c r="G49" s="326"/>
      <c r="H49" s="332"/>
      <c r="I49" s="292"/>
      <c r="J49" s="326"/>
      <c r="K49" s="332"/>
      <c r="L49" s="326"/>
      <c r="M49" s="332"/>
      <c r="N49" s="292"/>
      <c r="O49" s="326"/>
      <c r="P49" s="332"/>
      <c r="Q49" s="326"/>
      <c r="R49" s="332"/>
      <c r="S49" s="328"/>
      <c r="T49" s="328"/>
      <c r="U49" s="333"/>
      <c r="V49" s="295"/>
      <c r="W49" s="333"/>
      <c r="X49" s="292"/>
      <c r="Y49" s="326"/>
      <c r="Z49" s="332"/>
      <c r="AA49" s="326"/>
      <c r="AB49" s="332"/>
      <c r="AC49" s="292"/>
      <c r="AD49" s="326"/>
      <c r="AE49" s="332"/>
      <c r="AF49" s="326"/>
      <c r="AG49" s="332"/>
      <c r="AH49" s="292"/>
      <c r="AI49" s="326"/>
      <c r="AJ49" s="332"/>
      <c r="AK49" s="326"/>
      <c r="AL49" s="332"/>
      <c r="AM49" s="328"/>
      <c r="AN49" s="328"/>
      <c r="AO49" s="333"/>
      <c r="AP49" s="295"/>
      <c r="AQ49" s="333"/>
      <c r="AR49" s="292"/>
      <c r="AS49" s="326"/>
      <c r="AT49" s="332"/>
      <c r="AU49" s="326"/>
      <c r="AV49" s="332"/>
      <c r="AW49" s="292"/>
      <c r="AX49" s="326"/>
      <c r="AY49" s="332"/>
      <c r="AZ49" s="326"/>
      <c r="BA49" s="332"/>
      <c r="BB49" s="292"/>
      <c r="BC49" s="326"/>
      <c r="BD49" s="332"/>
      <c r="BE49" s="326"/>
      <c r="BF49" s="332"/>
      <c r="BG49" s="328"/>
      <c r="BH49" s="328"/>
      <c r="BI49" s="333"/>
      <c r="BJ49" s="295"/>
      <c r="BK49" s="333"/>
      <c r="BL49" s="292"/>
      <c r="BM49" s="326"/>
      <c r="BN49" s="332"/>
      <c r="BO49" s="326"/>
      <c r="BP49" s="332"/>
      <c r="BQ49" s="292"/>
      <c r="BR49" s="326"/>
      <c r="BS49" s="332"/>
      <c r="BT49" s="326"/>
      <c r="BU49" s="332"/>
      <c r="BV49" s="292"/>
      <c r="BW49" s="326"/>
      <c r="BX49" s="332"/>
      <c r="BY49" s="326"/>
      <c r="BZ49" s="332"/>
      <c r="CA49" s="328"/>
      <c r="CB49" s="328"/>
      <c r="CC49" s="333"/>
      <c r="CD49" s="295">
        <f t="shared" si="334"/>
        <v>0</v>
      </c>
      <c r="CE49" s="333"/>
      <c r="CF49" s="297"/>
      <c r="CG49" s="297"/>
      <c r="CH49" s="334"/>
      <c r="CI49" s="295"/>
      <c r="CJ49" s="335"/>
    </row>
    <row r="50" spans="1:88">
      <c r="A50" s="67"/>
      <c r="B50" s="68"/>
      <c r="C50" s="291"/>
      <c r="D50" s="292"/>
      <c r="E50" s="326"/>
      <c r="F50" s="332">
        <f t="shared" si="284"/>
        <v>0</v>
      </c>
      <c r="G50" s="326"/>
      <c r="H50" s="332">
        <f t="shared" si="286"/>
        <v>0</v>
      </c>
      <c r="I50" s="292"/>
      <c r="J50" s="326"/>
      <c r="K50" s="332">
        <f t="shared" si="287"/>
        <v>0</v>
      </c>
      <c r="L50" s="326"/>
      <c r="M50" s="332">
        <f t="shared" si="289"/>
        <v>0</v>
      </c>
      <c r="N50" s="292"/>
      <c r="O50" s="326"/>
      <c r="P50" s="332">
        <f t="shared" si="290"/>
        <v>0</v>
      </c>
      <c r="Q50" s="326"/>
      <c r="R50" s="332">
        <f t="shared" si="292"/>
        <v>0</v>
      </c>
      <c r="S50" s="328"/>
      <c r="T50" s="328">
        <f t="shared" ref="T50" si="341">E50+J50+O50</f>
        <v>0</v>
      </c>
      <c r="U50" s="333">
        <f t="shared" ref="U50" si="342">IFERROR(S50/T50,0)</f>
        <v>0</v>
      </c>
      <c r="V50" s="295">
        <f t="shared" ref="V50" si="343">G50+L50+Q50</f>
        <v>0</v>
      </c>
      <c r="W50" s="333">
        <f t="shared" ref="W50" si="344">IFERROR(V50/T50,0)</f>
        <v>0</v>
      </c>
      <c r="X50" s="292"/>
      <c r="Y50" s="326"/>
      <c r="Z50" s="332">
        <f t="shared" si="297"/>
        <v>0</v>
      </c>
      <c r="AA50" s="326"/>
      <c r="AB50" s="332">
        <f t="shared" si="299"/>
        <v>0</v>
      </c>
      <c r="AC50" s="292"/>
      <c r="AD50" s="326"/>
      <c r="AE50" s="332">
        <f t="shared" si="300"/>
        <v>0</v>
      </c>
      <c r="AF50" s="326"/>
      <c r="AG50" s="332">
        <f t="shared" si="302"/>
        <v>0</v>
      </c>
      <c r="AH50" s="292"/>
      <c r="AI50" s="326"/>
      <c r="AJ50" s="332">
        <f t="shared" si="303"/>
        <v>0</v>
      </c>
      <c r="AK50" s="326"/>
      <c r="AL50" s="332">
        <f t="shared" si="305"/>
        <v>0</v>
      </c>
      <c r="AM50" s="328"/>
      <c r="AN50" s="328">
        <f t="shared" ref="AN50" si="345">Y50+AD50+AI50</f>
        <v>0</v>
      </c>
      <c r="AO50" s="333">
        <f t="shared" ref="AO50" si="346">IFERROR(AM50/AN50,0)</f>
        <v>0</v>
      </c>
      <c r="AP50" s="295">
        <f t="shared" ref="AP50" si="347">AA50+AF50+AK50</f>
        <v>0</v>
      </c>
      <c r="AQ50" s="333">
        <f t="shared" ref="AQ50" si="348">IFERROR(AP50/AN50,0)</f>
        <v>0</v>
      </c>
      <c r="AR50" s="292"/>
      <c r="AS50" s="326"/>
      <c r="AT50" s="332">
        <f t="shared" si="310"/>
        <v>0</v>
      </c>
      <c r="AU50" s="326"/>
      <c r="AV50" s="332">
        <f t="shared" si="312"/>
        <v>0</v>
      </c>
      <c r="AW50" s="292"/>
      <c r="AX50" s="326"/>
      <c r="AY50" s="332">
        <f t="shared" si="313"/>
        <v>0</v>
      </c>
      <c r="AZ50" s="326"/>
      <c r="BA50" s="332">
        <f t="shared" si="315"/>
        <v>0</v>
      </c>
      <c r="BB50" s="292"/>
      <c r="BC50" s="326"/>
      <c r="BD50" s="332">
        <f t="shared" si="316"/>
        <v>0</v>
      </c>
      <c r="BE50" s="326"/>
      <c r="BF50" s="332">
        <f t="shared" si="318"/>
        <v>0</v>
      </c>
      <c r="BG50" s="328"/>
      <c r="BH50" s="328">
        <f t="shared" ref="BH50" si="349">AS50+AX50+BC50</f>
        <v>0</v>
      </c>
      <c r="BI50" s="333">
        <f t="shared" ref="BI50" si="350">IFERROR(BG50/BH50,0)</f>
        <v>0</v>
      </c>
      <c r="BJ50" s="295">
        <f t="shared" ref="BJ50" si="351">AU50+AZ50+BE50</f>
        <v>0</v>
      </c>
      <c r="BK50" s="333">
        <f t="shared" ref="BK50" si="352">IFERROR(BJ50/BH50,0)</f>
        <v>0</v>
      </c>
      <c r="BL50" s="292"/>
      <c r="BM50" s="326"/>
      <c r="BN50" s="332">
        <f t="shared" si="323"/>
        <v>0</v>
      </c>
      <c r="BO50" s="326"/>
      <c r="BP50" s="332">
        <f t="shared" si="325"/>
        <v>0</v>
      </c>
      <c r="BQ50" s="292"/>
      <c r="BR50" s="326"/>
      <c r="BS50" s="332">
        <f t="shared" si="326"/>
        <v>0</v>
      </c>
      <c r="BT50" s="326"/>
      <c r="BU50" s="332">
        <f t="shared" si="328"/>
        <v>0</v>
      </c>
      <c r="BV50" s="292"/>
      <c r="BW50" s="326"/>
      <c r="BX50" s="332">
        <f t="shared" si="329"/>
        <v>0</v>
      </c>
      <c r="BY50" s="326"/>
      <c r="BZ50" s="332">
        <f t="shared" si="331"/>
        <v>0</v>
      </c>
      <c r="CA50" s="328"/>
      <c r="CB50" s="328">
        <f t="shared" ref="CB50" si="353">BM50+BR50+BW50</f>
        <v>0</v>
      </c>
      <c r="CC50" s="333">
        <f t="shared" ref="CC50" si="354">IFERROR(CA50/CB50,0)</f>
        <v>0</v>
      </c>
      <c r="CD50" s="295">
        <f t="shared" ref="CD50" si="355">BO50+BT50+BY50</f>
        <v>0</v>
      </c>
      <c r="CE50" s="333">
        <f t="shared" ref="CE50" si="356">IFERROR(CD50/CB50,0)</f>
        <v>0</v>
      </c>
      <c r="CF50" s="297"/>
      <c r="CG50" s="297">
        <f t="shared" ref="CG50" si="357">AN50+BH50+CB50</f>
        <v>0</v>
      </c>
      <c r="CH50" s="334">
        <f t="shared" ref="CH50" si="358">IFERROR(CF50/CG50,0)</f>
        <v>0</v>
      </c>
      <c r="CI50" s="295">
        <f t="shared" ref="CI50" si="359">AP50+BJ50+CD50</f>
        <v>0</v>
      </c>
      <c r="CJ50" s="335">
        <f t="shared" ref="CJ50" si="360">IFERROR(CI50/CG50,0)</f>
        <v>0</v>
      </c>
    </row>
    <row r="51" spans="1:88">
      <c r="A51" s="66"/>
      <c r="B51" s="64" t="s">
        <v>123</v>
      </c>
      <c r="C51" s="64"/>
      <c r="D51" s="336">
        <v>0</v>
      </c>
      <c r="E51" s="336">
        <f>SUM(E45:E50)</f>
        <v>0</v>
      </c>
      <c r="F51" s="322">
        <f>IFERROR(D51/E51,0)</f>
        <v>0</v>
      </c>
      <c r="G51" s="320">
        <f ca="1">SUM(G45:G50)</f>
        <v>3022</v>
      </c>
      <c r="H51" s="322">
        <f t="shared" ca="1" si="286"/>
        <v>0</v>
      </c>
      <c r="I51" s="320">
        <v>7245</v>
      </c>
      <c r="J51" s="320">
        <f>SUM(J45:J46)</f>
        <v>0</v>
      </c>
      <c r="K51" s="322">
        <f t="shared" si="287"/>
        <v>0</v>
      </c>
      <c r="L51" s="320">
        <f ca="1">SUM(L45:L50)</f>
        <v>14543</v>
      </c>
      <c r="M51" s="322">
        <f t="shared" ca="1" si="289"/>
        <v>0</v>
      </c>
      <c r="N51" s="320">
        <v>9087</v>
      </c>
      <c r="O51" s="320">
        <f>SUM(O45:O46)</f>
        <v>0</v>
      </c>
      <c r="P51" s="322">
        <f t="shared" si="290"/>
        <v>0</v>
      </c>
      <c r="Q51" s="320">
        <f ca="1">SUM(Q45:Q50)</f>
        <v>22676</v>
      </c>
      <c r="R51" s="322">
        <f t="shared" ca="1" si="292"/>
        <v>0</v>
      </c>
      <c r="S51" s="320">
        <v>13755</v>
      </c>
      <c r="T51" s="320">
        <f>SUM(T45:T46)</f>
        <v>0</v>
      </c>
      <c r="U51" s="322">
        <f t="shared" si="294"/>
        <v>0</v>
      </c>
      <c r="V51" s="320">
        <f ca="1">SUM(V45:V50)</f>
        <v>29656</v>
      </c>
      <c r="W51" s="322">
        <f t="shared" ca="1" si="296"/>
        <v>0</v>
      </c>
      <c r="X51" s="320">
        <v>21086</v>
      </c>
      <c r="Y51" s="320">
        <f>SUM(Y45:Y46)</f>
        <v>0</v>
      </c>
      <c r="Z51" s="322">
        <f t="shared" si="297"/>
        <v>0</v>
      </c>
      <c r="AA51" s="320">
        <f ca="1">SUM(AA45:AA50)</f>
        <v>47946</v>
      </c>
      <c r="AB51" s="322">
        <f t="shared" ca="1" si="299"/>
        <v>0</v>
      </c>
      <c r="AC51" s="320">
        <v>16294</v>
      </c>
      <c r="AD51" s="320">
        <f>SUM(AD45:AD46)</f>
        <v>0</v>
      </c>
      <c r="AE51" s="322">
        <f t="shared" si="300"/>
        <v>0</v>
      </c>
      <c r="AF51" s="320">
        <f ca="1">SUM(AF45:AF50)</f>
        <v>22443</v>
      </c>
      <c r="AG51" s="322">
        <f t="shared" ca="1" si="302"/>
        <v>0</v>
      </c>
      <c r="AH51" s="320">
        <v>13772</v>
      </c>
      <c r="AI51" s="320">
        <f>SUM(AI45:AI46)</f>
        <v>0</v>
      </c>
      <c r="AJ51" s="322">
        <f t="shared" si="303"/>
        <v>0</v>
      </c>
      <c r="AK51" s="320">
        <f ca="1">SUM(AK45:AK50)</f>
        <v>28763</v>
      </c>
      <c r="AL51" s="322">
        <f t="shared" ca="1" si="305"/>
        <v>0</v>
      </c>
      <c r="AM51" s="320">
        <v>13070</v>
      </c>
      <c r="AN51" s="320">
        <f>SUM(AN45:AN46)</f>
        <v>0</v>
      </c>
      <c r="AO51" s="322">
        <f t="shared" si="307"/>
        <v>0</v>
      </c>
      <c r="AP51" s="320">
        <f ca="1">SUM(AP45:AP50)</f>
        <v>65466</v>
      </c>
      <c r="AQ51" s="322">
        <f t="shared" ca="1" si="309"/>
        <v>0</v>
      </c>
      <c r="AR51" s="320">
        <v>22084</v>
      </c>
      <c r="AS51" s="320">
        <f>SUM(AS45:AS46)</f>
        <v>0</v>
      </c>
      <c r="AT51" s="322">
        <f t="shared" si="310"/>
        <v>0</v>
      </c>
      <c r="AU51" s="320">
        <f ca="1">SUM(AU45:AU50)</f>
        <v>37417</v>
      </c>
      <c r="AV51" s="322">
        <f t="shared" ca="1" si="312"/>
        <v>0</v>
      </c>
      <c r="AW51" s="320">
        <v>19237</v>
      </c>
      <c r="AX51" s="320">
        <f>SUM(AX45:AX46)</f>
        <v>0</v>
      </c>
      <c r="AY51" s="322">
        <f t="shared" si="313"/>
        <v>0</v>
      </c>
      <c r="AZ51" s="320">
        <f ca="1">SUM(AZ45:AZ50)</f>
        <v>31081</v>
      </c>
      <c r="BA51" s="322">
        <f t="shared" ca="1" si="315"/>
        <v>0</v>
      </c>
      <c r="BB51" s="320">
        <v>14610</v>
      </c>
      <c r="BC51" s="320">
        <f>SUM(BC45:BC46)</f>
        <v>0</v>
      </c>
      <c r="BD51" s="322">
        <f t="shared" si="316"/>
        <v>0</v>
      </c>
      <c r="BE51" s="320">
        <f ca="1">SUM(BE45:BE50)</f>
        <v>27029</v>
      </c>
      <c r="BF51" s="322">
        <f t="shared" ca="1" si="318"/>
        <v>0</v>
      </c>
      <c r="BG51" s="320">
        <v>13927</v>
      </c>
      <c r="BH51" s="320">
        <f>SUM(BH45:BH46)</f>
        <v>0</v>
      </c>
      <c r="BI51" s="322">
        <f t="shared" si="320"/>
        <v>0</v>
      </c>
      <c r="BJ51" s="320">
        <f ca="1">SUM(BJ45:BJ50)</f>
        <v>95527</v>
      </c>
      <c r="BK51" s="322">
        <f t="shared" ca="1" si="322"/>
        <v>0</v>
      </c>
      <c r="BL51" s="320">
        <v>16227</v>
      </c>
      <c r="BM51" s="320">
        <f>SUM(BM45:BM46)</f>
        <v>0</v>
      </c>
      <c r="BN51" s="322">
        <f t="shared" si="323"/>
        <v>0</v>
      </c>
      <c r="BO51" s="320">
        <f ca="1">SUM(BO45:BO50)</f>
        <v>31353</v>
      </c>
      <c r="BP51" s="322">
        <f t="shared" ca="1" si="325"/>
        <v>0</v>
      </c>
      <c r="BQ51" s="320">
        <v>15821</v>
      </c>
      <c r="BR51" s="320">
        <f>SUM(BR45:BR46)</f>
        <v>0</v>
      </c>
      <c r="BS51" s="322">
        <f t="shared" si="326"/>
        <v>0</v>
      </c>
      <c r="BT51" s="320">
        <f ca="1">SUM(BT45:BT50)</f>
        <v>34288</v>
      </c>
      <c r="BU51" s="322">
        <f t="shared" ca="1" si="328"/>
        <v>0</v>
      </c>
      <c r="BV51" s="320">
        <v>20247</v>
      </c>
      <c r="BW51" s="320">
        <f>SUM(BW45:BW46)</f>
        <v>0</v>
      </c>
      <c r="BX51" s="322">
        <f t="shared" si="329"/>
        <v>0</v>
      </c>
      <c r="BY51" s="320">
        <f ca="1">SUM(BY45:BY50)</f>
        <v>42792</v>
      </c>
      <c r="BZ51" s="322">
        <f t="shared" ca="1" si="331"/>
        <v>0</v>
      </c>
      <c r="CA51" s="320">
        <v>19738</v>
      </c>
      <c r="CB51" s="320">
        <f>SUM(CB45:CB46)</f>
        <v>0</v>
      </c>
      <c r="CC51" s="322">
        <f t="shared" si="333"/>
        <v>0</v>
      </c>
      <c r="CD51" s="320">
        <f ca="1">SUM(CD45:CD50)</f>
        <v>108433</v>
      </c>
      <c r="CE51" s="322">
        <f t="shared" ca="1" si="335"/>
        <v>0</v>
      </c>
      <c r="CF51" s="320">
        <v>11372</v>
      </c>
      <c r="CG51" s="320">
        <f>AN51+BH51+CB51</f>
        <v>0</v>
      </c>
      <c r="CH51" s="322">
        <f t="shared" si="337"/>
        <v>0</v>
      </c>
      <c r="CI51" s="320">
        <f ca="1">AP51+BJ51+CD51</f>
        <v>269426</v>
      </c>
      <c r="CJ51" s="322">
        <f t="shared" ca="1" si="339"/>
        <v>0</v>
      </c>
    </row>
    <row r="53" spans="1:88">
      <c r="I53" s="480"/>
      <c r="J53" s="480"/>
      <c r="K53" s="480"/>
      <c r="L53" s="480"/>
      <c r="M53" s="480"/>
      <c r="N53" s="480"/>
    </row>
  </sheetData>
  <mergeCells count="18">
    <mergeCell ref="A1:C1"/>
    <mergeCell ref="BG1:BK1"/>
    <mergeCell ref="BL1:BP1"/>
    <mergeCell ref="BQ1:BU1"/>
    <mergeCell ref="BV1:BZ1"/>
    <mergeCell ref="D1:H1"/>
    <mergeCell ref="I1:M1"/>
    <mergeCell ref="N1:R1"/>
    <mergeCell ref="S1:W1"/>
    <mergeCell ref="X1:AB1"/>
    <mergeCell ref="CA1:CE1"/>
    <mergeCell ref="CF1:CJ1"/>
    <mergeCell ref="AC1:AG1"/>
    <mergeCell ref="AH1:AL1"/>
    <mergeCell ref="AM1:AQ1"/>
    <mergeCell ref="AR1:AV1"/>
    <mergeCell ref="AW1:BA1"/>
    <mergeCell ref="BB1:BF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8B99E-0834-4033-9C94-C15DD603C271}">
  <sheetPr codeName="Sheet6">
    <tabColor theme="9" tint="0.39997558519241921"/>
  </sheetPr>
  <dimension ref="A1:CJ50"/>
  <sheetViews>
    <sheetView zoomScale="70" zoomScaleNormal="70" workbookViewId="0">
      <pane xSplit="3" ySplit="1" topLeftCell="D2" activePane="bottomRight" state="frozen"/>
      <selection activeCell="A19" sqref="A19"/>
      <selection pane="topRight" activeCell="A19" sqref="A19"/>
      <selection pane="bottomLeft" activeCell="A19" sqref="A19"/>
      <selection pane="bottomRight" activeCell="L3" sqref="L3"/>
    </sheetView>
  </sheetViews>
  <sheetFormatPr defaultColWidth="7.796875" defaultRowHeight="14.25"/>
  <cols>
    <col min="1" max="1" width="7.796875" bestFit="1" customWidth="1"/>
    <col min="2" max="2" width="17.46484375" bestFit="1" customWidth="1"/>
    <col min="3" max="3" width="7.19921875" bestFit="1" customWidth="1"/>
    <col min="4" max="4" width="12.796875" customWidth="1"/>
    <col min="5" max="5" width="11.19921875" bestFit="1" customWidth="1"/>
    <col min="6" max="6" width="9.19921875" bestFit="1" customWidth="1"/>
    <col min="7" max="7" width="12.33203125" bestFit="1" customWidth="1"/>
    <col min="8" max="8" width="15.46484375" bestFit="1" customWidth="1"/>
    <col min="9" max="9" width="12.33203125" bestFit="1" customWidth="1"/>
    <col min="10" max="10" width="11.19921875" bestFit="1" customWidth="1"/>
    <col min="11" max="11" width="9.19921875" bestFit="1" customWidth="1"/>
    <col min="12" max="12" width="12.46484375" customWidth="1"/>
    <col min="13" max="13" width="15.46484375" bestFit="1" customWidth="1"/>
    <col min="14" max="14" width="12.33203125" bestFit="1" customWidth="1"/>
    <col min="15" max="15" width="11.19921875" bestFit="1" customWidth="1"/>
    <col min="16" max="16" width="9.19921875" bestFit="1" customWidth="1"/>
    <col min="17" max="17" width="12.33203125" bestFit="1" customWidth="1"/>
    <col min="18" max="18" width="15.46484375" bestFit="1" customWidth="1"/>
    <col min="19" max="19" width="12.19921875" customWidth="1"/>
    <col min="20" max="20" width="12.19921875" bestFit="1" customWidth="1"/>
    <col min="21" max="21" width="9.19921875" bestFit="1" customWidth="1"/>
    <col min="22" max="22" width="12.33203125" bestFit="1" customWidth="1"/>
    <col min="23" max="23" width="11.59765625" customWidth="1"/>
    <col min="24" max="24" width="10.59765625" customWidth="1"/>
    <col min="25" max="25" width="12.19921875" bestFit="1" customWidth="1"/>
    <col min="26" max="26" width="9.19921875" bestFit="1" customWidth="1"/>
    <col min="27" max="27" width="13" customWidth="1"/>
    <col min="28" max="28" width="15.46484375" bestFit="1" customWidth="1"/>
    <col min="29" max="29" width="12.33203125" bestFit="1" customWidth="1"/>
    <col min="30" max="30" width="12.19921875" bestFit="1" customWidth="1"/>
    <col min="31" max="31" width="9.19921875" bestFit="1" customWidth="1"/>
    <col min="32" max="32" width="11.33203125" customWidth="1"/>
    <col min="33" max="33" width="15.46484375" bestFit="1" customWidth="1"/>
    <col min="34" max="34" width="11" customWidth="1"/>
    <col min="35" max="35" width="12.19921875" bestFit="1" customWidth="1"/>
    <col min="36" max="36" width="9.19921875" bestFit="1" customWidth="1"/>
    <col min="37" max="37" width="11.59765625" customWidth="1"/>
    <col min="38" max="38" width="15.46484375" bestFit="1" customWidth="1"/>
    <col min="39" max="39" width="12.33203125" bestFit="1" customWidth="1"/>
    <col min="40" max="40" width="8.19921875" bestFit="1" customWidth="1"/>
    <col min="41" max="41" width="9.19921875" bestFit="1" customWidth="1"/>
    <col min="42" max="42" width="12.33203125" customWidth="1"/>
    <col min="43" max="43" width="14.33203125" customWidth="1"/>
    <col min="44" max="44" width="12.33203125" bestFit="1" customWidth="1"/>
    <col min="45" max="45" width="12.19921875" bestFit="1" customWidth="1"/>
    <col min="46" max="46" width="9.19921875" bestFit="1" customWidth="1"/>
    <col min="47" max="47" width="11.19921875" bestFit="1" customWidth="1"/>
    <col min="48" max="48" width="15.46484375" bestFit="1" customWidth="1"/>
    <col min="49" max="49" width="12.33203125" bestFit="1" customWidth="1"/>
    <col min="50" max="50" width="12.19921875" bestFit="1" customWidth="1"/>
    <col min="51" max="51" width="9.19921875" bestFit="1" customWidth="1"/>
    <col min="52" max="52" width="11.19921875" bestFit="1" customWidth="1"/>
    <col min="53" max="53" width="15.46484375" bestFit="1" customWidth="1"/>
    <col min="54" max="54" width="12.33203125" bestFit="1" customWidth="1"/>
    <col min="55" max="55" width="12.19921875" bestFit="1" customWidth="1"/>
    <col min="56" max="56" width="9.19921875" bestFit="1" customWidth="1"/>
    <col min="57" max="57" width="11.19921875" bestFit="1" customWidth="1"/>
    <col min="58" max="58" width="15.46484375" bestFit="1" customWidth="1"/>
    <col min="59" max="59" width="7.33203125" bestFit="1" customWidth="1"/>
    <col min="60" max="60" width="13.796875" bestFit="1" customWidth="1"/>
    <col min="61" max="61" width="9.19921875" bestFit="1" customWidth="1"/>
    <col min="62" max="62" width="12.33203125" bestFit="1" customWidth="1"/>
    <col min="63" max="63" width="15.46484375" bestFit="1" customWidth="1"/>
    <col min="64" max="64" width="12.33203125" bestFit="1" customWidth="1"/>
    <col min="65" max="65" width="12.19921875" bestFit="1" customWidth="1"/>
    <col min="66" max="66" width="9.19921875" bestFit="1" customWidth="1"/>
    <col min="67" max="67" width="11.19921875" bestFit="1" customWidth="1"/>
    <col min="68" max="68" width="15.46484375" bestFit="1" customWidth="1"/>
    <col min="69" max="69" width="12.33203125" bestFit="1" customWidth="1"/>
    <col min="70" max="70" width="12.19921875" bestFit="1" customWidth="1"/>
    <col min="71" max="71" width="9.19921875" bestFit="1" customWidth="1"/>
    <col min="72" max="72" width="12.33203125" bestFit="1" customWidth="1"/>
    <col min="73" max="73" width="15.46484375" bestFit="1" customWidth="1"/>
    <col min="74" max="74" width="12.33203125" bestFit="1" customWidth="1"/>
    <col min="75" max="75" width="12.19921875" bestFit="1" customWidth="1"/>
    <col min="76" max="76" width="9.19921875" bestFit="1" customWidth="1"/>
    <col min="77" max="77" width="12.33203125" bestFit="1" customWidth="1"/>
    <col min="78" max="78" width="15.46484375" bestFit="1" customWidth="1"/>
    <col min="79" max="79" width="12.33203125" bestFit="1" customWidth="1"/>
    <col min="80" max="80" width="13.796875" bestFit="1" customWidth="1"/>
    <col min="81" max="81" width="9.19921875" bestFit="1" customWidth="1"/>
    <col min="82" max="82" width="12.33203125" bestFit="1" customWidth="1"/>
    <col min="83" max="83" width="15.46484375" bestFit="1" customWidth="1"/>
    <col min="84" max="84" width="14" bestFit="1" customWidth="1"/>
    <col min="85" max="85" width="13.796875" bestFit="1" customWidth="1"/>
    <col min="86" max="86" width="9.19921875" bestFit="1" customWidth="1"/>
    <col min="87" max="87" width="14" bestFit="1" customWidth="1"/>
    <col min="88" max="88" width="15.46484375" bestFit="1" customWidth="1"/>
  </cols>
  <sheetData>
    <row r="1" spans="1:88" ht="15" customHeight="1" thickBot="1">
      <c r="A1" s="531" t="s">
        <v>127</v>
      </c>
      <c r="B1" s="531"/>
      <c r="C1" s="532"/>
      <c r="D1" s="545" t="s">
        <v>16</v>
      </c>
      <c r="E1" s="546"/>
      <c r="F1" s="546"/>
      <c r="G1" s="546"/>
      <c r="H1" s="547"/>
      <c r="I1" s="548" t="s">
        <v>22</v>
      </c>
      <c r="J1" s="549"/>
      <c r="K1" s="549"/>
      <c r="L1" s="549"/>
      <c r="M1" s="550"/>
      <c r="N1" s="545" t="s">
        <v>23</v>
      </c>
      <c r="O1" s="546"/>
      <c r="P1" s="546"/>
      <c r="Q1" s="546"/>
      <c r="R1" s="547"/>
      <c r="S1" s="551" t="s">
        <v>24</v>
      </c>
      <c r="T1" s="552"/>
      <c r="U1" s="552"/>
      <c r="V1" s="552"/>
      <c r="W1" s="553"/>
      <c r="X1" s="545" t="s">
        <v>10</v>
      </c>
      <c r="Y1" s="546"/>
      <c r="Z1" s="546"/>
      <c r="AA1" s="546"/>
      <c r="AB1" s="547"/>
      <c r="AC1" s="498" t="s">
        <v>9</v>
      </c>
      <c r="AD1" s="499"/>
      <c r="AE1" s="499"/>
      <c r="AF1" s="499"/>
      <c r="AG1" s="500"/>
      <c r="AH1" s="542" t="s">
        <v>15</v>
      </c>
      <c r="AI1" s="543"/>
      <c r="AJ1" s="543"/>
      <c r="AK1" s="543"/>
      <c r="AL1" s="544"/>
      <c r="AM1" s="537" t="s">
        <v>25</v>
      </c>
      <c r="AN1" s="538"/>
      <c r="AO1" s="538"/>
      <c r="AP1" s="538"/>
      <c r="AQ1" s="539"/>
      <c r="AR1" s="542" t="s">
        <v>8</v>
      </c>
      <c r="AS1" s="543"/>
      <c r="AT1" s="543"/>
      <c r="AU1" s="543"/>
      <c r="AV1" s="544"/>
      <c r="AW1" s="498" t="s">
        <v>12</v>
      </c>
      <c r="AX1" s="499"/>
      <c r="AY1" s="499"/>
      <c r="AZ1" s="499"/>
      <c r="BA1" s="500"/>
      <c r="BB1" s="542" t="s">
        <v>14</v>
      </c>
      <c r="BC1" s="543"/>
      <c r="BD1" s="543"/>
      <c r="BE1" s="543"/>
      <c r="BF1" s="544"/>
      <c r="BG1" s="537" t="s">
        <v>26</v>
      </c>
      <c r="BH1" s="538"/>
      <c r="BI1" s="538"/>
      <c r="BJ1" s="538"/>
      <c r="BK1" s="539"/>
      <c r="BL1" s="542" t="s">
        <v>27</v>
      </c>
      <c r="BM1" s="543"/>
      <c r="BN1" s="543"/>
      <c r="BO1" s="543"/>
      <c r="BP1" s="544"/>
      <c r="BQ1" s="498" t="s">
        <v>17</v>
      </c>
      <c r="BR1" s="499"/>
      <c r="BS1" s="499"/>
      <c r="BT1" s="499"/>
      <c r="BU1" s="500"/>
      <c r="BV1" s="542" t="s">
        <v>28</v>
      </c>
      <c r="BW1" s="543"/>
      <c r="BX1" s="543"/>
      <c r="BY1" s="543"/>
      <c r="BZ1" s="544"/>
      <c r="CA1" s="537" t="s">
        <v>29</v>
      </c>
      <c r="CB1" s="538"/>
      <c r="CC1" s="538"/>
      <c r="CD1" s="538"/>
      <c r="CE1" s="539"/>
      <c r="CF1" s="540">
        <v>2021</v>
      </c>
      <c r="CG1" s="541"/>
      <c r="CH1" s="541"/>
      <c r="CI1" s="541"/>
      <c r="CJ1" s="541"/>
    </row>
    <row r="2" spans="1:88">
      <c r="A2" s="66"/>
      <c r="B2" s="66" t="s">
        <v>149</v>
      </c>
      <c r="C2" s="66" t="s">
        <v>150</v>
      </c>
      <c r="D2" s="288" t="s">
        <v>129</v>
      </c>
      <c r="E2" s="289" t="s">
        <v>130</v>
      </c>
      <c r="F2" s="289" t="s">
        <v>33</v>
      </c>
      <c r="G2" s="289" t="s">
        <v>34</v>
      </c>
      <c r="H2" s="290" t="s">
        <v>35</v>
      </c>
      <c r="I2" s="288" t="s">
        <v>129</v>
      </c>
      <c r="J2" s="289" t="s">
        <v>130</v>
      </c>
      <c r="K2" s="289" t="s">
        <v>33</v>
      </c>
      <c r="L2" s="289" t="s">
        <v>34</v>
      </c>
      <c r="M2" s="290" t="s">
        <v>35</v>
      </c>
      <c r="N2" s="288" t="s">
        <v>129</v>
      </c>
      <c r="O2" s="289" t="s">
        <v>130</v>
      </c>
      <c r="P2" s="289" t="s">
        <v>33</v>
      </c>
      <c r="Q2" s="289" t="s">
        <v>34</v>
      </c>
      <c r="R2" s="290" t="s">
        <v>35</v>
      </c>
      <c r="S2" s="288" t="s">
        <v>131</v>
      </c>
      <c r="T2" s="289" t="s">
        <v>132</v>
      </c>
      <c r="U2" s="289" t="s">
        <v>33</v>
      </c>
      <c r="V2" s="289" t="s">
        <v>34</v>
      </c>
      <c r="W2" s="290" t="s">
        <v>133</v>
      </c>
      <c r="X2" s="288" t="s">
        <v>129</v>
      </c>
      <c r="Y2" s="289" t="s">
        <v>130</v>
      </c>
      <c r="Z2" s="289" t="s">
        <v>33</v>
      </c>
      <c r="AA2" s="289" t="s">
        <v>34</v>
      </c>
      <c r="AB2" s="290" t="s">
        <v>35</v>
      </c>
      <c r="AC2" s="288" t="s">
        <v>129</v>
      </c>
      <c r="AD2" s="289" t="s">
        <v>130</v>
      </c>
      <c r="AE2" s="289" t="s">
        <v>33</v>
      </c>
      <c r="AF2" s="289" t="s">
        <v>34</v>
      </c>
      <c r="AG2" s="290" t="s">
        <v>35</v>
      </c>
      <c r="AH2" s="288" t="s">
        <v>129</v>
      </c>
      <c r="AI2" s="289" t="s">
        <v>130</v>
      </c>
      <c r="AJ2" s="289" t="s">
        <v>33</v>
      </c>
      <c r="AK2" s="289" t="s">
        <v>34</v>
      </c>
      <c r="AL2" s="290" t="s">
        <v>35</v>
      </c>
      <c r="AM2" s="288" t="s">
        <v>129</v>
      </c>
      <c r="AN2" s="289" t="s">
        <v>130</v>
      </c>
      <c r="AO2" s="289" t="s">
        <v>33</v>
      </c>
      <c r="AP2" s="289" t="s">
        <v>34</v>
      </c>
      <c r="AQ2" s="290" t="s">
        <v>35</v>
      </c>
      <c r="AR2" s="288" t="s">
        <v>129</v>
      </c>
      <c r="AS2" s="289" t="s">
        <v>130</v>
      </c>
      <c r="AT2" s="289" t="s">
        <v>33</v>
      </c>
      <c r="AU2" s="289" t="s">
        <v>34</v>
      </c>
      <c r="AV2" s="290" t="s">
        <v>35</v>
      </c>
      <c r="AW2" s="288" t="s">
        <v>129</v>
      </c>
      <c r="AX2" s="289" t="s">
        <v>130</v>
      </c>
      <c r="AY2" s="289" t="s">
        <v>33</v>
      </c>
      <c r="AZ2" s="289" t="s">
        <v>34</v>
      </c>
      <c r="BA2" s="290" t="s">
        <v>35</v>
      </c>
      <c r="BB2" s="288" t="s">
        <v>129</v>
      </c>
      <c r="BC2" s="289" t="s">
        <v>130</v>
      </c>
      <c r="BD2" s="289" t="s">
        <v>33</v>
      </c>
      <c r="BE2" s="289" t="s">
        <v>34</v>
      </c>
      <c r="BF2" s="290" t="s">
        <v>35</v>
      </c>
      <c r="BG2" s="288" t="s">
        <v>129</v>
      </c>
      <c r="BH2" s="289" t="s">
        <v>130</v>
      </c>
      <c r="BI2" s="289" t="s">
        <v>33</v>
      </c>
      <c r="BJ2" s="289" t="s">
        <v>34</v>
      </c>
      <c r="BK2" s="290" t="s">
        <v>35</v>
      </c>
      <c r="BL2" s="288" t="s">
        <v>129</v>
      </c>
      <c r="BM2" s="289" t="s">
        <v>130</v>
      </c>
      <c r="BN2" s="289" t="s">
        <v>33</v>
      </c>
      <c r="BO2" s="289" t="s">
        <v>34</v>
      </c>
      <c r="BP2" s="290" t="s">
        <v>35</v>
      </c>
      <c r="BQ2" s="288" t="s">
        <v>129</v>
      </c>
      <c r="BR2" s="289" t="s">
        <v>130</v>
      </c>
      <c r="BS2" s="289" t="s">
        <v>33</v>
      </c>
      <c r="BT2" s="289" t="s">
        <v>34</v>
      </c>
      <c r="BU2" s="290" t="s">
        <v>35</v>
      </c>
      <c r="BV2" s="288" t="s">
        <v>129</v>
      </c>
      <c r="BW2" s="289" t="s">
        <v>130</v>
      </c>
      <c r="BX2" s="289" t="s">
        <v>33</v>
      </c>
      <c r="BY2" s="289" t="s">
        <v>34</v>
      </c>
      <c r="BZ2" s="290" t="s">
        <v>35</v>
      </c>
      <c r="CA2" s="288" t="s">
        <v>129</v>
      </c>
      <c r="CB2" s="289" t="s">
        <v>130</v>
      </c>
      <c r="CC2" s="289" t="s">
        <v>33</v>
      </c>
      <c r="CD2" s="289" t="s">
        <v>34</v>
      </c>
      <c r="CE2" s="290" t="s">
        <v>35</v>
      </c>
      <c r="CF2" s="288" t="s">
        <v>129</v>
      </c>
      <c r="CG2" s="289" t="s">
        <v>130</v>
      </c>
      <c r="CH2" s="289" t="s">
        <v>33</v>
      </c>
      <c r="CI2" s="289" t="s">
        <v>34</v>
      </c>
      <c r="CJ2" s="290" t="s">
        <v>35</v>
      </c>
    </row>
    <row r="3" spans="1:88">
      <c r="A3" s="67" t="s">
        <v>99</v>
      </c>
      <c r="B3" s="68" t="s">
        <v>139</v>
      </c>
      <c r="C3" s="339">
        <v>0.15</v>
      </c>
      <c r="D3" s="353">
        <v>92000</v>
      </c>
      <c r="E3" s="293"/>
      <c r="F3" s="292">
        <f>IFERROR(D3/E3,0)</f>
        <v>0</v>
      </c>
      <c r="G3" s="230">
        <f ca="1">D3+RANDBETWEEN(5000,50000)</f>
        <v>135401</v>
      </c>
      <c r="H3" s="292">
        <f ca="1">IFERROR(G3/E3,0)</f>
        <v>0</v>
      </c>
      <c r="I3" s="353">
        <v>13198</v>
      </c>
      <c r="J3" s="293"/>
      <c r="K3" s="292">
        <f>IFERROR(I3/J3,0)</f>
        <v>0</v>
      </c>
      <c r="L3" s="230">
        <f ca="1">I3+RANDBETWEEN(5000,50000)</f>
        <v>46306</v>
      </c>
      <c r="M3" s="292">
        <f ca="1">IFERROR(L3/J3,0)</f>
        <v>0</v>
      </c>
      <c r="N3" s="353">
        <v>54354</v>
      </c>
      <c r="O3" s="293"/>
      <c r="P3" s="292">
        <f>IFERROR(N3/O3,0)</f>
        <v>0</v>
      </c>
      <c r="Q3" s="230">
        <f ca="1">N3+RANDBETWEEN(5000,50000)</f>
        <v>83697</v>
      </c>
      <c r="R3" s="292">
        <f ca="1">IFERROR(Q3/O3,0)</f>
        <v>0</v>
      </c>
      <c r="S3" s="354">
        <v>83784</v>
      </c>
      <c r="T3" s="294">
        <f>E3+J3+O3</f>
        <v>0</v>
      </c>
      <c r="U3" s="296">
        <f>IFERROR(S3/T3,0)</f>
        <v>0</v>
      </c>
      <c r="V3" s="295">
        <f ca="1">G3+L3+Q3</f>
        <v>265404</v>
      </c>
      <c r="W3" s="296">
        <f ca="1">IFERROR(V3/T3,0)</f>
        <v>0</v>
      </c>
      <c r="X3" s="353">
        <v>11063</v>
      </c>
      <c r="Y3" s="293"/>
      <c r="Z3" s="292">
        <f>IFERROR(X3/Y3,0)</f>
        <v>0</v>
      </c>
      <c r="AA3" s="230">
        <f ca="1">X3+RANDBETWEEN(5000,50000)</f>
        <v>33267</v>
      </c>
      <c r="AB3" s="292">
        <f ca="1">IFERROR(AA3/Y3,0)</f>
        <v>0</v>
      </c>
      <c r="AC3" s="353">
        <v>91455</v>
      </c>
      <c r="AD3" s="293"/>
      <c r="AE3" s="292">
        <f>IFERROR(AC3/AD3,0)</f>
        <v>0</v>
      </c>
      <c r="AF3" s="230">
        <f ca="1">AC3+RANDBETWEEN(5000,50000)</f>
        <v>118907</v>
      </c>
      <c r="AG3" s="292">
        <f ca="1">IFERROR(AF3/AD3,0)</f>
        <v>0</v>
      </c>
      <c r="AH3" s="353">
        <v>41143</v>
      </c>
      <c r="AI3" s="293"/>
      <c r="AJ3" s="292">
        <f>IFERROR(AH3/AI3,0)</f>
        <v>0</v>
      </c>
      <c r="AK3" s="230">
        <f ca="1">AH3+RANDBETWEEN(5000,50000)</f>
        <v>56193</v>
      </c>
      <c r="AL3" s="292">
        <f ca="1">IFERROR(AK3/AI3,0)</f>
        <v>0</v>
      </c>
      <c r="AM3" s="354">
        <v>96249</v>
      </c>
      <c r="AN3" s="294">
        <f>Y3+AD3+AI3</f>
        <v>0</v>
      </c>
      <c r="AO3" s="296">
        <f>IFERROR(AM3/AN3,0)</f>
        <v>0</v>
      </c>
      <c r="AP3" s="295">
        <f ca="1">AA3+AF3+AK3</f>
        <v>208367</v>
      </c>
      <c r="AQ3" s="296">
        <f ca="1">IFERROR(AP3/AN3,0)</f>
        <v>0</v>
      </c>
      <c r="AR3" s="353">
        <v>83324</v>
      </c>
      <c r="AS3" s="293"/>
      <c r="AT3" s="292">
        <f>IFERROR(AR3/AS3,0)</f>
        <v>0</v>
      </c>
      <c r="AU3" s="230">
        <f ca="1">AR3+RANDBETWEEN(5000,50000)</f>
        <v>90177</v>
      </c>
      <c r="AV3" s="292">
        <f ca="1">IFERROR(AU3/AS3,0)</f>
        <v>0</v>
      </c>
      <c r="AW3" s="353">
        <v>98092</v>
      </c>
      <c r="AX3" s="293"/>
      <c r="AY3" s="292">
        <f>IFERROR(AW3/AX3,0)</f>
        <v>0</v>
      </c>
      <c r="AZ3" s="230">
        <f ca="1">AW3+RANDBETWEEN(5000,50000)</f>
        <v>131802</v>
      </c>
      <c r="BA3" s="292">
        <f ca="1">IFERROR(AZ3/AX3,0)</f>
        <v>0</v>
      </c>
      <c r="BB3" s="353">
        <v>61033</v>
      </c>
      <c r="BC3" s="293"/>
      <c r="BD3" s="292">
        <f>IFERROR(BB3/BC3,0)</f>
        <v>0</v>
      </c>
      <c r="BE3" s="230">
        <f ca="1">BB3+RANDBETWEEN(5000,50000)</f>
        <v>109209</v>
      </c>
      <c r="BF3" s="292">
        <f ca="1">IFERROR(BE3/BC3,0)</f>
        <v>0</v>
      </c>
      <c r="BG3" s="294"/>
      <c r="BH3" s="294">
        <f>AS3+AX3+BC3</f>
        <v>0</v>
      </c>
      <c r="BI3" s="296">
        <f>IFERROR(BG3/BH3,0)</f>
        <v>0</v>
      </c>
      <c r="BJ3" s="295">
        <f ca="1">AU3+AZ3+BE3</f>
        <v>331188</v>
      </c>
      <c r="BK3" s="296">
        <f ca="1">IFERROR(BJ3/BH3,0)</f>
        <v>0</v>
      </c>
      <c r="BL3" s="353">
        <v>23858</v>
      </c>
      <c r="BM3" s="293"/>
      <c r="BN3" s="292">
        <f>IFERROR(BL3/BM3,0)</f>
        <v>0</v>
      </c>
      <c r="BO3" s="230">
        <f ca="1">BL3+RANDBETWEEN(5000,50000)</f>
        <v>33932</v>
      </c>
      <c r="BP3" s="292">
        <f ca="1">IFERROR(BO3/BM3,0)</f>
        <v>0</v>
      </c>
      <c r="BQ3" s="353">
        <v>69345</v>
      </c>
      <c r="BR3" s="293"/>
      <c r="BS3" s="292">
        <f>IFERROR(BQ3/BR3,0)</f>
        <v>0</v>
      </c>
      <c r="BT3" s="230">
        <f ca="1">BQ3+RANDBETWEEN(5000,50000)</f>
        <v>86309</v>
      </c>
      <c r="BU3" s="292">
        <f ca="1">IFERROR(BT3/BR3,0)</f>
        <v>0</v>
      </c>
      <c r="BV3" s="353">
        <v>55009</v>
      </c>
      <c r="BW3" s="293"/>
      <c r="BX3" s="292">
        <f>IFERROR(BV3/BW3,0)</f>
        <v>0</v>
      </c>
      <c r="BY3" s="230">
        <f ca="1">BV3+RANDBETWEEN(5000,50000)</f>
        <v>71270</v>
      </c>
      <c r="BZ3" s="292">
        <f ca="1">IFERROR(BY3/BW3,0)</f>
        <v>0</v>
      </c>
      <c r="CA3" s="294"/>
      <c r="CB3" s="294">
        <f>BM3+BR3+BW3</f>
        <v>0</v>
      </c>
      <c r="CC3" s="296">
        <f>IFERROR(CA3/CB3,0)</f>
        <v>0</v>
      </c>
      <c r="CD3" s="295">
        <f ca="1">BO3+BT3+BY3</f>
        <v>191511</v>
      </c>
      <c r="CE3" s="296">
        <f ca="1">IFERROR(CD3/CB3,0)</f>
        <v>0</v>
      </c>
      <c r="CF3" s="355">
        <v>19766</v>
      </c>
      <c r="CG3" s="297">
        <f t="shared" ref="CF3:CG12" si="0">T3+AN3+BH3+CB3</f>
        <v>0</v>
      </c>
      <c r="CH3" s="297">
        <f>IFERROR(CF3/CG3,0)</f>
        <v>0</v>
      </c>
      <c r="CI3" s="298">
        <f t="shared" ref="CI3:CI12" ca="1" si="1">V3+AP3+BJ3+CD3</f>
        <v>996470</v>
      </c>
      <c r="CJ3" s="299">
        <f ca="1">IFERROR(CI3/CG3,0)</f>
        <v>0</v>
      </c>
    </row>
    <row r="4" spans="1:88">
      <c r="A4" s="67"/>
      <c r="B4" s="68"/>
      <c r="C4" s="339"/>
      <c r="D4" s="292"/>
      <c r="E4" s="293"/>
      <c r="F4" s="292">
        <f t="shared" ref="F4:F12" si="2">IFERROR(D4/E4,0)</f>
        <v>0</v>
      </c>
      <c r="G4" s="293"/>
      <c r="H4" s="292">
        <f t="shared" ref="H4:H12" si="3">IFERROR(G4/E4,0)</f>
        <v>0</v>
      </c>
      <c r="I4" s="292"/>
      <c r="J4" s="293"/>
      <c r="K4" s="292">
        <f t="shared" ref="K4:K12" si="4">IFERROR(I4/J4,0)</f>
        <v>0</v>
      </c>
      <c r="L4" s="293"/>
      <c r="M4" s="292">
        <f t="shared" ref="M4:M12" si="5">IFERROR(L4/J4,0)</f>
        <v>0</v>
      </c>
      <c r="N4" s="292"/>
      <c r="O4" s="293"/>
      <c r="P4" s="292">
        <f t="shared" ref="P4:P12" si="6">IFERROR(N4/O4,0)</f>
        <v>0</v>
      </c>
      <c r="Q4" s="293"/>
      <c r="R4" s="292">
        <f t="shared" ref="R4:R12" si="7">IFERROR(Q4/O4,0)</f>
        <v>0</v>
      </c>
      <c r="S4" s="294"/>
      <c r="T4" s="294">
        <f t="shared" ref="S4:T12" si="8">E4+J4+O4</f>
        <v>0</v>
      </c>
      <c r="U4" s="296">
        <f t="shared" ref="U4:U12" si="9">IFERROR(S4/T4,0)</f>
        <v>0</v>
      </c>
      <c r="V4" s="295">
        <f t="shared" ref="V4:V11" si="10">G4+L4+Q4</f>
        <v>0</v>
      </c>
      <c r="W4" s="296">
        <f t="shared" ref="W4:W12" si="11">IFERROR(V4/T4,0)</f>
        <v>0</v>
      </c>
      <c r="X4" s="292"/>
      <c r="Y4" s="293"/>
      <c r="Z4" s="292">
        <f t="shared" ref="Z4:Z12" si="12">IFERROR(X4/Y4,0)</f>
        <v>0</v>
      </c>
      <c r="AA4" s="293"/>
      <c r="AB4" s="292">
        <f t="shared" ref="AB4:AB12" si="13">IFERROR(AA4/Y4,0)</f>
        <v>0</v>
      </c>
      <c r="AC4" s="292"/>
      <c r="AD4" s="293"/>
      <c r="AE4" s="292">
        <f t="shared" ref="AE4:AE12" si="14">IFERROR(AC4/AD4,0)</f>
        <v>0</v>
      </c>
      <c r="AF4" s="293"/>
      <c r="AG4" s="292">
        <f t="shared" ref="AG4:AG12" si="15">IFERROR(AF4/AD4,0)</f>
        <v>0</v>
      </c>
      <c r="AH4" s="292"/>
      <c r="AI4" s="293"/>
      <c r="AJ4" s="292">
        <f t="shared" ref="AJ4:AJ12" si="16">IFERROR(AH4/AI4,0)</f>
        <v>0</v>
      </c>
      <c r="AK4" s="293"/>
      <c r="AL4" s="292">
        <f t="shared" ref="AL4:AL12" si="17">IFERROR(AK4/AI4,0)</f>
        <v>0</v>
      </c>
      <c r="AM4" s="294"/>
      <c r="AN4" s="294">
        <f t="shared" ref="AM4:AN11" si="18">Y4+AD4+AI4</f>
        <v>0</v>
      </c>
      <c r="AO4" s="296">
        <f t="shared" ref="AO4:AO12" si="19">IFERROR(AM4/AN4,0)</f>
        <v>0</v>
      </c>
      <c r="AP4" s="295">
        <f t="shared" ref="AP4:AP11" si="20">AA4+AF4+AK4</f>
        <v>0</v>
      </c>
      <c r="AQ4" s="296">
        <f t="shared" ref="AQ4:AQ12" si="21">IFERROR(AP4/AN4,0)</f>
        <v>0</v>
      </c>
      <c r="AR4" s="292"/>
      <c r="AS4" s="293"/>
      <c r="AT4" s="292">
        <f t="shared" ref="AT4:AT12" si="22">IFERROR(AR4/AS4,0)</f>
        <v>0</v>
      </c>
      <c r="AU4" s="293"/>
      <c r="AV4" s="292">
        <f t="shared" ref="AV4:AV12" si="23">IFERROR(AU4/AS4,0)</f>
        <v>0</v>
      </c>
      <c r="AW4" s="292"/>
      <c r="AX4" s="293"/>
      <c r="AY4" s="292">
        <f t="shared" ref="AY4:AY12" si="24">IFERROR(AW4/AX4,0)</f>
        <v>0</v>
      </c>
      <c r="AZ4" s="293"/>
      <c r="BA4" s="292">
        <f t="shared" ref="BA4:BA12" si="25">IFERROR(AZ4/AX4,0)</f>
        <v>0</v>
      </c>
      <c r="BB4" s="292"/>
      <c r="BC4" s="293"/>
      <c r="BD4" s="292">
        <f t="shared" ref="BD4:BD12" si="26">IFERROR(BB4/BC4,0)</f>
        <v>0</v>
      </c>
      <c r="BE4" s="293"/>
      <c r="BF4" s="292">
        <f t="shared" ref="BF4:BF12" si="27">IFERROR(BE4/BC4,0)</f>
        <v>0</v>
      </c>
      <c r="BG4" s="294"/>
      <c r="BH4" s="294">
        <f t="shared" ref="BH4:BH12" si="28">AS4+AX4+BC4</f>
        <v>0</v>
      </c>
      <c r="BI4" s="296">
        <f t="shared" ref="BI4:BI12" si="29">IFERROR(BG4/BH4,0)</f>
        <v>0</v>
      </c>
      <c r="BJ4" s="295">
        <f t="shared" ref="BJ4:BJ11" si="30">AU4+AZ4+BE4</f>
        <v>0</v>
      </c>
      <c r="BK4" s="296">
        <f t="shared" ref="BK4:BK12" si="31">IFERROR(BJ4/BH4,0)</f>
        <v>0</v>
      </c>
      <c r="BL4" s="292"/>
      <c r="BM4" s="293"/>
      <c r="BN4" s="292">
        <f t="shared" ref="BN4:BN12" si="32">IFERROR(BL4/BM4,0)</f>
        <v>0</v>
      </c>
      <c r="BO4" s="293"/>
      <c r="BP4" s="292">
        <f t="shared" ref="BP4:BP12" si="33">IFERROR(BO4/BM4,0)</f>
        <v>0</v>
      </c>
      <c r="BQ4" s="292"/>
      <c r="BR4" s="293"/>
      <c r="BS4" s="292">
        <f t="shared" ref="BS4:BS12" si="34">IFERROR(BQ4/BR4,0)</f>
        <v>0</v>
      </c>
      <c r="BT4" s="293"/>
      <c r="BU4" s="292">
        <f t="shared" ref="BU4:BU12" si="35">IFERROR(BT4/BR4,0)</f>
        <v>0</v>
      </c>
      <c r="BV4" s="292"/>
      <c r="BW4" s="293"/>
      <c r="BX4" s="292">
        <f t="shared" ref="BX4:BX11" si="36">IFERROR(BV4/BW4,0)</f>
        <v>0</v>
      </c>
      <c r="BY4" s="293"/>
      <c r="BZ4" s="292">
        <f t="shared" ref="BZ4:BZ12" si="37">IFERROR(BY4/BW4,0)</f>
        <v>0</v>
      </c>
      <c r="CA4" s="294"/>
      <c r="CB4" s="294">
        <f t="shared" ref="CB4:CB11" si="38">BM4+BR4+BW4</f>
        <v>0</v>
      </c>
      <c r="CC4" s="296">
        <f t="shared" ref="CC4:CC12" si="39">IFERROR(CA4/CB4,0)</f>
        <v>0</v>
      </c>
      <c r="CD4" s="295">
        <f t="shared" ref="CD4:CD11" si="40">BO4+BT4+BY4</f>
        <v>0</v>
      </c>
      <c r="CE4" s="296">
        <f t="shared" ref="CE4:CE12" si="41">IFERROR(CD4/CB4,0)</f>
        <v>0</v>
      </c>
      <c r="CF4" s="297"/>
      <c r="CG4" s="297">
        <f t="shared" si="0"/>
        <v>0</v>
      </c>
      <c r="CH4" s="297">
        <f t="shared" ref="CH4:CH12" si="42">IFERROR(CF4/CG4,0)</f>
        <v>0</v>
      </c>
      <c r="CI4" s="298">
        <f t="shared" si="1"/>
        <v>0</v>
      </c>
      <c r="CJ4" s="299">
        <f t="shared" ref="CJ4:CJ12" si="43">IFERROR(CI4/CG4,0)</f>
        <v>0</v>
      </c>
    </row>
    <row r="5" spans="1:88">
      <c r="A5" s="67"/>
      <c r="B5" s="68" t="s">
        <v>178</v>
      </c>
      <c r="C5" s="352"/>
      <c r="D5" s="292"/>
      <c r="E5" s="293"/>
      <c r="F5" s="292">
        <f t="shared" si="2"/>
        <v>0</v>
      </c>
      <c r="G5" s="293"/>
      <c r="H5" s="292">
        <f t="shared" si="3"/>
        <v>0</v>
      </c>
      <c r="I5" s="292"/>
      <c r="J5" s="293"/>
      <c r="K5" s="292">
        <f t="shared" si="4"/>
        <v>0</v>
      </c>
      <c r="L5" s="293"/>
      <c r="M5" s="292">
        <f t="shared" si="5"/>
        <v>0</v>
      </c>
      <c r="N5" s="292"/>
      <c r="O5" s="293"/>
      <c r="P5" s="292">
        <f t="shared" si="6"/>
        <v>0</v>
      </c>
      <c r="Q5" s="293"/>
      <c r="R5" s="292">
        <f t="shared" si="7"/>
        <v>0</v>
      </c>
      <c r="S5" s="294"/>
      <c r="T5" s="294">
        <f t="shared" si="8"/>
        <v>0</v>
      </c>
      <c r="U5" s="296">
        <f t="shared" si="9"/>
        <v>0</v>
      </c>
      <c r="V5" s="295">
        <f t="shared" si="10"/>
        <v>0</v>
      </c>
      <c r="W5" s="296">
        <f t="shared" si="11"/>
        <v>0</v>
      </c>
      <c r="X5" s="292"/>
      <c r="Y5" s="293"/>
      <c r="Z5" s="292">
        <f t="shared" si="12"/>
        <v>0</v>
      </c>
      <c r="AA5" s="293"/>
      <c r="AB5" s="292">
        <f t="shared" si="13"/>
        <v>0</v>
      </c>
      <c r="AC5" s="292"/>
      <c r="AD5" s="293"/>
      <c r="AE5" s="292">
        <f t="shared" si="14"/>
        <v>0</v>
      </c>
      <c r="AF5" s="293"/>
      <c r="AG5" s="292">
        <f t="shared" si="15"/>
        <v>0</v>
      </c>
      <c r="AH5" s="292"/>
      <c r="AI5" s="293"/>
      <c r="AJ5" s="292">
        <f t="shared" si="16"/>
        <v>0</v>
      </c>
      <c r="AK5" s="293"/>
      <c r="AL5" s="292">
        <f t="shared" si="17"/>
        <v>0</v>
      </c>
      <c r="AM5" s="294"/>
      <c r="AN5" s="294">
        <f t="shared" si="18"/>
        <v>0</v>
      </c>
      <c r="AO5" s="296">
        <f t="shared" si="19"/>
        <v>0</v>
      </c>
      <c r="AP5" s="295">
        <f t="shared" si="20"/>
        <v>0</v>
      </c>
      <c r="AQ5" s="296">
        <f t="shared" si="21"/>
        <v>0</v>
      </c>
      <c r="AR5" s="292"/>
      <c r="AS5" s="293"/>
      <c r="AT5" s="292">
        <f t="shared" si="22"/>
        <v>0</v>
      </c>
      <c r="AU5" s="293"/>
      <c r="AV5" s="292">
        <f t="shared" si="23"/>
        <v>0</v>
      </c>
      <c r="AW5" s="292"/>
      <c r="AX5" s="293"/>
      <c r="AY5" s="292">
        <f t="shared" si="24"/>
        <v>0</v>
      </c>
      <c r="AZ5" s="293"/>
      <c r="BA5" s="292">
        <f t="shared" si="25"/>
        <v>0</v>
      </c>
      <c r="BB5" s="292"/>
      <c r="BC5" s="293"/>
      <c r="BD5" s="292">
        <f t="shared" si="26"/>
        <v>0</v>
      </c>
      <c r="BE5" s="293"/>
      <c r="BF5" s="292">
        <f t="shared" si="27"/>
        <v>0</v>
      </c>
      <c r="BG5" s="294"/>
      <c r="BH5" s="294">
        <f t="shared" si="28"/>
        <v>0</v>
      </c>
      <c r="BI5" s="296">
        <f t="shared" si="29"/>
        <v>0</v>
      </c>
      <c r="BJ5" s="295">
        <f t="shared" si="30"/>
        <v>0</v>
      </c>
      <c r="BK5" s="296">
        <f t="shared" si="31"/>
        <v>0</v>
      </c>
      <c r="BL5" s="292"/>
      <c r="BM5" s="293"/>
      <c r="BN5" s="292">
        <f t="shared" si="32"/>
        <v>0</v>
      </c>
      <c r="BO5" s="293"/>
      <c r="BP5" s="292">
        <f t="shared" si="33"/>
        <v>0</v>
      </c>
      <c r="BQ5" s="292"/>
      <c r="BR5" s="293"/>
      <c r="BS5" s="292">
        <f t="shared" si="34"/>
        <v>0</v>
      </c>
      <c r="BT5" s="293"/>
      <c r="BU5" s="292">
        <f t="shared" si="35"/>
        <v>0</v>
      </c>
      <c r="BV5" s="292"/>
      <c r="BW5" s="293"/>
      <c r="BX5" s="292">
        <f t="shared" si="36"/>
        <v>0</v>
      </c>
      <c r="BY5" s="293"/>
      <c r="BZ5" s="292">
        <f t="shared" si="37"/>
        <v>0</v>
      </c>
      <c r="CA5" s="294"/>
      <c r="CB5" s="294">
        <f t="shared" si="38"/>
        <v>0</v>
      </c>
      <c r="CC5" s="296">
        <f t="shared" si="39"/>
        <v>0</v>
      </c>
      <c r="CD5" s="295">
        <f t="shared" si="40"/>
        <v>0</v>
      </c>
      <c r="CE5" s="296">
        <f t="shared" si="41"/>
        <v>0</v>
      </c>
      <c r="CF5" s="297"/>
      <c r="CG5" s="297">
        <f t="shared" si="0"/>
        <v>0</v>
      </c>
      <c r="CH5" s="297">
        <f t="shared" si="42"/>
        <v>0</v>
      </c>
      <c r="CI5" s="298">
        <f t="shared" si="1"/>
        <v>0</v>
      </c>
      <c r="CJ5" s="299">
        <f t="shared" si="43"/>
        <v>0</v>
      </c>
    </row>
    <row r="6" spans="1:88">
      <c r="A6" s="67"/>
      <c r="B6" s="301"/>
      <c r="C6" s="352"/>
      <c r="D6" s="292"/>
      <c r="E6" s="303"/>
      <c r="F6" s="302">
        <f t="shared" si="2"/>
        <v>0</v>
      </c>
      <c r="G6" s="303"/>
      <c r="H6" s="302">
        <f t="shared" si="3"/>
        <v>0</v>
      </c>
      <c r="I6" s="302"/>
      <c r="J6" s="303"/>
      <c r="K6" s="302">
        <f t="shared" si="4"/>
        <v>0</v>
      </c>
      <c r="L6" s="303"/>
      <c r="M6" s="302">
        <f t="shared" si="5"/>
        <v>0</v>
      </c>
      <c r="N6" s="302"/>
      <c r="O6" s="303"/>
      <c r="P6" s="302">
        <f t="shared" si="6"/>
        <v>0</v>
      </c>
      <c r="Q6" s="303"/>
      <c r="R6" s="302">
        <f t="shared" si="7"/>
        <v>0</v>
      </c>
      <c r="S6" s="304"/>
      <c r="T6" s="304">
        <f t="shared" si="8"/>
        <v>0</v>
      </c>
      <c r="U6" s="306">
        <f t="shared" si="9"/>
        <v>0</v>
      </c>
      <c r="V6" s="305">
        <f t="shared" si="10"/>
        <v>0</v>
      </c>
      <c r="W6" s="306">
        <f t="shared" si="11"/>
        <v>0</v>
      </c>
      <c r="X6" s="292"/>
      <c r="Y6" s="303"/>
      <c r="Z6" s="302">
        <f t="shared" si="12"/>
        <v>0</v>
      </c>
      <c r="AA6" s="303"/>
      <c r="AB6" s="302">
        <f t="shared" si="13"/>
        <v>0</v>
      </c>
      <c r="AC6" s="292"/>
      <c r="AD6" s="303"/>
      <c r="AE6" s="302">
        <f t="shared" si="14"/>
        <v>0</v>
      </c>
      <c r="AF6" s="303"/>
      <c r="AG6" s="302">
        <f t="shared" si="15"/>
        <v>0</v>
      </c>
      <c r="AH6" s="292"/>
      <c r="AI6" s="303"/>
      <c r="AJ6" s="302">
        <f t="shared" si="16"/>
        <v>0</v>
      </c>
      <c r="AK6" s="303"/>
      <c r="AL6" s="302">
        <f t="shared" si="17"/>
        <v>0</v>
      </c>
      <c r="AM6" s="304"/>
      <c r="AN6" s="304">
        <f t="shared" si="18"/>
        <v>0</v>
      </c>
      <c r="AO6" s="306">
        <f t="shared" si="19"/>
        <v>0</v>
      </c>
      <c r="AP6" s="305">
        <f t="shared" si="20"/>
        <v>0</v>
      </c>
      <c r="AQ6" s="306">
        <f t="shared" si="21"/>
        <v>0</v>
      </c>
      <c r="AR6" s="292"/>
      <c r="AS6" s="303"/>
      <c r="AT6" s="302">
        <f t="shared" si="22"/>
        <v>0</v>
      </c>
      <c r="AU6" s="303"/>
      <c r="AV6" s="302">
        <f t="shared" si="23"/>
        <v>0</v>
      </c>
      <c r="AW6" s="292"/>
      <c r="AX6" s="303"/>
      <c r="AY6" s="302">
        <f t="shared" si="24"/>
        <v>0</v>
      </c>
      <c r="AZ6" s="303"/>
      <c r="BA6" s="302">
        <f t="shared" si="25"/>
        <v>0</v>
      </c>
      <c r="BB6" s="292"/>
      <c r="BC6" s="303"/>
      <c r="BD6" s="302">
        <f t="shared" si="26"/>
        <v>0</v>
      </c>
      <c r="BE6" s="303"/>
      <c r="BF6" s="302">
        <f t="shared" si="27"/>
        <v>0</v>
      </c>
      <c r="BG6" s="304"/>
      <c r="BH6" s="304">
        <f t="shared" si="28"/>
        <v>0</v>
      </c>
      <c r="BI6" s="306">
        <f t="shared" si="29"/>
        <v>0</v>
      </c>
      <c r="BJ6" s="305">
        <f t="shared" si="30"/>
        <v>0</v>
      </c>
      <c r="BK6" s="306">
        <f t="shared" si="31"/>
        <v>0</v>
      </c>
      <c r="BL6" s="292"/>
      <c r="BM6" s="303"/>
      <c r="BN6" s="302">
        <f t="shared" si="32"/>
        <v>0</v>
      </c>
      <c r="BO6" s="303"/>
      <c r="BP6" s="302">
        <f t="shared" si="33"/>
        <v>0</v>
      </c>
      <c r="BQ6" s="292"/>
      <c r="BR6" s="303"/>
      <c r="BS6" s="302">
        <f t="shared" si="34"/>
        <v>0</v>
      </c>
      <c r="BT6" s="303"/>
      <c r="BU6" s="302">
        <f t="shared" si="35"/>
        <v>0</v>
      </c>
      <c r="BV6" s="292"/>
      <c r="BW6" s="303"/>
      <c r="BX6" s="302">
        <f t="shared" si="36"/>
        <v>0</v>
      </c>
      <c r="BY6" s="303"/>
      <c r="BZ6" s="302">
        <f t="shared" si="37"/>
        <v>0</v>
      </c>
      <c r="CA6" s="304"/>
      <c r="CB6" s="304">
        <f t="shared" si="38"/>
        <v>0</v>
      </c>
      <c r="CC6" s="306">
        <f t="shared" si="39"/>
        <v>0</v>
      </c>
      <c r="CD6" s="305">
        <f t="shared" si="40"/>
        <v>0</v>
      </c>
      <c r="CE6" s="306">
        <f t="shared" si="41"/>
        <v>0</v>
      </c>
      <c r="CF6" s="307"/>
      <c r="CG6" s="307">
        <f t="shared" si="0"/>
        <v>0</v>
      </c>
      <c r="CH6" s="307">
        <f t="shared" si="42"/>
        <v>0</v>
      </c>
      <c r="CI6" s="308">
        <f t="shared" si="1"/>
        <v>0</v>
      </c>
      <c r="CJ6" s="309">
        <f t="shared" si="43"/>
        <v>0</v>
      </c>
    </row>
    <row r="7" spans="1:88" ht="4.05" customHeight="1">
      <c r="A7" s="253"/>
      <c r="B7" s="254"/>
      <c r="C7" s="255"/>
      <c r="D7" s="255"/>
      <c r="E7" s="255"/>
      <c r="F7" s="255"/>
      <c r="G7" s="255"/>
      <c r="H7" s="255"/>
      <c r="I7" s="256"/>
      <c r="J7" s="257"/>
      <c r="K7" s="255"/>
      <c r="L7" s="255"/>
      <c r="M7" s="255"/>
      <c r="N7" s="255"/>
      <c r="O7" s="255"/>
      <c r="P7" s="255"/>
      <c r="Q7" s="256"/>
      <c r="R7" s="257"/>
      <c r="S7" s="255"/>
      <c r="T7" s="255"/>
      <c r="U7" s="255"/>
      <c r="V7" s="255"/>
      <c r="W7" s="255"/>
      <c r="X7" s="255"/>
      <c r="Y7" s="256"/>
      <c r="Z7" s="257"/>
      <c r="AA7" s="255"/>
      <c r="AB7" s="255"/>
      <c r="AC7" s="255"/>
      <c r="AD7" s="255"/>
      <c r="AE7" s="255"/>
      <c r="AF7" s="255"/>
      <c r="AG7" s="256"/>
      <c r="AH7" s="257"/>
      <c r="AI7" s="255"/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8"/>
      <c r="AX7" s="258"/>
      <c r="AY7" s="258"/>
      <c r="AZ7" s="258"/>
      <c r="BA7" s="258"/>
      <c r="BB7" s="258"/>
      <c r="BC7" s="258"/>
      <c r="BD7" s="258"/>
      <c r="BE7" s="258"/>
      <c r="BF7" s="258"/>
      <c r="BG7" s="258"/>
      <c r="BH7" s="258"/>
      <c r="BI7" s="258"/>
      <c r="BJ7" s="258"/>
      <c r="BK7" s="258"/>
      <c r="BL7" s="258"/>
      <c r="BM7" s="258"/>
      <c r="BN7" s="258"/>
      <c r="BO7" s="258"/>
      <c r="BP7" s="258"/>
      <c r="BQ7" s="258"/>
      <c r="BR7" s="258"/>
      <c r="BS7" s="258"/>
      <c r="BT7" s="258"/>
      <c r="BU7" s="258"/>
      <c r="BV7" s="258"/>
      <c r="BW7" s="258"/>
      <c r="BX7" s="258"/>
      <c r="BY7" s="258"/>
      <c r="BZ7" s="258"/>
      <c r="CA7" s="258"/>
      <c r="CB7" s="258"/>
      <c r="CC7" s="258"/>
      <c r="CD7" s="258"/>
      <c r="CE7" s="258"/>
      <c r="CF7" s="258"/>
      <c r="CG7" s="258"/>
      <c r="CH7" s="258"/>
      <c r="CI7" s="258"/>
      <c r="CJ7" s="258"/>
    </row>
    <row r="8" spans="1:88">
      <c r="A8" s="70" t="s">
        <v>89</v>
      </c>
      <c r="B8" s="71" t="s">
        <v>90</v>
      </c>
      <c r="C8" s="351"/>
      <c r="D8" s="311">
        <f>D22</f>
        <v>0</v>
      </c>
      <c r="E8" s="312">
        <f>E22</f>
        <v>0</v>
      </c>
      <c r="F8" s="311">
        <f t="shared" si="2"/>
        <v>0</v>
      </c>
      <c r="G8" s="312">
        <f>G22</f>
        <v>0</v>
      </c>
      <c r="H8" s="311">
        <f t="shared" si="3"/>
        <v>0</v>
      </c>
      <c r="I8" s="311">
        <f>I22</f>
        <v>0</v>
      </c>
      <c r="J8" s="312">
        <f>J22</f>
        <v>0</v>
      </c>
      <c r="K8" s="311">
        <f t="shared" si="4"/>
        <v>0</v>
      </c>
      <c r="L8" s="312">
        <f>L22</f>
        <v>0</v>
      </c>
      <c r="M8" s="311">
        <f t="shared" si="5"/>
        <v>0</v>
      </c>
      <c r="N8" s="311">
        <f>N22</f>
        <v>0</v>
      </c>
      <c r="O8" s="312">
        <f>O22</f>
        <v>0</v>
      </c>
      <c r="P8" s="311">
        <f t="shared" si="6"/>
        <v>0</v>
      </c>
      <c r="Q8" s="312">
        <f>Q22</f>
        <v>0</v>
      </c>
      <c r="R8" s="311">
        <f t="shared" si="7"/>
        <v>0</v>
      </c>
      <c r="S8" s="313">
        <f t="shared" si="8"/>
        <v>0</v>
      </c>
      <c r="T8" s="313">
        <f t="shared" si="8"/>
        <v>0</v>
      </c>
      <c r="U8" s="315">
        <f t="shared" si="9"/>
        <v>0</v>
      </c>
      <c r="V8" s="314">
        <f t="shared" si="10"/>
        <v>0</v>
      </c>
      <c r="W8" s="315">
        <f t="shared" si="11"/>
        <v>0</v>
      </c>
      <c r="X8" s="311">
        <f>X22</f>
        <v>0</v>
      </c>
      <c r="Y8" s="312">
        <f>Y22</f>
        <v>0</v>
      </c>
      <c r="Z8" s="311">
        <f t="shared" si="12"/>
        <v>0</v>
      </c>
      <c r="AA8" s="312">
        <f>AA22</f>
        <v>0</v>
      </c>
      <c r="AB8" s="311">
        <f t="shared" si="13"/>
        <v>0</v>
      </c>
      <c r="AC8" s="311">
        <f>AC22</f>
        <v>0</v>
      </c>
      <c r="AD8" s="312">
        <f>AD22</f>
        <v>0</v>
      </c>
      <c r="AE8" s="311">
        <f t="shared" si="14"/>
        <v>0</v>
      </c>
      <c r="AF8" s="312">
        <f>AF22</f>
        <v>0</v>
      </c>
      <c r="AG8" s="311">
        <f t="shared" si="15"/>
        <v>0</v>
      </c>
      <c r="AH8" s="311">
        <f>AH22</f>
        <v>0</v>
      </c>
      <c r="AI8" s="312">
        <f>AI22</f>
        <v>0</v>
      </c>
      <c r="AJ8" s="311">
        <f t="shared" si="16"/>
        <v>0</v>
      </c>
      <c r="AK8" s="312">
        <f>AK22</f>
        <v>0</v>
      </c>
      <c r="AL8" s="311">
        <f t="shared" si="17"/>
        <v>0</v>
      </c>
      <c r="AM8" s="313">
        <f t="shared" si="18"/>
        <v>0</v>
      </c>
      <c r="AN8" s="313">
        <f t="shared" si="18"/>
        <v>0</v>
      </c>
      <c r="AO8" s="315">
        <f t="shared" si="19"/>
        <v>0</v>
      </c>
      <c r="AP8" s="314">
        <f t="shared" si="20"/>
        <v>0</v>
      </c>
      <c r="AQ8" s="315">
        <f t="shared" si="21"/>
        <v>0</v>
      </c>
      <c r="AR8" s="311">
        <f>AR22</f>
        <v>0</v>
      </c>
      <c r="AS8" s="312">
        <f>AS22</f>
        <v>0</v>
      </c>
      <c r="AT8" s="311">
        <f t="shared" si="22"/>
        <v>0</v>
      </c>
      <c r="AU8" s="312">
        <f>AU22</f>
        <v>0</v>
      </c>
      <c r="AV8" s="311">
        <f t="shared" si="23"/>
        <v>0</v>
      </c>
      <c r="AW8" s="311">
        <f>AW22</f>
        <v>0</v>
      </c>
      <c r="AX8" s="312">
        <f>AX22</f>
        <v>0</v>
      </c>
      <c r="AY8" s="311">
        <f t="shared" si="24"/>
        <v>0</v>
      </c>
      <c r="AZ8" s="312">
        <f>AZ22</f>
        <v>0</v>
      </c>
      <c r="BA8" s="311">
        <f t="shared" si="25"/>
        <v>0</v>
      </c>
      <c r="BB8" s="311">
        <f>BB22</f>
        <v>0</v>
      </c>
      <c r="BC8" s="312">
        <f>BC22</f>
        <v>0</v>
      </c>
      <c r="BD8" s="311">
        <f t="shared" si="26"/>
        <v>0</v>
      </c>
      <c r="BE8" s="312">
        <f>BE22</f>
        <v>0</v>
      </c>
      <c r="BF8" s="311">
        <f t="shared" si="27"/>
        <v>0</v>
      </c>
      <c r="BG8" s="313">
        <f t="shared" ref="BG8:BG11" si="44">AR8+AW8+BB8</f>
        <v>0</v>
      </c>
      <c r="BH8" s="313">
        <f t="shared" si="28"/>
        <v>0</v>
      </c>
      <c r="BI8" s="315">
        <f t="shared" si="29"/>
        <v>0</v>
      </c>
      <c r="BJ8" s="314">
        <f t="shared" si="30"/>
        <v>0</v>
      </c>
      <c r="BK8" s="315">
        <f t="shared" si="31"/>
        <v>0</v>
      </c>
      <c r="BL8" s="311">
        <f>BL22</f>
        <v>0</v>
      </c>
      <c r="BM8" s="312"/>
      <c r="BN8" s="311">
        <f t="shared" si="32"/>
        <v>0</v>
      </c>
      <c r="BO8" s="312">
        <f>BO22</f>
        <v>0</v>
      </c>
      <c r="BP8" s="311">
        <f t="shared" si="33"/>
        <v>0</v>
      </c>
      <c r="BQ8" s="311">
        <f>BQ22</f>
        <v>0</v>
      </c>
      <c r="BR8" s="312">
        <f>BR22</f>
        <v>0</v>
      </c>
      <c r="BS8" s="311">
        <f t="shared" si="34"/>
        <v>0</v>
      </c>
      <c r="BT8" s="312">
        <f>BT22</f>
        <v>0</v>
      </c>
      <c r="BU8" s="311">
        <f t="shared" si="35"/>
        <v>0</v>
      </c>
      <c r="BV8" s="311">
        <f>BV22</f>
        <v>0</v>
      </c>
      <c r="BW8" s="312">
        <f>BW22</f>
        <v>0</v>
      </c>
      <c r="BX8" s="311">
        <f t="shared" si="36"/>
        <v>0</v>
      </c>
      <c r="BY8" s="312">
        <f>BY22</f>
        <v>0</v>
      </c>
      <c r="BZ8" s="311">
        <f t="shared" si="37"/>
        <v>0</v>
      </c>
      <c r="CA8" s="313">
        <f t="shared" ref="CA8:CA11" si="45">BL8+BQ8+BV8</f>
        <v>0</v>
      </c>
      <c r="CB8" s="313">
        <f t="shared" si="38"/>
        <v>0</v>
      </c>
      <c r="CC8" s="315">
        <f t="shared" si="39"/>
        <v>0</v>
      </c>
      <c r="CD8" s="314">
        <f t="shared" si="40"/>
        <v>0</v>
      </c>
      <c r="CE8" s="315">
        <f t="shared" si="41"/>
        <v>0</v>
      </c>
      <c r="CF8" s="316">
        <f t="shared" si="0"/>
        <v>0</v>
      </c>
      <c r="CG8" s="316">
        <f t="shared" si="0"/>
        <v>0</v>
      </c>
      <c r="CH8" s="316">
        <f t="shared" si="42"/>
        <v>0</v>
      </c>
      <c r="CI8" s="317">
        <f t="shared" si="1"/>
        <v>0</v>
      </c>
      <c r="CJ8" s="318">
        <f t="shared" si="43"/>
        <v>0</v>
      </c>
    </row>
    <row r="9" spans="1:88">
      <c r="A9" s="67" t="s">
        <v>91</v>
      </c>
      <c r="B9" s="68" t="s">
        <v>90</v>
      </c>
      <c r="C9" s="339"/>
      <c r="D9" s="292">
        <f>D31</f>
        <v>0</v>
      </c>
      <c r="E9" s="319">
        <f>E31</f>
        <v>0</v>
      </c>
      <c r="F9" s="292">
        <f t="shared" si="2"/>
        <v>0</v>
      </c>
      <c r="G9" s="319">
        <f>G31</f>
        <v>0</v>
      </c>
      <c r="H9" s="292">
        <f t="shared" si="3"/>
        <v>0</v>
      </c>
      <c r="I9" s="292">
        <f>I31</f>
        <v>0</v>
      </c>
      <c r="J9" s="319">
        <f>J31</f>
        <v>0</v>
      </c>
      <c r="K9" s="292">
        <f t="shared" si="4"/>
        <v>0</v>
      </c>
      <c r="L9" s="319">
        <f>L31</f>
        <v>0</v>
      </c>
      <c r="M9" s="292">
        <f t="shared" si="5"/>
        <v>0</v>
      </c>
      <c r="N9" s="292">
        <f>N31</f>
        <v>0</v>
      </c>
      <c r="O9" s="319">
        <f>O31</f>
        <v>0</v>
      </c>
      <c r="P9" s="292">
        <f t="shared" si="6"/>
        <v>0</v>
      </c>
      <c r="Q9" s="319">
        <f>Q31</f>
        <v>0</v>
      </c>
      <c r="R9" s="292">
        <f t="shared" si="7"/>
        <v>0</v>
      </c>
      <c r="S9" s="294">
        <f t="shared" si="8"/>
        <v>0</v>
      </c>
      <c r="T9" s="294">
        <f t="shared" si="8"/>
        <v>0</v>
      </c>
      <c r="U9" s="296">
        <f t="shared" si="9"/>
        <v>0</v>
      </c>
      <c r="V9" s="295">
        <f t="shared" si="10"/>
        <v>0</v>
      </c>
      <c r="W9" s="296">
        <f t="shared" si="11"/>
        <v>0</v>
      </c>
      <c r="X9" s="292">
        <f>X31</f>
        <v>0</v>
      </c>
      <c r="Y9" s="319">
        <f>Y31</f>
        <v>0</v>
      </c>
      <c r="Z9" s="292">
        <f t="shared" si="12"/>
        <v>0</v>
      </c>
      <c r="AA9" s="319">
        <f>AA31</f>
        <v>0</v>
      </c>
      <c r="AB9" s="292">
        <f t="shared" si="13"/>
        <v>0</v>
      </c>
      <c r="AC9" s="292">
        <f>AC31</f>
        <v>0</v>
      </c>
      <c r="AD9" s="319">
        <f>AD31</f>
        <v>0</v>
      </c>
      <c r="AE9" s="292">
        <f t="shared" si="14"/>
        <v>0</v>
      </c>
      <c r="AF9" s="319">
        <f>AF31</f>
        <v>0</v>
      </c>
      <c r="AG9" s="292">
        <f t="shared" si="15"/>
        <v>0</v>
      </c>
      <c r="AH9" s="292">
        <f>AH31</f>
        <v>0</v>
      </c>
      <c r="AI9" s="319">
        <f>AI31</f>
        <v>0</v>
      </c>
      <c r="AJ9" s="292">
        <f t="shared" si="16"/>
        <v>0</v>
      </c>
      <c r="AK9" s="319">
        <f>AK31</f>
        <v>0</v>
      </c>
      <c r="AL9" s="292">
        <f t="shared" si="17"/>
        <v>0</v>
      </c>
      <c r="AM9" s="294">
        <f t="shared" si="18"/>
        <v>0</v>
      </c>
      <c r="AN9" s="294">
        <f t="shared" si="18"/>
        <v>0</v>
      </c>
      <c r="AO9" s="296">
        <f t="shared" si="19"/>
        <v>0</v>
      </c>
      <c r="AP9" s="295">
        <f t="shared" si="20"/>
        <v>0</v>
      </c>
      <c r="AQ9" s="296">
        <f t="shared" si="21"/>
        <v>0</v>
      </c>
      <c r="AR9" s="292">
        <f>AR31</f>
        <v>0</v>
      </c>
      <c r="AS9" s="319">
        <f>AS31</f>
        <v>0</v>
      </c>
      <c r="AT9" s="292">
        <f t="shared" si="22"/>
        <v>0</v>
      </c>
      <c r="AU9" s="319">
        <f>AU31</f>
        <v>0</v>
      </c>
      <c r="AV9" s="292">
        <f t="shared" si="23"/>
        <v>0</v>
      </c>
      <c r="AW9" s="292">
        <f>AW31</f>
        <v>0</v>
      </c>
      <c r="AX9" s="319">
        <f>AX31</f>
        <v>0</v>
      </c>
      <c r="AY9" s="292">
        <f t="shared" si="24"/>
        <v>0</v>
      </c>
      <c r="AZ9" s="319">
        <f>AZ31</f>
        <v>0</v>
      </c>
      <c r="BA9" s="292">
        <f t="shared" si="25"/>
        <v>0</v>
      </c>
      <c r="BB9" s="292">
        <f>BB31</f>
        <v>0</v>
      </c>
      <c r="BC9" s="319">
        <f>BC31</f>
        <v>0</v>
      </c>
      <c r="BD9" s="292">
        <f t="shared" si="26"/>
        <v>0</v>
      </c>
      <c r="BE9" s="319">
        <f>BE31</f>
        <v>0</v>
      </c>
      <c r="BF9" s="292">
        <f t="shared" si="27"/>
        <v>0</v>
      </c>
      <c r="BG9" s="294">
        <f t="shared" si="44"/>
        <v>0</v>
      </c>
      <c r="BH9" s="294">
        <f t="shared" si="28"/>
        <v>0</v>
      </c>
      <c r="BI9" s="296">
        <f t="shared" si="29"/>
        <v>0</v>
      </c>
      <c r="BJ9" s="295">
        <f t="shared" si="30"/>
        <v>0</v>
      </c>
      <c r="BK9" s="296">
        <f t="shared" si="31"/>
        <v>0</v>
      </c>
      <c r="BL9" s="292">
        <f>BL31</f>
        <v>0</v>
      </c>
      <c r="BM9" s="319"/>
      <c r="BN9" s="292">
        <f t="shared" si="32"/>
        <v>0</v>
      </c>
      <c r="BO9" s="319">
        <f>BO31</f>
        <v>0</v>
      </c>
      <c r="BP9" s="292">
        <f t="shared" si="33"/>
        <v>0</v>
      </c>
      <c r="BQ9" s="292">
        <f>BQ31</f>
        <v>0</v>
      </c>
      <c r="BR9" s="319">
        <f>BR31</f>
        <v>0</v>
      </c>
      <c r="BS9" s="292">
        <f t="shared" si="34"/>
        <v>0</v>
      </c>
      <c r="BT9" s="319">
        <f>BT31</f>
        <v>0</v>
      </c>
      <c r="BU9" s="292">
        <f t="shared" si="35"/>
        <v>0</v>
      </c>
      <c r="BV9" s="292">
        <f>BV31</f>
        <v>0</v>
      </c>
      <c r="BW9" s="319">
        <f>BW31</f>
        <v>0</v>
      </c>
      <c r="BX9" s="292">
        <f t="shared" si="36"/>
        <v>0</v>
      </c>
      <c r="BY9" s="319">
        <f>BY31</f>
        <v>0</v>
      </c>
      <c r="BZ9" s="292">
        <f t="shared" si="37"/>
        <v>0</v>
      </c>
      <c r="CA9" s="294">
        <f t="shared" si="45"/>
        <v>0</v>
      </c>
      <c r="CB9" s="294">
        <f t="shared" si="38"/>
        <v>0</v>
      </c>
      <c r="CC9" s="296">
        <f t="shared" si="39"/>
        <v>0</v>
      </c>
      <c r="CD9" s="295">
        <f t="shared" si="40"/>
        <v>0</v>
      </c>
      <c r="CE9" s="296">
        <f t="shared" si="41"/>
        <v>0</v>
      </c>
      <c r="CF9" s="297">
        <f t="shared" si="0"/>
        <v>0</v>
      </c>
      <c r="CG9" s="297">
        <f t="shared" si="0"/>
        <v>0</v>
      </c>
      <c r="CH9" s="297">
        <f t="shared" si="42"/>
        <v>0</v>
      </c>
      <c r="CI9" s="298">
        <f t="shared" si="1"/>
        <v>0</v>
      </c>
      <c r="CJ9" s="299">
        <f t="shared" si="43"/>
        <v>0</v>
      </c>
    </row>
    <row r="10" spans="1:88">
      <c r="A10" s="67" t="s">
        <v>92</v>
      </c>
      <c r="B10" s="68" t="s">
        <v>90</v>
      </c>
      <c r="C10" s="339"/>
      <c r="D10" s="292">
        <f>D40</f>
        <v>20338</v>
      </c>
      <c r="E10" s="319">
        <f>E40</f>
        <v>0</v>
      </c>
      <c r="F10" s="292">
        <f t="shared" si="2"/>
        <v>0</v>
      </c>
      <c r="G10" s="319">
        <f ca="1">G40</f>
        <v>62397</v>
      </c>
      <c r="H10" s="292">
        <f t="shared" ca="1" si="3"/>
        <v>0</v>
      </c>
      <c r="I10" s="292">
        <f>I40</f>
        <v>26881</v>
      </c>
      <c r="J10" s="319">
        <f>J40</f>
        <v>0</v>
      </c>
      <c r="K10" s="292">
        <f t="shared" si="4"/>
        <v>0</v>
      </c>
      <c r="L10" s="319">
        <f ca="1">L40</f>
        <v>67097</v>
      </c>
      <c r="M10" s="292">
        <f t="shared" ca="1" si="5"/>
        <v>0</v>
      </c>
      <c r="N10" s="292">
        <f>N40</f>
        <v>60914</v>
      </c>
      <c r="O10" s="319">
        <f>O40</f>
        <v>0</v>
      </c>
      <c r="P10" s="292">
        <f t="shared" si="6"/>
        <v>0</v>
      </c>
      <c r="Q10" s="319">
        <f ca="1">Q40</f>
        <v>95691</v>
      </c>
      <c r="R10" s="292">
        <f t="shared" ca="1" si="7"/>
        <v>0</v>
      </c>
      <c r="S10" s="294">
        <f t="shared" si="8"/>
        <v>108133</v>
      </c>
      <c r="T10" s="294">
        <f t="shared" si="8"/>
        <v>0</v>
      </c>
      <c r="U10" s="296">
        <f t="shared" si="9"/>
        <v>0</v>
      </c>
      <c r="V10" s="295">
        <f t="shared" ca="1" si="10"/>
        <v>225185</v>
      </c>
      <c r="W10" s="296">
        <f t="shared" ca="1" si="11"/>
        <v>0</v>
      </c>
      <c r="X10" s="292">
        <f>X40</f>
        <v>87195</v>
      </c>
      <c r="Y10" s="319">
        <f>Y40</f>
        <v>0</v>
      </c>
      <c r="Z10" s="292">
        <f t="shared" si="12"/>
        <v>0</v>
      </c>
      <c r="AA10" s="319">
        <f>AA40</f>
        <v>45</v>
      </c>
      <c r="AB10" s="292">
        <f t="shared" si="13"/>
        <v>0</v>
      </c>
      <c r="AC10" s="292">
        <f>AC40</f>
        <v>38946</v>
      </c>
      <c r="AD10" s="319">
        <f>AD40</f>
        <v>0</v>
      </c>
      <c r="AE10" s="292">
        <f t="shared" si="14"/>
        <v>0</v>
      </c>
      <c r="AF10" s="319">
        <f>AF40</f>
        <v>45</v>
      </c>
      <c r="AG10" s="292">
        <f t="shared" si="15"/>
        <v>0</v>
      </c>
      <c r="AH10" s="292">
        <f>AH40</f>
        <v>23559</v>
      </c>
      <c r="AI10" s="319">
        <f>AI40</f>
        <v>0</v>
      </c>
      <c r="AJ10" s="292">
        <f t="shared" si="16"/>
        <v>0</v>
      </c>
      <c r="AK10" s="319">
        <f ca="1">AK40</f>
        <v>53680</v>
      </c>
      <c r="AL10" s="292">
        <f t="shared" ca="1" si="17"/>
        <v>0</v>
      </c>
      <c r="AM10" s="294">
        <f t="shared" si="18"/>
        <v>149700</v>
      </c>
      <c r="AN10" s="294">
        <f t="shared" si="18"/>
        <v>0</v>
      </c>
      <c r="AO10" s="296">
        <f t="shared" si="19"/>
        <v>0</v>
      </c>
      <c r="AP10" s="295">
        <f t="shared" ca="1" si="20"/>
        <v>53770</v>
      </c>
      <c r="AQ10" s="296">
        <f t="shared" ca="1" si="21"/>
        <v>0</v>
      </c>
      <c r="AR10" s="292">
        <f>AR40</f>
        <v>57426</v>
      </c>
      <c r="AS10" s="319">
        <f>AS40</f>
        <v>0</v>
      </c>
      <c r="AT10" s="292">
        <f t="shared" si="22"/>
        <v>0</v>
      </c>
      <c r="AU10" s="319">
        <f ca="1">AU40</f>
        <v>84439</v>
      </c>
      <c r="AV10" s="292">
        <f t="shared" ca="1" si="23"/>
        <v>0</v>
      </c>
      <c r="AW10" s="292">
        <f>AW40</f>
        <v>88845</v>
      </c>
      <c r="AX10" s="319">
        <f>AX40</f>
        <v>0</v>
      </c>
      <c r="AY10" s="292">
        <f t="shared" si="24"/>
        <v>0</v>
      </c>
      <c r="AZ10" s="319">
        <f>AZ40</f>
        <v>45</v>
      </c>
      <c r="BA10" s="292">
        <f t="shared" si="25"/>
        <v>0</v>
      </c>
      <c r="BB10" s="292">
        <f>BB40</f>
        <v>20353</v>
      </c>
      <c r="BC10" s="319">
        <f>BC40</f>
        <v>0</v>
      </c>
      <c r="BD10" s="292">
        <f t="shared" si="26"/>
        <v>0</v>
      </c>
      <c r="BE10" s="319">
        <f>BE40</f>
        <v>45</v>
      </c>
      <c r="BF10" s="292">
        <f t="shared" si="27"/>
        <v>0</v>
      </c>
      <c r="BG10" s="294">
        <f t="shared" si="44"/>
        <v>166624</v>
      </c>
      <c r="BH10" s="294">
        <f t="shared" si="28"/>
        <v>0</v>
      </c>
      <c r="BI10" s="296">
        <f t="shared" si="29"/>
        <v>0</v>
      </c>
      <c r="BJ10" s="295">
        <f t="shared" ca="1" si="30"/>
        <v>84529</v>
      </c>
      <c r="BK10" s="296">
        <f t="shared" ca="1" si="31"/>
        <v>0</v>
      </c>
      <c r="BL10" s="292">
        <f>BL40</f>
        <v>56534</v>
      </c>
      <c r="BM10" s="319"/>
      <c r="BN10" s="292">
        <f t="shared" si="32"/>
        <v>0</v>
      </c>
      <c r="BO10" s="319">
        <f>BO40</f>
        <v>45</v>
      </c>
      <c r="BP10" s="292">
        <f t="shared" si="33"/>
        <v>0</v>
      </c>
      <c r="BQ10" s="292">
        <f>BQ40</f>
        <v>93704</v>
      </c>
      <c r="BR10" s="319">
        <f>BR40</f>
        <v>0</v>
      </c>
      <c r="BS10" s="292">
        <f t="shared" si="34"/>
        <v>0</v>
      </c>
      <c r="BT10" s="319">
        <f>BT40</f>
        <v>45</v>
      </c>
      <c r="BU10" s="292">
        <f t="shared" si="35"/>
        <v>0</v>
      </c>
      <c r="BV10" s="292">
        <f>BV40</f>
        <v>90663</v>
      </c>
      <c r="BW10" s="319">
        <f>BW40</f>
        <v>0</v>
      </c>
      <c r="BX10" s="292">
        <f t="shared" si="36"/>
        <v>0</v>
      </c>
      <c r="BY10" s="319">
        <f>BY40</f>
        <v>45</v>
      </c>
      <c r="BZ10" s="292">
        <f t="shared" si="37"/>
        <v>0</v>
      </c>
      <c r="CA10" s="294">
        <f t="shared" si="45"/>
        <v>240901</v>
      </c>
      <c r="CB10" s="294">
        <f t="shared" si="38"/>
        <v>0</v>
      </c>
      <c r="CC10" s="296">
        <f t="shared" si="39"/>
        <v>0</v>
      </c>
      <c r="CD10" s="295">
        <f t="shared" si="40"/>
        <v>135</v>
      </c>
      <c r="CE10" s="296">
        <f t="shared" si="41"/>
        <v>0</v>
      </c>
      <c r="CF10" s="297">
        <f t="shared" si="0"/>
        <v>665358</v>
      </c>
      <c r="CG10" s="297">
        <f t="shared" si="0"/>
        <v>0</v>
      </c>
      <c r="CH10" s="297">
        <f t="shared" si="42"/>
        <v>0</v>
      </c>
      <c r="CI10" s="298">
        <f t="shared" ca="1" si="1"/>
        <v>363619</v>
      </c>
      <c r="CJ10" s="299">
        <f t="shared" ca="1" si="43"/>
        <v>0</v>
      </c>
    </row>
    <row r="11" spans="1:88">
      <c r="A11" s="67" t="s">
        <v>93</v>
      </c>
      <c r="B11" s="68" t="s">
        <v>90</v>
      </c>
      <c r="C11" s="339"/>
      <c r="D11" s="292">
        <f>D50</f>
        <v>121361</v>
      </c>
      <c r="E11" s="319">
        <f>E50</f>
        <v>0</v>
      </c>
      <c r="F11" s="292">
        <f t="shared" si="2"/>
        <v>0</v>
      </c>
      <c r="G11" s="319">
        <f ca="1">G50</f>
        <v>164702</v>
      </c>
      <c r="H11" s="292">
        <f t="shared" ca="1" si="3"/>
        <v>0</v>
      </c>
      <c r="I11" s="292">
        <f>I50</f>
        <v>142692</v>
      </c>
      <c r="J11" s="319">
        <f>J50</f>
        <v>0</v>
      </c>
      <c r="K11" s="292">
        <f t="shared" si="4"/>
        <v>0</v>
      </c>
      <c r="L11" s="319">
        <f ca="1">L50</f>
        <v>263299</v>
      </c>
      <c r="M11" s="292">
        <f t="shared" ca="1" si="5"/>
        <v>0</v>
      </c>
      <c r="N11" s="292">
        <f>N50</f>
        <v>167899</v>
      </c>
      <c r="O11" s="319">
        <f>O50</f>
        <v>0</v>
      </c>
      <c r="P11" s="292">
        <f t="shared" si="6"/>
        <v>0</v>
      </c>
      <c r="Q11" s="319">
        <f ca="1">Q50</f>
        <v>305671</v>
      </c>
      <c r="R11" s="292">
        <f t="shared" ca="1" si="7"/>
        <v>0</v>
      </c>
      <c r="S11" s="294">
        <f t="shared" si="8"/>
        <v>431952</v>
      </c>
      <c r="T11" s="294">
        <f t="shared" si="8"/>
        <v>0</v>
      </c>
      <c r="U11" s="296">
        <f t="shared" si="9"/>
        <v>0</v>
      </c>
      <c r="V11" s="295">
        <f t="shared" ca="1" si="10"/>
        <v>733672</v>
      </c>
      <c r="W11" s="296">
        <f t="shared" ca="1" si="11"/>
        <v>0</v>
      </c>
      <c r="X11" s="292">
        <f>X50</f>
        <v>321032</v>
      </c>
      <c r="Y11" s="319">
        <f>Y50</f>
        <v>0</v>
      </c>
      <c r="Z11" s="292">
        <f t="shared" si="12"/>
        <v>0</v>
      </c>
      <c r="AA11" s="319">
        <f ca="1">AA50</f>
        <v>463830</v>
      </c>
      <c r="AB11" s="292">
        <f t="shared" ca="1" si="13"/>
        <v>0</v>
      </c>
      <c r="AC11" s="292">
        <f>AC50</f>
        <v>227072</v>
      </c>
      <c r="AD11" s="319">
        <f>AD50</f>
        <v>0</v>
      </c>
      <c r="AE11" s="292">
        <f t="shared" si="14"/>
        <v>0</v>
      </c>
      <c r="AF11" s="319">
        <f ca="1">AF50</f>
        <v>397433</v>
      </c>
      <c r="AG11" s="292">
        <f t="shared" ca="1" si="15"/>
        <v>0</v>
      </c>
      <c r="AH11" s="292">
        <f>AH50</f>
        <v>125716</v>
      </c>
      <c r="AI11" s="319">
        <f>AI50</f>
        <v>0</v>
      </c>
      <c r="AJ11" s="292">
        <f t="shared" si="16"/>
        <v>0</v>
      </c>
      <c r="AK11" s="319">
        <f ca="1">AK50</f>
        <v>244286</v>
      </c>
      <c r="AL11" s="292">
        <f t="shared" ca="1" si="17"/>
        <v>0</v>
      </c>
      <c r="AM11" s="294">
        <f t="shared" si="18"/>
        <v>673820</v>
      </c>
      <c r="AN11" s="294">
        <f t="shared" si="18"/>
        <v>0</v>
      </c>
      <c r="AO11" s="296">
        <f t="shared" si="19"/>
        <v>0</v>
      </c>
      <c r="AP11" s="295">
        <f t="shared" ca="1" si="20"/>
        <v>1105549</v>
      </c>
      <c r="AQ11" s="296">
        <f t="shared" ca="1" si="21"/>
        <v>0</v>
      </c>
      <c r="AR11" s="292">
        <f>AR50</f>
        <v>245331</v>
      </c>
      <c r="AS11" s="319">
        <f>AS50</f>
        <v>0</v>
      </c>
      <c r="AT11" s="292">
        <f t="shared" si="22"/>
        <v>0</v>
      </c>
      <c r="AU11" s="319">
        <f ca="1">AU50</f>
        <v>278099</v>
      </c>
      <c r="AV11" s="292">
        <f t="shared" ca="1" si="23"/>
        <v>0</v>
      </c>
      <c r="AW11" s="292">
        <f>AW50</f>
        <v>196202</v>
      </c>
      <c r="AX11" s="319">
        <f>AX50</f>
        <v>0</v>
      </c>
      <c r="AY11" s="292">
        <f t="shared" si="24"/>
        <v>0</v>
      </c>
      <c r="AZ11" s="319">
        <f ca="1">AZ50</f>
        <v>229179</v>
      </c>
      <c r="BA11" s="292">
        <f t="shared" ca="1" si="25"/>
        <v>0</v>
      </c>
      <c r="BB11" s="292">
        <f>BB50</f>
        <v>143536</v>
      </c>
      <c r="BC11" s="319">
        <f>BC50</f>
        <v>0</v>
      </c>
      <c r="BD11" s="292">
        <f t="shared" si="26"/>
        <v>0</v>
      </c>
      <c r="BE11" s="319">
        <f ca="1">BE50</f>
        <v>157464</v>
      </c>
      <c r="BF11" s="292">
        <f t="shared" ca="1" si="27"/>
        <v>0</v>
      </c>
      <c r="BG11" s="294">
        <f t="shared" si="44"/>
        <v>585069</v>
      </c>
      <c r="BH11" s="294">
        <f t="shared" si="28"/>
        <v>0</v>
      </c>
      <c r="BI11" s="296">
        <f t="shared" si="29"/>
        <v>0</v>
      </c>
      <c r="BJ11" s="295">
        <f t="shared" ca="1" si="30"/>
        <v>664742</v>
      </c>
      <c r="BK11" s="296">
        <f t="shared" ca="1" si="31"/>
        <v>0</v>
      </c>
      <c r="BL11" s="292">
        <f>BL50</f>
        <v>226980</v>
      </c>
      <c r="BM11" s="319"/>
      <c r="BN11" s="292">
        <f t="shared" si="32"/>
        <v>0</v>
      </c>
      <c r="BO11" s="319">
        <f ca="1">BO50</f>
        <v>254486</v>
      </c>
      <c r="BP11" s="292">
        <f t="shared" ca="1" si="33"/>
        <v>0</v>
      </c>
      <c r="BQ11" s="292">
        <f>BQ50</f>
        <v>263156</v>
      </c>
      <c r="BR11" s="319">
        <f>BR50</f>
        <v>0</v>
      </c>
      <c r="BS11" s="292">
        <f t="shared" si="34"/>
        <v>0</v>
      </c>
      <c r="BT11" s="319">
        <f ca="1">BT50</f>
        <v>233615</v>
      </c>
      <c r="BU11" s="292">
        <f t="shared" ca="1" si="35"/>
        <v>0</v>
      </c>
      <c r="BV11" s="292">
        <f>BV50</f>
        <v>222381</v>
      </c>
      <c r="BW11" s="319">
        <f>BW50</f>
        <v>0</v>
      </c>
      <c r="BX11" s="292">
        <f t="shared" si="36"/>
        <v>0</v>
      </c>
      <c r="BY11" s="319">
        <f ca="1">BY50</f>
        <v>186428</v>
      </c>
      <c r="BZ11" s="292">
        <f t="shared" ca="1" si="37"/>
        <v>0</v>
      </c>
      <c r="CA11" s="294">
        <f t="shared" si="45"/>
        <v>712517</v>
      </c>
      <c r="CB11" s="294">
        <f t="shared" si="38"/>
        <v>0</v>
      </c>
      <c r="CC11" s="296">
        <f t="shared" si="39"/>
        <v>0</v>
      </c>
      <c r="CD11" s="295">
        <f t="shared" ca="1" si="40"/>
        <v>674529</v>
      </c>
      <c r="CE11" s="296">
        <f t="shared" ca="1" si="41"/>
        <v>0</v>
      </c>
      <c r="CF11" s="297">
        <f t="shared" si="0"/>
        <v>2403358</v>
      </c>
      <c r="CG11" s="297">
        <f t="shared" si="0"/>
        <v>0</v>
      </c>
      <c r="CH11" s="297">
        <f t="shared" si="42"/>
        <v>0</v>
      </c>
      <c r="CI11" s="298">
        <f t="shared" ca="1" si="1"/>
        <v>3178492</v>
      </c>
      <c r="CJ11" s="299">
        <f t="shared" ca="1" si="43"/>
        <v>0</v>
      </c>
    </row>
    <row r="12" spans="1:88" ht="26.25">
      <c r="A12" s="64"/>
      <c r="B12" s="64" t="s">
        <v>153</v>
      </c>
      <c r="C12" s="64"/>
      <c r="D12" s="320">
        <f>SUM(D3:D11)</f>
        <v>233699</v>
      </c>
      <c r="E12" s="340">
        <v>75000</v>
      </c>
      <c r="F12" s="322">
        <f t="shared" si="2"/>
        <v>3.1159866666666667</v>
      </c>
      <c r="G12" s="320">
        <f ca="1">SUM(G3:G11)</f>
        <v>362500</v>
      </c>
      <c r="H12" s="322">
        <f t="shared" ca="1" si="3"/>
        <v>4.833333333333333</v>
      </c>
      <c r="I12" s="320">
        <f>SUM(I3:I11)</f>
        <v>182771</v>
      </c>
      <c r="J12" s="340">
        <v>75000</v>
      </c>
      <c r="K12" s="322">
        <f t="shared" si="4"/>
        <v>2.4369466666666666</v>
      </c>
      <c r="L12" s="320">
        <f ca="1">SUM(L3:L11)</f>
        <v>376702</v>
      </c>
      <c r="M12" s="322">
        <f t="shared" ca="1" si="5"/>
        <v>5.0226933333333337</v>
      </c>
      <c r="N12" s="320">
        <f>SUM(N3:N11)</f>
        <v>283167</v>
      </c>
      <c r="O12" s="320">
        <v>93750</v>
      </c>
      <c r="P12" s="322">
        <f t="shared" si="6"/>
        <v>3.020448</v>
      </c>
      <c r="Q12" s="320">
        <f ca="1">SUM(Q3:Q11)</f>
        <v>485059</v>
      </c>
      <c r="R12" s="322">
        <f t="shared" ca="1" si="7"/>
        <v>5.1739626666666663</v>
      </c>
      <c r="S12" s="320">
        <f>SUM(S3:S11)</f>
        <v>623869</v>
      </c>
      <c r="T12" s="323">
        <f t="shared" si="8"/>
        <v>243750</v>
      </c>
      <c r="U12" s="322">
        <f t="shared" si="9"/>
        <v>2.5594625641025641</v>
      </c>
      <c r="V12" s="320">
        <f ca="1">SUM(V3:V11)</f>
        <v>1224261</v>
      </c>
      <c r="W12" s="322">
        <f t="shared" ca="1" si="11"/>
        <v>5.0226092307692305</v>
      </c>
      <c r="X12" s="320">
        <f>SUM(X3:X11)</f>
        <v>419290</v>
      </c>
      <c r="Y12" s="320">
        <v>150000</v>
      </c>
      <c r="Z12" s="322">
        <f t="shared" si="12"/>
        <v>2.7952666666666666</v>
      </c>
      <c r="AA12" s="320">
        <f ca="1">SUM(AA3:AA11)</f>
        <v>497142</v>
      </c>
      <c r="AB12" s="322">
        <f t="shared" ca="1" si="13"/>
        <v>3.3142800000000001</v>
      </c>
      <c r="AC12" s="320">
        <f>SUM(AC3:AC11)</f>
        <v>357473</v>
      </c>
      <c r="AD12" s="320">
        <v>225000</v>
      </c>
      <c r="AE12" s="322">
        <f t="shared" si="14"/>
        <v>1.5887688888888889</v>
      </c>
      <c r="AF12" s="320">
        <f ca="1">SUM(AF3:AF11)</f>
        <v>516385</v>
      </c>
      <c r="AG12" s="322">
        <f t="shared" ca="1" si="15"/>
        <v>2.2950444444444447</v>
      </c>
      <c r="AH12" s="320">
        <f>SUM(AH3:AH11)</f>
        <v>190418</v>
      </c>
      <c r="AI12" s="320">
        <v>281250</v>
      </c>
      <c r="AJ12" s="322">
        <f t="shared" si="16"/>
        <v>0.67704177777777774</v>
      </c>
      <c r="AK12" s="320">
        <f ca="1">SUM(AK3:AK11)</f>
        <v>354159</v>
      </c>
      <c r="AL12" s="322">
        <f t="shared" ca="1" si="17"/>
        <v>1.2592319999999999</v>
      </c>
      <c r="AM12" s="320">
        <f>SUM(AM3:AM11)</f>
        <v>919769</v>
      </c>
      <c r="AN12" s="320">
        <f>SUM(AN3:AN11)</f>
        <v>0</v>
      </c>
      <c r="AO12" s="322">
        <f t="shared" si="19"/>
        <v>0</v>
      </c>
      <c r="AP12" s="323">
        <f ca="1">AA12+AF12+AK12</f>
        <v>1367686</v>
      </c>
      <c r="AQ12" s="322">
        <f t="shared" ca="1" si="21"/>
        <v>0</v>
      </c>
      <c r="AR12" s="320">
        <f>SUM(AR3:AR11)</f>
        <v>386081</v>
      </c>
      <c r="AS12" s="320">
        <v>335750</v>
      </c>
      <c r="AT12" s="322">
        <f t="shared" si="22"/>
        <v>1.1499061801935964</v>
      </c>
      <c r="AU12" s="320">
        <f ca="1">SUM(AU3:AU11)</f>
        <v>452715</v>
      </c>
      <c r="AV12" s="322">
        <f t="shared" ca="1" si="23"/>
        <v>1.3483693224125093</v>
      </c>
      <c r="AW12" s="320">
        <f>SUM(AW3:AW11)</f>
        <v>383139</v>
      </c>
      <c r="AX12" s="320">
        <v>375250</v>
      </c>
      <c r="AY12" s="322">
        <f t="shared" si="24"/>
        <v>1.0210233177881411</v>
      </c>
      <c r="AZ12" s="320">
        <f ca="1">SUM(AZ3:AZ11)</f>
        <v>361026</v>
      </c>
      <c r="BA12" s="322">
        <f t="shared" ca="1" si="25"/>
        <v>0.96209460359760157</v>
      </c>
      <c r="BB12" s="320">
        <f>SUM(BB3:BB11)</f>
        <v>224922</v>
      </c>
      <c r="BC12" s="320">
        <v>454250</v>
      </c>
      <c r="BD12" s="322">
        <f t="shared" si="26"/>
        <v>0.49515024766097965</v>
      </c>
      <c r="BE12" s="320">
        <f ca="1">SUM(BE3:BE11)</f>
        <v>266718</v>
      </c>
      <c r="BF12" s="322">
        <f t="shared" ca="1" si="27"/>
        <v>0.5871612548156302</v>
      </c>
      <c r="BG12" s="320">
        <f>SUM(BG3:BG11)</f>
        <v>751693</v>
      </c>
      <c r="BH12" s="323">
        <f t="shared" si="28"/>
        <v>1165250</v>
      </c>
      <c r="BI12" s="322">
        <f t="shared" si="29"/>
        <v>0.6450916112422227</v>
      </c>
      <c r="BJ12" s="323">
        <f ca="1">AU12+AZ12+BE12</f>
        <v>1080459</v>
      </c>
      <c r="BK12" s="322">
        <f t="shared" ca="1" si="31"/>
        <v>0.92723364084960314</v>
      </c>
      <c r="BL12" s="320">
        <f>SUM(BL3:BL11)</f>
        <v>307372</v>
      </c>
      <c r="BM12" s="320">
        <v>553000</v>
      </c>
      <c r="BN12" s="322">
        <f t="shared" si="32"/>
        <v>0.55582640144665463</v>
      </c>
      <c r="BO12" s="320">
        <f ca="1">SUM(BO3:BO11)</f>
        <v>288463</v>
      </c>
      <c r="BP12" s="322">
        <f t="shared" ca="1" si="33"/>
        <v>0.52163291139240509</v>
      </c>
      <c r="BQ12" s="320">
        <f>SUM(BQ3:BQ11)</f>
        <v>426205</v>
      </c>
      <c r="BR12" s="320">
        <v>651750</v>
      </c>
      <c r="BS12" s="322">
        <f t="shared" si="34"/>
        <v>0.65393939393939393</v>
      </c>
      <c r="BT12" s="320">
        <f ca="1">SUM(BT3:BT11)</f>
        <v>319969</v>
      </c>
      <c r="BU12" s="322">
        <f t="shared" ca="1" si="35"/>
        <v>0.49093824319140777</v>
      </c>
      <c r="BV12" s="320">
        <f>SUM(BV3:BV11)</f>
        <v>368053</v>
      </c>
      <c r="BW12" s="320">
        <v>671500</v>
      </c>
      <c r="BX12" s="320"/>
      <c r="BY12" s="320">
        <f ca="1">SUM(BY3:BY11)</f>
        <v>257743</v>
      </c>
      <c r="BZ12" s="322">
        <f t="shared" ca="1" si="37"/>
        <v>0.38383172002978405</v>
      </c>
      <c r="CA12" s="320">
        <f>SUM(CA3:CA11)</f>
        <v>953418</v>
      </c>
      <c r="CB12" s="323">
        <f>BM12+BR12+BW12</f>
        <v>1876250</v>
      </c>
      <c r="CC12" s="322">
        <f t="shared" si="39"/>
        <v>0.50815083277814788</v>
      </c>
      <c r="CD12" s="320">
        <f ca="1">SUM(CD3:CD11)</f>
        <v>866175</v>
      </c>
      <c r="CE12" s="322">
        <f t="shared" ca="1" si="41"/>
        <v>0.46165223184543636</v>
      </c>
      <c r="CF12" s="320">
        <f t="shared" si="0"/>
        <v>3248749</v>
      </c>
      <c r="CG12" s="320">
        <f t="shared" si="0"/>
        <v>3285250</v>
      </c>
      <c r="CH12" s="322">
        <f t="shared" si="42"/>
        <v>0.9888894300281561</v>
      </c>
      <c r="CI12" s="320">
        <f t="shared" ca="1" si="1"/>
        <v>4538581</v>
      </c>
      <c r="CJ12" s="324">
        <f t="shared" ca="1" si="43"/>
        <v>1.3815024731755574</v>
      </c>
    </row>
    <row r="14" spans="1:88" ht="14.65" thickBot="1"/>
    <row r="15" spans="1:88" ht="26.25">
      <c r="A15" s="66" t="s">
        <v>94</v>
      </c>
      <c r="B15" s="66" t="s">
        <v>149</v>
      </c>
      <c r="C15" s="66" t="s">
        <v>150</v>
      </c>
      <c r="D15" s="288" t="s">
        <v>129</v>
      </c>
      <c r="E15" s="289" t="s">
        <v>130</v>
      </c>
      <c r="F15" s="289" t="s">
        <v>33</v>
      </c>
      <c r="G15" s="289" t="s">
        <v>34</v>
      </c>
      <c r="H15" s="290" t="s">
        <v>35</v>
      </c>
      <c r="I15" s="288" t="s">
        <v>129</v>
      </c>
      <c r="J15" s="289" t="s">
        <v>130</v>
      </c>
      <c r="K15" s="289" t="s">
        <v>33</v>
      </c>
      <c r="L15" s="289" t="s">
        <v>34</v>
      </c>
      <c r="M15" s="290" t="s">
        <v>35</v>
      </c>
      <c r="N15" s="288" t="s">
        <v>129</v>
      </c>
      <c r="O15" s="289" t="s">
        <v>130</v>
      </c>
      <c r="P15" s="289" t="s">
        <v>33</v>
      </c>
      <c r="Q15" s="289" t="s">
        <v>34</v>
      </c>
      <c r="R15" s="290" t="s">
        <v>35</v>
      </c>
      <c r="S15" s="288" t="s">
        <v>129</v>
      </c>
      <c r="T15" s="289" t="s">
        <v>132</v>
      </c>
      <c r="U15" s="289" t="s">
        <v>33</v>
      </c>
      <c r="V15" s="289" t="s">
        <v>34</v>
      </c>
      <c r="W15" s="290" t="s">
        <v>133</v>
      </c>
      <c r="X15" s="288" t="s">
        <v>129</v>
      </c>
      <c r="Y15" s="289" t="s">
        <v>130</v>
      </c>
      <c r="Z15" s="289" t="s">
        <v>33</v>
      </c>
      <c r="AA15" s="289" t="s">
        <v>34</v>
      </c>
      <c r="AB15" s="290" t="s">
        <v>35</v>
      </c>
      <c r="AC15" s="288" t="s">
        <v>129</v>
      </c>
      <c r="AD15" s="289" t="s">
        <v>130</v>
      </c>
      <c r="AE15" s="289" t="s">
        <v>33</v>
      </c>
      <c r="AF15" s="289" t="s">
        <v>34</v>
      </c>
      <c r="AG15" s="290" t="s">
        <v>35</v>
      </c>
      <c r="AH15" s="288" t="s">
        <v>129</v>
      </c>
      <c r="AI15" s="289" t="s">
        <v>130</v>
      </c>
      <c r="AJ15" s="289" t="s">
        <v>33</v>
      </c>
      <c r="AK15" s="289" t="s">
        <v>34</v>
      </c>
      <c r="AL15" s="290" t="s">
        <v>35</v>
      </c>
      <c r="AM15" s="288" t="s">
        <v>129</v>
      </c>
      <c r="AN15" s="289" t="s">
        <v>130</v>
      </c>
      <c r="AO15" s="289" t="s">
        <v>33</v>
      </c>
      <c r="AP15" s="289" t="s">
        <v>34</v>
      </c>
      <c r="AQ15" s="290" t="s">
        <v>35</v>
      </c>
      <c r="AR15" s="288" t="s">
        <v>129</v>
      </c>
      <c r="AS15" s="289" t="s">
        <v>130</v>
      </c>
      <c r="AT15" s="289" t="s">
        <v>33</v>
      </c>
      <c r="AU15" s="289" t="s">
        <v>34</v>
      </c>
      <c r="AV15" s="290" t="s">
        <v>35</v>
      </c>
      <c r="AW15" s="288" t="s">
        <v>129</v>
      </c>
      <c r="AX15" s="289" t="s">
        <v>130</v>
      </c>
      <c r="AY15" s="289" t="s">
        <v>33</v>
      </c>
      <c r="AZ15" s="289" t="s">
        <v>34</v>
      </c>
      <c r="BA15" s="290" t="s">
        <v>35</v>
      </c>
      <c r="BB15" s="288" t="s">
        <v>129</v>
      </c>
      <c r="BC15" s="289" t="s">
        <v>130</v>
      </c>
      <c r="BD15" s="289" t="s">
        <v>33</v>
      </c>
      <c r="BE15" s="289" t="s">
        <v>34</v>
      </c>
      <c r="BF15" s="290" t="s">
        <v>35</v>
      </c>
      <c r="BG15" s="288" t="s">
        <v>129</v>
      </c>
      <c r="BH15" s="289" t="s">
        <v>130</v>
      </c>
      <c r="BI15" s="289" t="s">
        <v>33</v>
      </c>
      <c r="BJ15" s="289" t="s">
        <v>34</v>
      </c>
      <c r="BK15" s="290" t="s">
        <v>35</v>
      </c>
      <c r="BL15" s="288" t="s">
        <v>129</v>
      </c>
      <c r="BM15" s="289" t="s">
        <v>130</v>
      </c>
      <c r="BN15" s="289" t="s">
        <v>33</v>
      </c>
      <c r="BO15" s="289" t="s">
        <v>34</v>
      </c>
      <c r="BP15" s="290" t="s">
        <v>35</v>
      </c>
      <c r="BQ15" s="288" t="s">
        <v>129</v>
      </c>
      <c r="BR15" s="289" t="s">
        <v>130</v>
      </c>
      <c r="BS15" s="289" t="s">
        <v>33</v>
      </c>
      <c r="BT15" s="289" t="s">
        <v>34</v>
      </c>
      <c r="BU15" s="290" t="s">
        <v>35</v>
      </c>
      <c r="BV15" s="288" t="s">
        <v>129</v>
      </c>
      <c r="BW15" s="289" t="s">
        <v>130</v>
      </c>
      <c r="BX15" s="289" t="s">
        <v>33</v>
      </c>
      <c r="BY15" s="289" t="s">
        <v>34</v>
      </c>
      <c r="BZ15" s="290" t="s">
        <v>35</v>
      </c>
      <c r="CA15" s="288" t="s">
        <v>129</v>
      </c>
      <c r="CB15" s="289" t="s">
        <v>130</v>
      </c>
      <c r="CC15" s="289" t="s">
        <v>33</v>
      </c>
      <c r="CD15" s="289" t="s">
        <v>34</v>
      </c>
      <c r="CE15" s="290" t="s">
        <v>35</v>
      </c>
      <c r="CF15" s="288" t="s">
        <v>129</v>
      </c>
      <c r="CG15" s="289" t="s">
        <v>130</v>
      </c>
      <c r="CH15" s="289" t="s">
        <v>33</v>
      </c>
      <c r="CI15" s="289" t="s">
        <v>34</v>
      </c>
      <c r="CJ15" s="290" t="s">
        <v>35</v>
      </c>
    </row>
    <row r="16" spans="1:88">
      <c r="A16" s="67" t="s">
        <v>125</v>
      </c>
      <c r="B16" s="68" t="s">
        <v>165</v>
      </c>
      <c r="C16" s="339">
        <v>0.35</v>
      </c>
      <c r="D16" s="292"/>
      <c r="E16" s="326"/>
      <c r="F16" s="327"/>
      <c r="G16" s="326"/>
      <c r="H16" s="327"/>
      <c r="I16" s="292"/>
      <c r="J16" s="326"/>
      <c r="K16" s="327"/>
      <c r="L16" s="326"/>
      <c r="M16" s="327"/>
      <c r="N16" s="292"/>
      <c r="O16" s="326"/>
      <c r="P16" s="327"/>
      <c r="Q16" s="326"/>
      <c r="R16" s="327"/>
      <c r="S16" s="328"/>
      <c r="T16" s="328"/>
      <c r="U16" s="329"/>
      <c r="V16" s="295"/>
      <c r="W16" s="329"/>
      <c r="X16" s="292"/>
      <c r="Y16" s="326"/>
      <c r="Z16" s="327"/>
      <c r="AA16" s="326">
        <f>'Compulse Media_Data Pass Thru'!AF16*35%</f>
        <v>0</v>
      </c>
      <c r="AB16" s="327"/>
      <c r="AC16" s="292"/>
      <c r="AD16" s="326"/>
      <c r="AE16" s="327"/>
      <c r="AF16" s="326"/>
      <c r="AG16" s="327"/>
      <c r="AH16" s="292"/>
      <c r="AI16" s="326"/>
      <c r="AJ16" s="327"/>
      <c r="AK16" s="326"/>
      <c r="AL16" s="327"/>
      <c r="AM16" s="328"/>
      <c r="AN16" s="328"/>
      <c r="AO16" s="329"/>
      <c r="AP16" s="295">
        <f t="shared" ref="AP16:AP21" si="46">AA16+AF16+AK16</f>
        <v>0</v>
      </c>
      <c r="AQ16" s="329"/>
      <c r="AR16" s="292"/>
      <c r="AS16" s="326"/>
      <c r="AT16" s="327"/>
      <c r="AU16" s="326"/>
      <c r="AV16" s="327"/>
      <c r="AW16" s="292"/>
      <c r="AX16" s="326"/>
      <c r="AY16" s="327"/>
      <c r="AZ16" s="326"/>
      <c r="BA16" s="327"/>
      <c r="BB16" s="292"/>
      <c r="BC16" s="326"/>
      <c r="BD16" s="327"/>
      <c r="BE16" s="326"/>
      <c r="BF16" s="327"/>
      <c r="BG16" s="328"/>
      <c r="BH16" s="328"/>
      <c r="BI16" s="329"/>
      <c r="BJ16" s="295"/>
      <c r="BK16" s="329"/>
      <c r="BL16" s="292"/>
      <c r="BM16" s="326"/>
      <c r="BN16" s="327"/>
      <c r="BO16" s="326"/>
      <c r="BP16" s="327"/>
      <c r="BQ16" s="292"/>
      <c r="BR16" s="326"/>
      <c r="BS16" s="327"/>
      <c r="BT16" s="326"/>
      <c r="BU16" s="327"/>
      <c r="BV16" s="292"/>
      <c r="BW16" s="326"/>
      <c r="BX16" s="327"/>
      <c r="BY16" s="326"/>
      <c r="BZ16" s="327"/>
      <c r="CA16" s="328"/>
      <c r="CB16" s="328"/>
      <c r="CC16" s="329"/>
      <c r="CD16" s="295"/>
      <c r="CE16" s="329"/>
      <c r="CF16" s="297"/>
      <c r="CG16" s="297"/>
      <c r="CH16" s="330"/>
      <c r="CI16" s="295"/>
      <c r="CJ16" s="331"/>
    </row>
    <row r="17" spans="1:88">
      <c r="A17" s="67"/>
      <c r="B17" s="68"/>
      <c r="C17" s="339"/>
      <c r="D17" s="292"/>
      <c r="E17" s="326"/>
      <c r="F17" s="332">
        <f t="shared" ref="F17:F22" si="47">IFERROR(D17/E17,0)</f>
        <v>0</v>
      </c>
      <c r="G17" s="326"/>
      <c r="H17" s="332">
        <f t="shared" ref="H17:H22" si="48">IFERROR(G17/E17,0)</f>
        <v>0</v>
      </c>
      <c r="I17" s="292"/>
      <c r="J17" s="326"/>
      <c r="K17" s="332">
        <f t="shared" ref="K17:K22" si="49">IFERROR(I17/J17,0)</f>
        <v>0</v>
      </c>
      <c r="L17" s="326"/>
      <c r="M17" s="332">
        <f t="shared" ref="M17:M22" si="50">IFERROR(L17/J17,0)</f>
        <v>0</v>
      </c>
      <c r="N17" s="292"/>
      <c r="O17" s="326"/>
      <c r="P17" s="332">
        <f t="shared" ref="P17:P22" si="51">IFERROR(N17/O17,0)</f>
        <v>0</v>
      </c>
      <c r="Q17" s="326"/>
      <c r="R17" s="332">
        <f t="shared" ref="R17:R22" si="52">IFERROR(Q17/O17,0)</f>
        <v>0</v>
      </c>
      <c r="S17" s="328"/>
      <c r="T17" s="328">
        <f t="shared" ref="T17:T21" si="53">E17+J17+O17</f>
        <v>0</v>
      </c>
      <c r="U17" s="333">
        <f t="shared" ref="U17:U22" si="54">IFERROR(S17/T17,0)</f>
        <v>0</v>
      </c>
      <c r="V17" s="295">
        <f t="shared" ref="V17:V21" si="55">G17+L17+Q17</f>
        <v>0</v>
      </c>
      <c r="W17" s="333">
        <f t="shared" ref="W17:W22" si="56">IFERROR(V17/T17,0)</f>
        <v>0</v>
      </c>
      <c r="X17" s="292"/>
      <c r="Y17" s="326"/>
      <c r="Z17" s="332">
        <f t="shared" ref="Z17:Z22" si="57">IFERROR(X17/Y17,0)</f>
        <v>0</v>
      </c>
      <c r="AA17" s="326"/>
      <c r="AB17" s="332">
        <f t="shared" ref="AB17:AB22" si="58">IFERROR(AA17/Y17,0)</f>
        <v>0</v>
      </c>
      <c r="AC17" s="292"/>
      <c r="AD17" s="326"/>
      <c r="AE17" s="332">
        <f t="shared" ref="AE17:AE22" si="59">IFERROR(AC17/AD17,0)</f>
        <v>0</v>
      </c>
      <c r="AF17" s="326"/>
      <c r="AG17" s="332">
        <f t="shared" ref="AG17:AG22" si="60">IFERROR(AF17/AD17,0)</f>
        <v>0</v>
      </c>
      <c r="AH17" s="292"/>
      <c r="AI17" s="326"/>
      <c r="AJ17" s="332">
        <f t="shared" ref="AJ17:AJ22" si="61">IFERROR(AH17/AI17,0)</f>
        <v>0</v>
      </c>
      <c r="AK17" s="326"/>
      <c r="AL17" s="332">
        <f t="shared" ref="AL17:AL22" si="62">IFERROR(AK17/AI17,0)</f>
        <v>0</v>
      </c>
      <c r="AM17" s="328"/>
      <c r="AN17" s="328">
        <f t="shared" ref="AN17:AN21" si="63">Y17+AD17+AI17</f>
        <v>0</v>
      </c>
      <c r="AO17" s="333">
        <f t="shared" ref="AO17:AO22" si="64">IFERROR(AM17/AN17,0)</f>
        <v>0</v>
      </c>
      <c r="AP17" s="295">
        <f t="shared" si="46"/>
        <v>0</v>
      </c>
      <c r="AQ17" s="333">
        <f t="shared" ref="AQ17:AQ22" si="65">IFERROR(AP17/AN17,0)</f>
        <v>0</v>
      </c>
      <c r="AR17" s="292"/>
      <c r="AS17" s="326"/>
      <c r="AT17" s="332">
        <f t="shared" ref="AT17:AT22" si="66">IFERROR(AR17/AS17,0)</f>
        <v>0</v>
      </c>
      <c r="AU17" s="326"/>
      <c r="AV17" s="332">
        <f t="shared" ref="AV17:AV22" si="67">IFERROR(AU17/AS17,0)</f>
        <v>0</v>
      </c>
      <c r="AW17" s="292"/>
      <c r="AX17" s="326"/>
      <c r="AY17" s="332">
        <f t="shared" ref="AY17:AY22" si="68">IFERROR(AW17/AX17,0)</f>
        <v>0</v>
      </c>
      <c r="AZ17" s="326"/>
      <c r="BA17" s="332">
        <f t="shared" ref="BA17:BA22" si="69">IFERROR(AZ17/AX17,0)</f>
        <v>0</v>
      </c>
      <c r="BB17" s="292"/>
      <c r="BC17" s="326"/>
      <c r="BD17" s="332">
        <f t="shared" ref="BD17:BD22" si="70">IFERROR(BB17/BC17,0)</f>
        <v>0</v>
      </c>
      <c r="BE17" s="326"/>
      <c r="BF17" s="332">
        <f t="shared" ref="BF17:BF22" si="71">IFERROR(BE17/BC17,0)</f>
        <v>0</v>
      </c>
      <c r="BG17" s="328"/>
      <c r="BH17" s="328">
        <f t="shared" ref="BH17:BH21" si="72">AS17+AX17+BC17</f>
        <v>0</v>
      </c>
      <c r="BI17" s="333">
        <f t="shared" ref="BI17:BI22" si="73">IFERROR(BG17/BH17,0)</f>
        <v>0</v>
      </c>
      <c r="BJ17" s="295">
        <f t="shared" ref="BJ17:BJ21" si="74">AU17+AZ17+BE17</f>
        <v>0</v>
      </c>
      <c r="BK17" s="333">
        <f t="shared" ref="BK17:BK22" si="75">IFERROR(BJ17/BH17,0)</f>
        <v>0</v>
      </c>
      <c r="BL17" s="292"/>
      <c r="BM17" s="326"/>
      <c r="BN17" s="332">
        <f t="shared" ref="BN17:BN22" si="76">IFERROR(BL17/BM17,0)</f>
        <v>0</v>
      </c>
      <c r="BO17" s="326"/>
      <c r="BP17" s="332">
        <f t="shared" ref="BP17:BP22" si="77">IFERROR(BO17/BM17,0)</f>
        <v>0</v>
      </c>
      <c r="BQ17" s="292"/>
      <c r="BR17" s="326"/>
      <c r="BS17" s="332">
        <f t="shared" ref="BS17:BS22" si="78">IFERROR(BQ17/BR17,0)</f>
        <v>0</v>
      </c>
      <c r="BT17" s="326"/>
      <c r="BU17" s="332">
        <f t="shared" ref="BU17:BU22" si="79">IFERROR(BT17/BR17,0)</f>
        <v>0</v>
      </c>
      <c r="BV17" s="292"/>
      <c r="BW17" s="326"/>
      <c r="BX17" s="332">
        <f t="shared" ref="BX17:BX22" si="80">IFERROR(BV17/BW17,0)</f>
        <v>0</v>
      </c>
      <c r="BY17" s="326"/>
      <c r="BZ17" s="332">
        <f t="shared" ref="BZ17:BZ22" si="81">IFERROR(BY17/BW17,0)</f>
        <v>0</v>
      </c>
      <c r="CA17" s="328"/>
      <c r="CB17" s="328">
        <f t="shared" ref="CB17:CB21" si="82">BM17+BR17+BW17</f>
        <v>0</v>
      </c>
      <c r="CC17" s="333">
        <f t="shared" ref="CC17:CC22" si="83">IFERROR(CA17/CB17,0)</f>
        <v>0</v>
      </c>
      <c r="CD17" s="295">
        <f t="shared" ref="CD17:CD21" si="84">BO17+BT17+BY17</f>
        <v>0</v>
      </c>
      <c r="CE17" s="333">
        <f t="shared" ref="CE17:CE22" si="85">IFERROR(CD17/CB17,0)</f>
        <v>0</v>
      </c>
      <c r="CF17" s="297"/>
      <c r="CG17" s="297">
        <f t="shared" ref="CG17:CG21" si="86">AN17+BH17+CB17</f>
        <v>0</v>
      </c>
      <c r="CH17" s="334">
        <f t="shared" ref="CH17:CH22" si="87">IFERROR(CF17/CG17,0)</f>
        <v>0</v>
      </c>
      <c r="CI17" s="295">
        <f t="shared" ref="CI17:CI22" si="88">AP17+BJ17+CD17</f>
        <v>0</v>
      </c>
      <c r="CJ17" s="335">
        <f t="shared" ref="CJ17:CJ22" si="89">IFERROR(CI17/CG17,0)</f>
        <v>0</v>
      </c>
    </row>
    <row r="18" spans="1:88">
      <c r="A18" s="67"/>
      <c r="B18" s="68"/>
      <c r="C18" s="339"/>
      <c r="D18" s="292"/>
      <c r="E18" s="326"/>
      <c r="F18" s="332">
        <f t="shared" si="47"/>
        <v>0</v>
      </c>
      <c r="G18" s="326"/>
      <c r="H18" s="332">
        <f t="shared" si="48"/>
        <v>0</v>
      </c>
      <c r="I18" s="292"/>
      <c r="J18" s="326"/>
      <c r="K18" s="332">
        <f t="shared" si="49"/>
        <v>0</v>
      </c>
      <c r="L18" s="326"/>
      <c r="M18" s="332">
        <f t="shared" si="50"/>
        <v>0</v>
      </c>
      <c r="N18" s="292"/>
      <c r="O18" s="326"/>
      <c r="P18" s="332">
        <f t="shared" si="51"/>
        <v>0</v>
      </c>
      <c r="Q18" s="326"/>
      <c r="R18" s="332">
        <f t="shared" si="52"/>
        <v>0</v>
      </c>
      <c r="S18" s="328"/>
      <c r="T18" s="328">
        <f t="shared" si="53"/>
        <v>0</v>
      </c>
      <c r="U18" s="333">
        <f t="shared" si="54"/>
        <v>0</v>
      </c>
      <c r="V18" s="295">
        <f t="shared" si="55"/>
        <v>0</v>
      </c>
      <c r="W18" s="333">
        <f t="shared" si="56"/>
        <v>0</v>
      </c>
      <c r="X18" s="292"/>
      <c r="Y18" s="326"/>
      <c r="Z18" s="332">
        <f t="shared" si="57"/>
        <v>0</v>
      </c>
      <c r="AA18" s="326"/>
      <c r="AB18" s="332">
        <f t="shared" si="58"/>
        <v>0</v>
      </c>
      <c r="AC18" s="292"/>
      <c r="AD18" s="326"/>
      <c r="AE18" s="332">
        <f t="shared" si="59"/>
        <v>0</v>
      </c>
      <c r="AF18" s="326"/>
      <c r="AG18" s="332">
        <f t="shared" si="60"/>
        <v>0</v>
      </c>
      <c r="AH18" s="292"/>
      <c r="AI18" s="326"/>
      <c r="AJ18" s="332">
        <f t="shared" si="61"/>
        <v>0</v>
      </c>
      <c r="AK18" s="326"/>
      <c r="AL18" s="332">
        <f t="shared" si="62"/>
        <v>0</v>
      </c>
      <c r="AM18" s="328"/>
      <c r="AN18" s="328">
        <f t="shared" si="63"/>
        <v>0</v>
      </c>
      <c r="AO18" s="333">
        <f t="shared" si="64"/>
        <v>0</v>
      </c>
      <c r="AP18" s="295">
        <f t="shared" si="46"/>
        <v>0</v>
      </c>
      <c r="AQ18" s="333">
        <f t="shared" si="65"/>
        <v>0</v>
      </c>
      <c r="AR18" s="292"/>
      <c r="AS18" s="326"/>
      <c r="AT18" s="332">
        <f t="shared" si="66"/>
        <v>0</v>
      </c>
      <c r="AU18" s="326"/>
      <c r="AV18" s="332">
        <f t="shared" si="67"/>
        <v>0</v>
      </c>
      <c r="AW18" s="292"/>
      <c r="AX18" s="326"/>
      <c r="AY18" s="332">
        <f t="shared" si="68"/>
        <v>0</v>
      </c>
      <c r="AZ18" s="326"/>
      <c r="BA18" s="332">
        <f t="shared" si="69"/>
        <v>0</v>
      </c>
      <c r="BB18" s="292"/>
      <c r="BC18" s="326"/>
      <c r="BD18" s="332">
        <f t="shared" si="70"/>
        <v>0</v>
      </c>
      <c r="BE18" s="326"/>
      <c r="BF18" s="332">
        <f t="shared" si="71"/>
        <v>0</v>
      </c>
      <c r="BG18" s="328"/>
      <c r="BH18" s="328">
        <f t="shared" si="72"/>
        <v>0</v>
      </c>
      <c r="BI18" s="333">
        <f t="shared" si="73"/>
        <v>0</v>
      </c>
      <c r="BJ18" s="295">
        <f t="shared" si="74"/>
        <v>0</v>
      </c>
      <c r="BK18" s="333">
        <f t="shared" si="75"/>
        <v>0</v>
      </c>
      <c r="BL18" s="292"/>
      <c r="BM18" s="326"/>
      <c r="BN18" s="332">
        <f t="shared" si="76"/>
        <v>0</v>
      </c>
      <c r="BO18" s="326"/>
      <c r="BP18" s="332">
        <f t="shared" si="77"/>
        <v>0</v>
      </c>
      <c r="BQ18" s="292"/>
      <c r="BR18" s="326"/>
      <c r="BS18" s="332">
        <f t="shared" si="78"/>
        <v>0</v>
      </c>
      <c r="BT18" s="326"/>
      <c r="BU18" s="332">
        <f t="shared" si="79"/>
        <v>0</v>
      </c>
      <c r="BV18" s="292"/>
      <c r="BW18" s="326"/>
      <c r="BX18" s="332">
        <f t="shared" si="80"/>
        <v>0</v>
      </c>
      <c r="BY18" s="326"/>
      <c r="BZ18" s="332">
        <f t="shared" si="81"/>
        <v>0</v>
      </c>
      <c r="CA18" s="328"/>
      <c r="CB18" s="328">
        <f t="shared" si="82"/>
        <v>0</v>
      </c>
      <c r="CC18" s="333">
        <f t="shared" si="83"/>
        <v>0</v>
      </c>
      <c r="CD18" s="295">
        <f t="shared" si="84"/>
        <v>0</v>
      </c>
      <c r="CE18" s="333">
        <f t="shared" si="85"/>
        <v>0</v>
      </c>
      <c r="CF18" s="297"/>
      <c r="CG18" s="297">
        <f t="shared" si="86"/>
        <v>0</v>
      </c>
      <c r="CH18" s="334">
        <f t="shared" si="87"/>
        <v>0</v>
      </c>
      <c r="CI18" s="295">
        <f t="shared" si="88"/>
        <v>0</v>
      </c>
      <c r="CJ18" s="335">
        <f t="shared" si="89"/>
        <v>0</v>
      </c>
    </row>
    <row r="19" spans="1:88">
      <c r="A19" s="67"/>
      <c r="B19" s="68"/>
      <c r="C19" s="339"/>
      <c r="D19" s="292"/>
      <c r="E19" s="326"/>
      <c r="F19" s="332">
        <f t="shared" si="47"/>
        <v>0</v>
      </c>
      <c r="G19" s="326"/>
      <c r="H19" s="332">
        <f t="shared" si="48"/>
        <v>0</v>
      </c>
      <c r="I19" s="292"/>
      <c r="J19" s="326"/>
      <c r="K19" s="332">
        <f t="shared" si="49"/>
        <v>0</v>
      </c>
      <c r="L19" s="326"/>
      <c r="M19" s="332">
        <f t="shared" si="50"/>
        <v>0</v>
      </c>
      <c r="N19" s="292"/>
      <c r="O19" s="326"/>
      <c r="P19" s="332">
        <f t="shared" si="51"/>
        <v>0</v>
      </c>
      <c r="Q19" s="326"/>
      <c r="R19" s="332">
        <f t="shared" si="52"/>
        <v>0</v>
      </c>
      <c r="S19" s="328"/>
      <c r="T19" s="328">
        <f t="shared" si="53"/>
        <v>0</v>
      </c>
      <c r="U19" s="333">
        <f t="shared" si="54"/>
        <v>0</v>
      </c>
      <c r="V19" s="295">
        <f t="shared" si="55"/>
        <v>0</v>
      </c>
      <c r="W19" s="333">
        <f t="shared" si="56"/>
        <v>0</v>
      </c>
      <c r="X19" s="292"/>
      <c r="Y19" s="326"/>
      <c r="Z19" s="332">
        <f t="shared" si="57"/>
        <v>0</v>
      </c>
      <c r="AA19" s="326"/>
      <c r="AB19" s="332">
        <f t="shared" si="58"/>
        <v>0</v>
      </c>
      <c r="AC19" s="292"/>
      <c r="AD19" s="326"/>
      <c r="AE19" s="332">
        <f t="shared" si="59"/>
        <v>0</v>
      </c>
      <c r="AF19" s="326"/>
      <c r="AG19" s="332">
        <f t="shared" si="60"/>
        <v>0</v>
      </c>
      <c r="AH19" s="292"/>
      <c r="AI19" s="326"/>
      <c r="AJ19" s="332">
        <f t="shared" si="61"/>
        <v>0</v>
      </c>
      <c r="AK19" s="326"/>
      <c r="AL19" s="332">
        <f t="shared" si="62"/>
        <v>0</v>
      </c>
      <c r="AM19" s="328"/>
      <c r="AN19" s="328">
        <f t="shared" si="63"/>
        <v>0</v>
      </c>
      <c r="AO19" s="333">
        <f t="shared" si="64"/>
        <v>0</v>
      </c>
      <c r="AP19" s="295">
        <f t="shared" si="46"/>
        <v>0</v>
      </c>
      <c r="AQ19" s="333">
        <f t="shared" si="65"/>
        <v>0</v>
      </c>
      <c r="AR19" s="292"/>
      <c r="AS19" s="326"/>
      <c r="AT19" s="332">
        <f t="shared" si="66"/>
        <v>0</v>
      </c>
      <c r="AU19" s="326"/>
      <c r="AV19" s="332">
        <f t="shared" si="67"/>
        <v>0</v>
      </c>
      <c r="AW19" s="292"/>
      <c r="AX19" s="326"/>
      <c r="AY19" s="332">
        <f t="shared" si="68"/>
        <v>0</v>
      </c>
      <c r="AZ19" s="326"/>
      <c r="BA19" s="332">
        <f t="shared" si="69"/>
        <v>0</v>
      </c>
      <c r="BB19" s="292"/>
      <c r="BC19" s="326"/>
      <c r="BD19" s="332">
        <f t="shared" si="70"/>
        <v>0</v>
      </c>
      <c r="BE19" s="326"/>
      <c r="BF19" s="332">
        <f t="shared" si="71"/>
        <v>0</v>
      </c>
      <c r="BG19" s="328"/>
      <c r="BH19" s="328">
        <f t="shared" si="72"/>
        <v>0</v>
      </c>
      <c r="BI19" s="333">
        <f t="shared" si="73"/>
        <v>0</v>
      </c>
      <c r="BJ19" s="295">
        <f t="shared" si="74"/>
        <v>0</v>
      </c>
      <c r="BK19" s="333">
        <f t="shared" si="75"/>
        <v>0</v>
      </c>
      <c r="BL19" s="292"/>
      <c r="BM19" s="326"/>
      <c r="BN19" s="332">
        <f t="shared" si="76"/>
        <v>0</v>
      </c>
      <c r="BO19" s="326"/>
      <c r="BP19" s="332">
        <f t="shared" si="77"/>
        <v>0</v>
      </c>
      <c r="BQ19" s="292"/>
      <c r="BR19" s="326"/>
      <c r="BS19" s="332">
        <f t="shared" si="78"/>
        <v>0</v>
      </c>
      <c r="BT19" s="326"/>
      <c r="BU19" s="332">
        <f t="shared" si="79"/>
        <v>0</v>
      </c>
      <c r="BV19" s="292"/>
      <c r="BW19" s="326"/>
      <c r="BX19" s="332">
        <f t="shared" si="80"/>
        <v>0</v>
      </c>
      <c r="BY19" s="326"/>
      <c r="BZ19" s="332">
        <f t="shared" si="81"/>
        <v>0</v>
      </c>
      <c r="CA19" s="328"/>
      <c r="CB19" s="328">
        <f t="shared" si="82"/>
        <v>0</v>
      </c>
      <c r="CC19" s="333">
        <f t="shared" si="83"/>
        <v>0</v>
      </c>
      <c r="CD19" s="295">
        <f t="shared" si="84"/>
        <v>0</v>
      </c>
      <c r="CE19" s="333">
        <f t="shared" si="85"/>
        <v>0</v>
      </c>
      <c r="CF19" s="297"/>
      <c r="CG19" s="297">
        <f t="shared" si="86"/>
        <v>0</v>
      </c>
      <c r="CH19" s="334">
        <f t="shared" si="87"/>
        <v>0</v>
      </c>
      <c r="CI19" s="295">
        <f t="shared" si="88"/>
        <v>0</v>
      </c>
      <c r="CJ19" s="335">
        <f t="shared" si="89"/>
        <v>0</v>
      </c>
    </row>
    <row r="20" spans="1:88">
      <c r="A20" s="67"/>
      <c r="B20" s="68"/>
      <c r="C20" s="339"/>
      <c r="D20" s="292"/>
      <c r="E20" s="326"/>
      <c r="F20" s="332">
        <f t="shared" si="47"/>
        <v>0</v>
      </c>
      <c r="G20" s="326"/>
      <c r="H20" s="332">
        <f t="shared" si="48"/>
        <v>0</v>
      </c>
      <c r="I20" s="292"/>
      <c r="J20" s="326"/>
      <c r="K20" s="332">
        <f t="shared" si="49"/>
        <v>0</v>
      </c>
      <c r="L20" s="326"/>
      <c r="M20" s="332">
        <f t="shared" si="50"/>
        <v>0</v>
      </c>
      <c r="N20" s="292"/>
      <c r="O20" s="326"/>
      <c r="P20" s="332">
        <f t="shared" si="51"/>
        <v>0</v>
      </c>
      <c r="Q20" s="326"/>
      <c r="R20" s="332">
        <f t="shared" si="52"/>
        <v>0</v>
      </c>
      <c r="S20" s="328"/>
      <c r="T20" s="328">
        <f t="shared" si="53"/>
        <v>0</v>
      </c>
      <c r="U20" s="333">
        <f t="shared" si="54"/>
        <v>0</v>
      </c>
      <c r="V20" s="295">
        <f t="shared" si="55"/>
        <v>0</v>
      </c>
      <c r="W20" s="333">
        <f t="shared" si="56"/>
        <v>0</v>
      </c>
      <c r="X20" s="292"/>
      <c r="Y20" s="326"/>
      <c r="Z20" s="332">
        <f t="shared" si="57"/>
        <v>0</v>
      </c>
      <c r="AA20" s="326"/>
      <c r="AB20" s="332">
        <f t="shared" si="58"/>
        <v>0</v>
      </c>
      <c r="AC20" s="292"/>
      <c r="AD20" s="326"/>
      <c r="AE20" s="332">
        <f t="shared" si="59"/>
        <v>0</v>
      </c>
      <c r="AF20" s="326"/>
      <c r="AG20" s="332">
        <f t="shared" si="60"/>
        <v>0</v>
      </c>
      <c r="AH20" s="292"/>
      <c r="AI20" s="326"/>
      <c r="AJ20" s="332">
        <f t="shared" si="61"/>
        <v>0</v>
      </c>
      <c r="AK20" s="326"/>
      <c r="AL20" s="332">
        <f t="shared" si="62"/>
        <v>0</v>
      </c>
      <c r="AM20" s="328"/>
      <c r="AN20" s="328">
        <f t="shared" si="63"/>
        <v>0</v>
      </c>
      <c r="AO20" s="333">
        <f t="shared" si="64"/>
        <v>0</v>
      </c>
      <c r="AP20" s="295">
        <f t="shared" si="46"/>
        <v>0</v>
      </c>
      <c r="AQ20" s="333">
        <f t="shared" si="65"/>
        <v>0</v>
      </c>
      <c r="AR20" s="292"/>
      <c r="AS20" s="326"/>
      <c r="AT20" s="332">
        <f t="shared" si="66"/>
        <v>0</v>
      </c>
      <c r="AU20" s="326"/>
      <c r="AV20" s="332">
        <f t="shared" si="67"/>
        <v>0</v>
      </c>
      <c r="AW20" s="292"/>
      <c r="AX20" s="326"/>
      <c r="AY20" s="332">
        <f t="shared" si="68"/>
        <v>0</v>
      </c>
      <c r="AZ20" s="326"/>
      <c r="BA20" s="332">
        <f t="shared" si="69"/>
        <v>0</v>
      </c>
      <c r="BB20" s="292"/>
      <c r="BC20" s="326"/>
      <c r="BD20" s="332">
        <f t="shared" si="70"/>
        <v>0</v>
      </c>
      <c r="BE20" s="326"/>
      <c r="BF20" s="332">
        <f t="shared" si="71"/>
        <v>0</v>
      </c>
      <c r="BG20" s="328"/>
      <c r="BH20" s="328">
        <f t="shared" si="72"/>
        <v>0</v>
      </c>
      <c r="BI20" s="333">
        <f t="shared" si="73"/>
        <v>0</v>
      </c>
      <c r="BJ20" s="295">
        <f t="shared" si="74"/>
        <v>0</v>
      </c>
      <c r="BK20" s="333">
        <f t="shared" si="75"/>
        <v>0</v>
      </c>
      <c r="BL20" s="292"/>
      <c r="BM20" s="326"/>
      <c r="BN20" s="332">
        <f t="shared" si="76"/>
        <v>0</v>
      </c>
      <c r="BO20" s="326"/>
      <c r="BP20" s="332">
        <f t="shared" si="77"/>
        <v>0</v>
      </c>
      <c r="BQ20" s="292"/>
      <c r="BR20" s="326"/>
      <c r="BS20" s="332">
        <f t="shared" si="78"/>
        <v>0</v>
      </c>
      <c r="BT20" s="326"/>
      <c r="BU20" s="332">
        <f t="shared" si="79"/>
        <v>0</v>
      </c>
      <c r="BV20" s="292"/>
      <c r="BW20" s="326"/>
      <c r="BX20" s="332">
        <f t="shared" si="80"/>
        <v>0</v>
      </c>
      <c r="BY20" s="326"/>
      <c r="BZ20" s="332">
        <f t="shared" si="81"/>
        <v>0</v>
      </c>
      <c r="CA20" s="328"/>
      <c r="CB20" s="328">
        <f t="shared" si="82"/>
        <v>0</v>
      </c>
      <c r="CC20" s="333">
        <f t="shared" si="83"/>
        <v>0</v>
      </c>
      <c r="CD20" s="295">
        <f t="shared" si="84"/>
        <v>0</v>
      </c>
      <c r="CE20" s="333">
        <f t="shared" si="85"/>
        <v>0</v>
      </c>
      <c r="CF20" s="297"/>
      <c r="CG20" s="297">
        <f t="shared" si="86"/>
        <v>0</v>
      </c>
      <c r="CH20" s="334">
        <f t="shared" si="87"/>
        <v>0</v>
      </c>
      <c r="CI20" s="295">
        <f t="shared" si="88"/>
        <v>0</v>
      </c>
      <c r="CJ20" s="335">
        <f t="shared" si="89"/>
        <v>0</v>
      </c>
    </row>
    <row r="21" spans="1:88">
      <c r="A21" s="67"/>
      <c r="B21" s="68"/>
      <c r="C21" s="339"/>
      <c r="D21" s="292"/>
      <c r="E21" s="326"/>
      <c r="F21" s="332">
        <f t="shared" si="47"/>
        <v>0</v>
      </c>
      <c r="G21" s="326"/>
      <c r="H21" s="332">
        <f t="shared" si="48"/>
        <v>0</v>
      </c>
      <c r="I21" s="292"/>
      <c r="J21" s="326"/>
      <c r="K21" s="332">
        <f t="shared" si="49"/>
        <v>0</v>
      </c>
      <c r="L21" s="326"/>
      <c r="M21" s="332">
        <f t="shared" si="50"/>
        <v>0</v>
      </c>
      <c r="N21" s="292"/>
      <c r="O21" s="326"/>
      <c r="P21" s="332">
        <f t="shared" si="51"/>
        <v>0</v>
      </c>
      <c r="Q21" s="326"/>
      <c r="R21" s="332">
        <f t="shared" si="52"/>
        <v>0</v>
      </c>
      <c r="S21" s="328"/>
      <c r="T21" s="328">
        <f t="shared" si="53"/>
        <v>0</v>
      </c>
      <c r="U21" s="333">
        <f t="shared" si="54"/>
        <v>0</v>
      </c>
      <c r="V21" s="295">
        <f t="shared" si="55"/>
        <v>0</v>
      </c>
      <c r="W21" s="333">
        <f t="shared" si="56"/>
        <v>0</v>
      </c>
      <c r="X21" s="292"/>
      <c r="Y21" s="326"/>
      <c r="Z21" s="332">
        <f t="shared" si="57"/>
        <v>0</v>
      </c>
      <c r="AA21" s="326"/>
      <c r="AB21" s="332">
        <f t="shared" si="58"/>
        <v>0</v>
      </c>
      <c r="AC21" s="292"/>
      <c r="AD21" s="326"/>
      <c r="AE21" s="332">
        <f t="shared" si="59"/>
        <v>0</v>
      </c>
      <c r="AF21" s="326"/>
      <c r="AG21" s="332">
        <f t="shared" si="60"/>
        <v>0</v>
      </c>
      <c r="AH21" s="292"/>
      <c r="AI21" s="326"/>
      <c r="AJ21" s="332">
        <f t="shared" si="61"/>
        <v>0</v>
      </c>
      <c r="AK21" s="326"/>
      <c r="AL21" s="332">
        <f t="shared" si="62"/>
        <v>0</v>
      </c>
      <c r="AM21" s="328"/>
      <c r="AN21" s="328">
        <f t="shared" si="63"/>
        <v>0</v>
      </c>
      <c r="AO21" s="333">
        <f t="shared" si="64"/>
        <v>0</v>
      </c>
      <c r="AP21" s="295">
        <f t="shared" si="46"/>
        <v>0</v>
      </c>
      <c r="AQ21" s="333">
        <f t="shared" si="65"/>
        <v>0</v>
      </c>
      <c r="AR21" s="292"/>
      <c r="AS21" s="326"/>
      <c r="AT21" s="332">
        <f t="shared" si="66"/>
        <v>0</v>
      </c>
      <c r="AU21" s="326"/>
      <c r="AV21" s="332">
        <f t="shared" si="67"/>
        <v>0</v>
      </c>
      <c r="AW21" s="292"/>
      <c r="AX21" s="326"/>
      <c r="AY21" s="332">
        <f t="shared" si="68"/>
        <v>0</v>
      </c>
      <c r="AZ21" s="326"/>
      <c r="BA21" s="332">
        <f t="shared" si="69"/>
        <v>0</v>
      </c>
      <c r="BB21" s="292"/>
      <c r="BC21" s="326"/>
      <c r="BD21" s="332">
        <f t="shared" si="70"/>
        <v>0</v>
      </c>
      <c r="BE21" s="326"/>
      <c r="BF21" s="332">
        <f t="shared" si="71"/>
        <v>0</v>
      </c>
      <c r="BG21" s="328"/>
      <c r="BH21" s="328">
        <f t="shared" si="72"/>
        <v>0</v>
      </c>
      <c r="BI21" s="333">
        <f t="shared" si="73"/>
        <v>0</v>
      </c>
      <c r="BJ21" s="295">
        <f t="shared" si="74"/>
        <v>0</v>
      </c>
      <c r="BK21" s="333">
        <f t="shared" si="75"/>
        <v>0</v>
      </c>
      <c r="BL21" s="292"/>
      <c r="BM21" s="326"/>
      <c r="BN21" s="332">
        <f t="shared" si="76"/>
        <v>0</v>
      </c>
      <c r="BO21" s="326"/>
      <c r="BP21" s="332">
        <f t="shared" si="77"/>
        <v>0</v>
      </c>
      <c r="BQ21" s="292"/>
      <c r="BR21" s="326"/>
      <c r="BS21" s="332">
        <f t="shared" si="78"/>
        <v>0</v>
      </c>
      <c r="BT21" s="326"/>
      <c r="BU21" s="332">
        <f t="shared" si="79"/>
        <v>0</v>
      </c>
      <c r="BV21" s="292"/>
      <c r="BW21" s="326"/>
      <c r="BX21" s="332">
        <f t="shared" si="80"/>
        <v>0</v>
      </c>
      <c r="BY21" s="326"/>
      <c r="BZ21" s="332">
        <f t="shared" si="81"/>
        <v>0</v>
      </c>
      <c r="CA21" s="328"/>
      <c r="CB21" s="328">
        <f t="shared" si="82"/>
        <v>0</v>
      </c>
      <c r="CC21" s="333">
        <f t="shared" si="83"/>
        <v>0</v>
      </c>
      <c r="CD21" s="295">
        <f t="shared" si="84"/>
        <v>0</v>
      </c>
      <c r="CE21" s="333">
        <f t="shared" si="85"/>
        <v>0</v>
      </c>
      <c r="CF21" s="297"/>
      <c r="CG21" s="297">
        <f t="shared" si="86"/>
        <v>0</v>
      </c>
      <c r="CH21" s="334">
        <f t="shared" si="87"/>
        <v>0</v>
      </c>
      <c r="CI21" s="295">
        <f t="shared" si="88"/>
        <v>0</v>
      </c>
      <c r="CJ21" s="335">
        <f t="shared" si="89"/>
        <v>0</v>
      </c>
    </row>
    <row r="22" spans="1:88">
      <c r="A22" s="66"/>
      <c r="B22" s="66" t="s">
        <v>128</v>
      </c>
      <c r="C22" s="66"/>
      <c r="D22" s="336">
        <v>0</v>
      </c>
      <c r="E22" s="336">
        <f>SUM(E16:E21)</f>
        <v>0</v>
      </c>
      <c r="F22" s="322">
        <f t="shared" si="47"/>
        <v>0</v>
      </c>
      <c r="G22" s="320">
        <f>SUM(G16:G21)</f>
        <v>0</v>
      </c>
      <c r="H22" s="322">
        <f t="shared" si="48"/>
        <v>0</v>
      </c>
      <c r="I22" s="320">
        <v>0</v>
      </c>
      <c r="J22" s="320">
        <f>SUM(J16:J21)</f>
        <v>0</v>
      </c>
      <c r="K22" s="322">
        <f t="shared" si="49"/>
        <v>0</v>
      </c>
      <c r="L22" s="320"/>
      <c r="M22" s="322">
        <f t="shared" si="50"/>
        <v>0</v>
      </c>
      <c r="N22" s="320">
        <v>0</v>
      </c>
      <c r="O22" s="320">
        <f>SUM(O16:O21)</f>
        <v>0</v>
      </c>
      <c r="P22" s="322">
        <f t="shared" si="51"/>
        <v>0</v>
      </c>
      <c r="Q22" s="320">
        <f>SUM(Q16:Q21)</f>
        <v>0</v>
      </c>
      <c r="R22" s="322">
        <f t="shared" si="52"/>
        <v>0</v>
      </c>
      <c r="S22" s="320">
        <v>0</v>
      </c>
      <c r="T22" s="320">
        <f>SUM(T16:T21)</f>
        <v>0</v>
      </c>
      <c r="U22" s="322">
        <f t="shared" si="54"/>
        <v>0</v>
      </c>
      <c r="V22" s="320">
        <f>SUM(V16:V21)</f>
        <v>0</v>
      </c>
      <c r="W22" s="322">
        <f t="shared" si="56"/>
        <v>0</v>
      </c>
      <c r="X22" s="320">
        <v>0</v>
      </c>
      <c r="Y22" s="320">
        <f>SUM(Y16:Y21)</f>
        <v>0</v>
      </c>
      <c r="Z22" s="322">
        <f t="shared" si="57"/>
        <v>0</v>
      </c>
      <c r="AA22" s="320">
        <f>SUM(AA16:AA21)</f>
        <v>0</v>
      </c>
      <c r="AB22" s="322">
        <f t="shared" si="58"/>
        <v>0</v>
      </c>
      <c r="AC22" s="320">
        <v>0</v>
      </c>
      <c r="AD22" s="320">
        <f>SUM(AD16:AD21)</f>
        <v>0</v>
      </c>
      <c r="AE22" s="322">
        <f t="shared" si="59"/>
        <v>0</v>
      </c>
      <c r="AF22" s="320">
        <f>SUM(AF16:AF21)</f>
        <v>0</v>
      </c>
      <c r="AG22" s="322">
        <f t="shared" si="60"/>
        <v>0</v>
      </c>
      <c r="AH22" s="320">
        <v>0</v>
      </c>
      <c r="AI22" s="320">
        <f>SUM(AI16:AI21)</f>
        <v>0</v>
      </c>
      <c r="AJ22" s="322">
        <f t="shared" si="61"/>
        <v>0</v>
      </c>
      <c r="AK22" s="320">
        <f>SUM(AK16:AK21)</f>
        <v>0</v>
      </c>
      <c r="AL22" s="322">
        <f t="shared" si="62"/>
        <v>0</v>
      </c>
      <c r="AM22" s="320">
        <v>0</v>
      </c>
      <c r="AN22" s="320">
        <f>SUM(AN16:AN21)</f>
        <v>0</v>
      </c>
      <c r="AO22" s="322">
        <f t="shared" si="64"/>
        <v>0</v>
      </c>
      <c r="AP22" s="320">
        <f>SUM(AP16:AP21)</f>
        <v>0</v>
      </c>
      <c r="AQ22" s="322">
        <f t="shared" si="65"/>
        <v>0</v>
      </c>
      <c r="AR22" s="320">
        <v>0</v>
      </c>
      <c r="AS22" s="320">
        <f>SUM(AS16:AS21)</f>
        <v>0</v>
      </c>
      <c r="AT22" s="322">
        <f t="shared" si="66"/>
        <v>0</v>
      </c>
      <c r="AU22" s="320"/>
      <c r="AV22" s="322">
        <f t="shared" si="67"/>
        <v>0</v>
      </c>
      <c r="AW22" s="320">
        <v>0</v>
      </c>
      <c r="AX22" s="320">
        <f>SUM(AX16:AX21)</f>
        <v>0</v>
      </c>
      <c r="AY22" s="322">
        <f t="shared" si="68"/>
        <v>0</v>
      </c>
      <c r="AZ22" s="320"/>
      <c r="BA22" s="322">
        <f t="shared" si="69"/>
        <v>0</v>
      </c>
      <c r="BB22" s="320">
        <v>0</v>
      </c>
      <c r="BC22" s="320">
        <f>SUM(BC16:BC21)</f>
        <v>0</v>
      </c>
      <c r="BD22" s="322">
        <f t="shared" si="70"/>
        <v>0</v>
      </c>
      <c r="BE22" s="320"/>
      <c r="BF22" s="322">
        <f t="shared" si="71"/>
        <v>0</v>
      </c>
      <c r="BG22" s="320">
        <v>0</v>
      </c>
      <c r="BH22" s="320">
        <f>SUM(BH16:BH21)</f>
        <v>0</v>
      </c>
      <c r="BI22" s="322">
        <f t="shared" si="73"/>
        <v>0</v>
      </c>
      <c r="BJ22" s="320">
        <f>SUM(BJ16:BJ21)</f>
        <v>0</v>
      </c>
      <c r="BK22" s="322">
        <f t="shared" si="75"/>
        <v>0</v>
      </c>
      <c r="BL22" s="320">
        <v>0</v>
      </c>
      <c r="BM22" s="320"/>
      <c r="BN22" s="322">
        <f t="shared" si="76"/>
        <v>0</v>
      </c>
      <c r="BO22" s="320"/>
      <c r="BP22" s="322">
        <f t="shared" si="77"/>
        <v>0</v>
      </c>
      <c r="BQ22" s="320">
        <v>0</v>
      </c>
      <c r="BR22" s="320">
        <f>SUM(BR16:BR21)</f>
        <v>0</v>
      </c>
      <c r="BS22" s="322">
        <f t="shared" si="78"/>
        <v>0</v>
      </c>
      <c r="BT22" s="320"/>
      <c r="BU22" s="322">
        <f t="shared" si="79"/>
        <v>0</v>
      </c>
      <c r="BV22" s="320">
        <v>0</v>
      </c>
      <c r="BW22" s="320">
        <f>SUM(BW16:BW21)</f>
        <v>0</v>
      </c>
      <c r="BX22" s="322">
        <f t="shared" si="80"/>
        <v>0</v>
      </c>
      <c r="BY22" s="320"/>
      <c r="BZ22" s="322">
        <f t="shared" si="81"/>
        <v>0</v>
      </c>
      <c r="CA22" s="320">
        <v>0</v>
      </c>
      <c r="CB22" s="320">
        <f>SUM(CB16:CB21)</f>
        <v>0</v>
      </c>
      <c r="CC22" s="322">
        <f t="shared" si="83"/>
        <v>0</v>
      </c>
      <c r="CD22" s="320">
        <f>SUM(CD16:CD21)</f>
        <v>0</v>
      </c>
      <c r="CE22" s="322">
        <f t="shared" si="85"/>
        <v>0</v>
      </c>
      <c r="CF22" s="320">
        <v>0</v>
      </c>
      <c r="CG22" s="320">
        <f>AN22+BH22+CB22</f>
        <v>0</v>
      </c>
      <c r="CH22" s="322">
        <f t="shared" si="87"/>
        <v>0</v>
      </c>
      <c r="CI22" s="320">
        <f t="shared" si="88"/>
        <v>0</v>
      </c>
      <c r="CJ22" s="322">
        <f t="shared" si="89"/>
        <v>0</v>
      </c>
    </row>
    <row r="23" spans="1:88" ht="14.65" thickBo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</row>
    <row r="24" spans="1:88" ht="26.25">
      <c r="A24" s="66" t="s">
        <v>98</v>
      </c>
      <c r="B24" s="66" t="s">
        <v>149</v>
      </c>
      <c r="C24" s="66" t="s">
        <v>150</v>
      </c>
      <c r="D24" s="288" t="s">
        <v>129</v>
      </c>
      <c r="E24" s="289" t="s">
        <v>130</v>
      </c>
      <c r="F24" s="289" t="s">
        <v>33</v>
      </c>
      <c r="G24" s="289" t="s">
        <v>34</v>
      </c>
      <c r="H24" s="290" t="s">
        <v>35</v>
      </c>
      <c r="I24" s="288" t="s">
        <v>129</v>
      </c>
      <c r="J24" s="289" t="s">
        <v>130</v>
      </c>
      <c r="K24" s="289" t="s">
        <v>33</v>
      </c>
      <c r="L24" s="289" t="s">
        <v>34</v>
      </c>
      <c r="M24" s="290" t="s">
        <v>35</v>
      </c>
      <c r="N24" s="288" t="s">
        <v>129</v>
      </c>
      <c r="O24" s="289" t="s">
        <v>130</v>
      </c>
      <c r="P24" s="289" t="s">
        <v>33</v>
      </c>
      <c r="Q24" s="289" t="s">
        <v>34</v>
      </c>
      <c r="R24" s="290" t="s">
        <v>35</v>
      </c>
      <c r="S24" s="288" t="s">
        <v>129</v>
      </c>
      <c r="T24" s="289" t="s">
        <v>132</v>
      </c>
      <c r="U24" s="289" t="s">
        <v>33</v>
      </c>
      <c r="V24" s="289" t="s">
        <v>34</v>
      </c>
      <c r="W24" s="290" t="s">
        <v>133</v>
      </c>
      <c r="X24" s="288" t="s">
        <v>129</v>
      </c>
      <c r="Y24" s="289" t="s">
        <v>130</v>
      </c>
      <c r="Z24" s="289" t="s">
        <v>33</v>
      </c>
      <c r="AA24" s="289" t="s">
        <v>34</v>
      </c>
      <c r="AB24" s="290" t="s">
        <v>35</v>
      </c>
      <c r="AC24" s="288" t="s">
        <v>129</v>
      </c>
      <c r="AD24" s="289" t="s">
        <v>130</v>
      </c>
      <c r="AE24" s="289" t="s">
        <v>33</v>
      </c>
      <c r="AF24" s="289" t="s">
        <v>34</v>
      </c>
      <c r="AG24" s="290" t="s">
        <v>35</v>
      </c>
      <c r="AH24" s="288" t="s">
        <v>129</v>
      </c>
      <c r="AI24" s="289" t="s">
        <v>130</v>
      </c>
      <c r="AJ24" s="289" t="s">
        <v>33</v>
      </c>
      <c r="AK24" s="289" t="s">
        <v>34</v>
      </c>
      <c r="AL24" s="290" t="s">
        <v>35</v>
      </c>
      <c r="AM24" s="288" t="s">
        <v>129</v>
      </c>
      <c r="AN24" s="289" t="s">
        <v>130</v>
      </c>
      <c r="AO24" s="289" t="s">
        <v>33</v>
      </c>
      <c r="AP24" s="289" t="s">
        <v>34</v>
      </c>
      <c r="AQ24" s="290" t="s">
        <v>35</v>
      </c>
      <c r="AR24" s="288" t="s">
        <v>129</v>
      </c>
      <c r="AS24" s="289" t="s">
        <v>130</v>
      </c>
      <c r="AT24" s="289" t="s">
        <v>33</v>
      </c>
      <c r="AU24" s="289" t="s">
        <v>34</v>
      </c>
      <c r="AV24" s="290" t="s">
        <v>35</v>
      </c>
      <c r="AW24" s="288" t="s">
        <v>129</v>
      </c>
      <c r="AX24" s="289" t="s">
        <v>130</v>
      </c>
      <c r="AY24" s="289" t="s">
        <v>33</v>
      </c>
      <c r="AZ24" s="289" t="s">
        <v>34</v>
      </c>
      <c r="BA24" s="290" t="s">
        <v>35</v>
      </c>
      <c r="BB24" s="288" t="s">
        <v>129</v>
      </c>
      <c r="BC24" s="289" t="s">
        <v>130</v>
      </c>
      <c r="BD24" s="289" t="s">
        <v>33</v>
      </c>
      <c r="BE24" s="289" t="s">
        <v>34</v>
      </c>
      <c r="BF24" s="290" t="s">
        <v>35</v>
      </c>
      <c r="BG24" s="288" t="s">
        <v>129</v>
      </c>
      <c r="BH24" s="289" t="s">
        <v>130</v>
      </c>
      <c r="BI24" s="289" t="s">
        <v>33</v>
      </c>
      <c r="BJ24" s="289" t="s">
        <v>34</v>
      </c>
      <c r="BK24" s="290" t="s">
        <v>35</v>
      </c>
      <c r="BL24" s="288" t="s">
        <v>129</v>
      </c>
      <c r="BM24" s="289" t="s">
        <v>130</v>
      </c>
      <c r="BN24" s="289" t="s">
        <v>33</v>
      </c>
      <c r="BO24" s="289" t="s">
        <v>34</v>
      </c>
      <c r="BP24" s="290" t="s">
        <v>35</v>
      </c>
      <c r="BQ24" s="288" t="s">
        <v>129</v>
      </c>
      <c r="BR24" s="289" t="s">
        <v>130</v>
      </c>
      <c r="BS24" s="289" t="s">
        <v>33</v>
      </c>
      <c r="BT24" s="289" t="s">
        <v>34</v>
      </c>
      <c r="BU24" s="290" t="s">
        <v>35</v>
      </c>
      <c r="BV24" s="288" t="s">
        <v>129</v>
      </c>
      <c r="BW24" s="289" t="s">
        <v>130</v>
      </c>
      <c r="BX24" s="289" t="s">
        <v>33</v>
      </c>
      <c r="BY24" s="289" t="s">
        <v>34</v>
      </c>
      <c r="BZ24" s="290" t="s">
        <v>35</v>
      </c>
      <c r="CA24" s="288" t="s">
        <v>129</v>
      </c>
      <c r="CB24" s="289" t="s">
        <v>130</v>
      </c>
      <c r="CC24" s="289" t="s">
        <v>33</v>
      </c>
      <c r="CD24" s="289" t="s">
        <v>34</v>
      </c>
      <c r="CE24" s="290" t="s">
        <v>35</v>
      </c>
      <c r="CF24" s="288" t="s">
        <v>129</v>
      </c>
      <c r="CG24" s="289" t="s">
        <v>130</v>
      </c>
      <c r="CH24" s="289" t="s">
        <v>33</v>
      </c>
      <c r="CI24" s="289" t="s">
        <v>34</v>
      </c>
      <c r="CJ24" s="290" t="s">
        <v>35</v>
      </c>
    </row>
    <row r="25" spans="1:88">
      <c r="A25" s="67"/>
      <c r="B25" s="68"/>
      <c r="C25" s="339"/>
      <c r="D25" s="292"/>
      <c r="E25" s="326"/>
      <c r="F25" s="327">
        <f>IFERROR(D25/E25,0)</f>
        <v>0</v>
      </c>
      <c r="G25" s="326"/>
      <c r="H25" s="327">
        <f>IFERROR(G25/E25,0)</f>
        <v>0</v>
      </c>
      <c r="I25" s="292"/>
      <c r="J25" s="326"/>
      <c r="K25" s="327">
        <f>IFERROR(I25/J25,0)</f>
        <v>0</v>
      </c>
      <c r="L25" s="326"/>
      <c r="M25" s="327">
        <f>IFERROR(L25/J25,0)</f>
        <v>0</v>
      </c>
      <c r="N25" s="292"/>
      <c r="O25" s="326"/>
      <c r="P25" s="327">
        <f>IFERROR(N25/O25,0)</f>
        <v>0</v>
      </c>
      <c r="Q25" s="326"/>
      <c r="R25" s="327">
        <f>IFERROR(Q25/O25,0)</f>
        <v>0</v>
      </c>
      <c r="S25" s="328"/>
      <c r="T25" s="328">
        <f t="shared" ref="T25:T30" si="90">E25+J25+O25</f>
        <v>0</v>
      </c>
      <c r="U25" s="329">
        <f>IFERROR(S25/T25,0)</f>
        <v>0</v>
      </c>
      <c r="V25" s="295">
        <f t="shared" ref="V25:V30" si="91">G25+L25+Q25</f>
        <v>0</v>
      </c>
      <c r="W25" s="329">
        <f>IFERROR(V25/T25,0)</f>
        <v>0</v>
      </c>
      <c r="X25" s="292"/>
      <c r="Y25" s="326"/>
      <c r="Z25" s="327">
        <f>IFERROR(X25/Y25,0)</f>
        <v>0</v>
      </c>
      <c r="AA25" s="326"/>
      <c r="AB25" s="327">
        <f>IFERROR(AA25/Y25,0)</f>
        <v>0</v>
      </c>
      <c r="AC25" s="292"/>
      <c r="AD25" s="326"/>
      <c r="AE25" s="327">
        <f>IFERROR(AC25/AD25,0)</f>
        <v>0</v>
      </c>
      <c r="AF25" s="326"/>
      <c r="AG25" s="327">
        <f>IFERROR(AF25/AD25,0)</f>
        <v>0</v>
      </c>
      <c r="AH25" s="292"/>
      <c r="AI25" s="326"/>
      <c r="AJ25" s="327">
        <f>IFERROR(AH25/AI25,0)</f>
        <v>0</v>
      </c>
      <c r="AK25" s="326"/>
      <c r="AL25" s="327">
        <f>IFERROR(AK25/AI25,0)</f>
        <v>0</v>
      </c>
      <c r="AM25" s="328"/>
      <c r="AN25" s="328">
        <f t="shared" ref="AN25:AN30" si="92">Y25+AD25+AI25</f>
        <v>0</v>
      </c>
      <c r="AO25" s="329">
        <f>IFERROR(AM25/AN25,0)</f>
        <v>0</v>
      </c>
      <c r="AP25" s="295">
        <f>AA25+AF25+AK25</f>
        <v>0</v>
      </c>
      <c r="AQ25" s="329">
        <f>IFERROR(AP25/AN25,0)</f>
        <v>0</v>
      </c>
      <c r="AR25" s="292"/>
      <c r="AS25" s="326"/>
      <c r="AT25" s="327">
        <f>IFERROR(AR25/AS25,0)</f>
        <v>0</v>
      </c>
      <c r="AU25" s="326"/>
      <c r="AV25" s="327">
        <f>IFERROR(AU25/AS25,0)</f>
        <v>0</v>
      </c>
      <c r="AW25" s="292"/>
      <c r="AX25" s="326"/>
      <c r="AY25" s="327">
        <f>IFERROR(AW25/AX25,0)</f>
        <v>0</v>
      </c>
      <c r="AZ25" s="326"/>
      <c r="BA25" s="327">
        <f>IFERROR(AZ25/AX25,0)</f>
        <v>0</v>
      </c>
      <c r="BB25" s="292"/>
      <c r="BC25" s="326"/>
      <c r="BD25" s="327">
        <f>IFERROR(BB25/BC25,0)</f>
        <v>0</v>
      </c>
      <c r="BE25" s="326"/>
      <c r="BF25" s="327">
        <f>IFERROR(BE25/BC25,0)</f>
        <v>0</v>
      </c>
      <c r="BG25" s="328"/>
      <c r="BH25" s="328">
        <f t="shared" ref="BH25:BH30" si="93">AS25+AX25+BC25</f>
        <v>0</v>
      </c>
      <c r="BI25" s="329">
        <f>IFERROR(BG25/BH25,0)</f>
        <v>0</v>
      </c>
      <c r="BJ25" s="295">
        <f t="shared" ref="BJ25:BJ30" si="94">AU25+AZ25+BE25</f>
        <v>0</v>
      </c>
      <c r="BK25" s="329">
        <f>IFERROR(BJ25/BH25,0)</f>
        <v>0</v>
      </c>
      <c r="BL25" s="292"/>
      <c r="BM25" s="326"/>
      <c r="BN25" s="327">
        <f>IFERROR(BL25/BM25,0)</f>
        <v>0</v>
      </c>
      <c r="BO25" s="326"/>
      <c r="BP25" s="327">
        <f>IFERROR(BO25/BM25,0)</f>
        <v>0</v>
      </c>
      <c r="BQ25" s="292"/>
      <c r="BR25" s="326"/>
      <c r="BS25" s="327">
        <f>IFERROR(BQ25/BR25,0)</f>
        <v>0</v>
      </c>
      <c r="BT25" s="326"/>
      <c r="BU25" s="327">
        <f>IFERROR(BT25/BR25,0)</f>
        <v>0</v>
      </c>
      <c r="BV25" s="292"/>
      <c r="BW25" s="326"/>
      <c r="BX25" s="327">
        <f>IFERROR(BV25/BW25,0)</f>
        <v>0</v>
      </c>
      <c r="BY25" s="326"/>
      <c r="BZ25" s="327">
        <f>IFERROR(BY25/BW25,0)</f>
        <v>0</v>
      </c>
      <c r="CA25" s="328"/>
      <c r="CB25" s="328">
        <f t="shared" ref="CB25:CB30" si="95">BM25+BR25+BW25</f>
        <v>0</v>
      </c>
      <c r="CC25" s="329">
        <f>IFERROR(CA25/CB25,0)</f>
        <v>0</v>
      </c>
      <c r="CD25" s="295">
        <f t="shared" ref="CD25:CD30" si="96">BO25+BT25+BY25</f>
        <v>0</v>
      </c>
      <c r="CE25" s="329">
        <f>IFERROR(CD25/CB25,0)</f>
        <v>0</v>
      </c>
      <c r="CF25" s="297"/>
      <c r="CG25" s="297">
        <f>AN25+BH25+CB25</f>
        <v>0</v>
      </c>
      <c r="CH25" s="330">
        <f>IFERROR(CF25/CG25,0)</f>
        <v>0</v>
      </c>
      <c r="CI25" s="295">
        <f>AP25+BJ25+CD25</f>
        <v>0</v>
      </c>
      <c r="CJ25" s="331">
        <f>IFERROR(CI25/CG25,0)</f>
        <v>0</v>
      </c>
    </row>
    <row r="26" spans="1:88">
      <c r="A26" s="67"/>
      <c r="B26" s="68"/>
      <c r="C26" s="339"/>
      <c r="D26" s="292"/>
      <c r="E26" s="326"/>
      <c r="F26" s="332">
        <f t="shared" ref="F26:F31" si="97">IFERROR(D26/E26,0)</f>
        <v>0</v>
      </c>
      <c r="G26" s="326"/>
      <c r="H26" s="332">
        <f t="shared" ref="H26:H31" si="98">IFERROR(G26/E26,0)</f>
        <v>0</v>
      </c>
      <c r="I26" s="292"/>
      <c r="J26" s="326"/>
      <c r="K26" s="332">
        <f t="shared" ref="K26:K31" si="99">IFERROR(I26/J26,0)</f>
        <v>0</v>
      </c>
      <c r="L26" s="326"/>
      <c r="M26" s="332">
        <f t="shared" ref="M26:M31" si="100">IFERROR(L26/J26,0)</f>
        <v>0</v>
      </c>
      <c r="N26" s="292"/>
      <c r="O26" s="326"/>
      <c r="P26" s="332">
        <f t="shared" ref="P26:P31" si="101">IFERROR(N26/O26,0)</f>
        <v>0</v>
      </c>
      <c r="Q26" s="326"/>
      <c r="R26" s="332">
        <f t="shared" ref="R26:R31" si="102">IFERROR(Q26/O26,0)</f>
        <v>0</v>
      </c>
      <c r="S26" s="328"/>
      <c r="T26" s="328">
        <f t="shared" si="90"/>
        <v>0</v>
      </c>
      <c r="U26" s="333">
        <f t="shared" ref="U26:U31" si="103">IFERROR(S26/T26,0)</f>
        <v>0</v>
      </c>
      <c r="V26" s="295">
        <f t="shared" si="91"/>
        <v>0</v>
      </c>
      <c r="W26" s="333">
        <f t="shared" ref="W26:W31" si="104">IFERROR(V26/T26,0)</f>
        <v>0</v>
      </c>
      <c r="X26" s="292"/>
      <c r="Y26" s="326"/>
      <c r="Z26" s="332">
        <f t="shared" ref="Z26:Z31" si="105">IFERROR(X26/Y26,0)</f>
        <v>0</v>
      </c>
      <c r="AA26" s="326"/>
      <c r="AB26" s="332">
        <f t="shared" ref="AB26:AB31" si="106">IFERROR(AA26/Y26,0)</f>
        <v>0</v>
      </c>
      <c r="AC26" s="292"/>
      <c r="AD26" s="326"/>
      <c r="AE26" s="332">
        <f t="shared" ref="AE26:AE31" si="107">IFERROR(AC26/AD26,0)</f>
        <v>0</v>
      </c>
      <c r="AF26" s="326"/>
      <c r="AG26" s="332">
        <f t="shared" ref="AG26:AG31" si="108">IFERROR(AF26/AD26,0)</f>
        <v>0</v>
      </c>
      <c r="AH26" s="292"/>
      <c r="AI26" s="326"/>
      <c r="AJ26" s="332">
        <f t="shared" ref="AJ26:AJ31" si="109">IFERROR(AH26/AI26,0)</f>
        <v>0</v>
      </c>
      <c r="AK26" s="326"/>
      <c r="AL26" s="332">
        <f t="shared" ref="AL26:AL31" si="110">IFERROR(AK26/AI26,0)</f>
        <v>0</v>
      </c>
      <c r="AM26" s="328"/>
      <c r="AN26" s="328">
        <f t="shared" si="92"/>
        <v>0</v>
      </c>
      <c r="AO26" s="333">
        <f t="shared" ref="AO26:AO31" si="111">IFERROR(AM26/AN26,0)</f>
        <v>0</v>
      </c>
      <c r="AP26" s="295">
        <f t="shared" ref="AP26:AP30" si="112">AA26+AF26+AK26</f>
        <v>0</v>
      </c>
      <c r="AQ26" s="333">
        <f t="shared" ref="AQ26:AQ31" si="113">IFERROR(AP26/AN26,0)</f>
        <v>0</v>
      </c>
      <c r="AR26" s="292"/>
      <c r="AS26" s="326"/>
      <c r="AT26" s="332">
        <f t="shared" ref="AT26:AT31" si="114">IFERROR(AR26/AS26,0)</f>
        <v>0</v>
      </c>
      <c r="AU26" s="326"/>
      <c r="AV26" s="332">
        <f t="shared" ref="AV26:AV31" si="115">IFERROR(AU26/AS26,0)</f>
        <v>0</v>
      </c>
      <c r="AW26" s="292"/>
      <c r="AX26" s="326"/>
      <c r="AY26" s="332">
        <f t="shared" ref="AY26:AY31" si="116">IFERROR(AW26/AX26,0)</f>
        <v>0</v>
      </c>
      <c r="AZ26" s="326"/>
      <c r="BA26" s="332">
        <f t="shared" ref="BA26:BA31" si="117">IFERROR(AZ26/AX26,0)</f>
        <v>0</v>
      </c>
      <c r="BB26" s="292"/>
      <c r="BC26" s="326"/>
      <c r="BD26" s="332">
        <f t="shared" ref="BD26:BD31" si="118">IFERROR(BB26/BC26,0)</f>
        <v>0</v>
      </c>
      <c r="BE26" s="326"/>
      <c r="BF26" s="332">
        <f t="shared" ref="BF26:BF31" si="119">IFERROR(BE26/BC26,0)</f>
        <v>0</v>
      </c>
      <c r="BG26" s="328"/>
      <c r="BH26" s="328">
        <f t="shared" si="93"/>
        <v>0</v>
      </c>
      <c r="BI26" s="333">
        <f t="shared" ref="BI26:BI31" si="120">IFERROR(BG26/BH26,0)</f>
        <v>0</v>
      </c>
      <c r="BJ26" s="295">
        <f t="shared" si="94"/>
        <v>0</v>
      </c>
      <c r="BK26" s="333">
        <f t="shared" ref="BK26:BK31" si="121">IFERROR(BJ26/BH26,0)</f>
        <v>0</v>
      </c>
      <c r="BL26" s="292"/>
      <c r="BM26" s="326"/>
      <c r="BN26" s="332">
        <f t="shared" ref="BN26:BN31" si="122">IFERROR(BL26/BM26,0)</f>
        <v>0</v>
      </c>
      <c r="BO26" s="326"/>
      <c r="BP26" s="332">
        <f t="shared" ref="BP26:BP31" si="123">IFERROR(BO26/BM26,0)</f>
        <v>0</v>
      </c>
      <c r="BQ26" s="292"/>
      <c r="BR26" s="326"/>
      <c r="BS26" s="332">
        <f t="shared" ref="BS26:BS31" si="124">IFERROR(BQ26/BR26,0)</f>
        <v>0</v>
      </c>
      <c r="BT26" s="326"/>
      <c r="BU26" s="332">
        <f t="shared" ref="BU26:BU31" si="125">IFERROR(BT26/BR26,0)</f>
        <v>0</v>
      </c>
      <c r="BV26" s="292"/>
      <c r="BW26" s="326"/>
      <c r="BX26" s="332">
        <f t="shared" ref="BX26:BX31" si="126">IFERROR(BV26/BW26,0)</f>
        <v>0</v>
      </c>
      <c r="BY26" s="326"/>
      <c r="BZ26" s="332">
        <f t="shared" ref="BZ26:BZ31" si="127">IFERROR(BY26/BW26,0)</f>
        <v>0</v>
      </c>
      <c r="CA26" s="328"/>
      <c r="CB26" s="328">
        <f t="shared" si="95"/>
        <v>0</v>
      </c>
      <c r="CC26" s="333">
        <f t="shared" ref="CC26:CC31" si="128">IFERROR(CA26/CB26,0)</f>
        <v>0</v>
      </c>
      <c r="CD26" s="295">
        <f t="shared" si="96"/>
        <v>0</v>
      </c>
      <c r="CE26" s="333">
        <f t="shared" ref="CE26:CE31" si="129">IFERROR(CD26/CB26,0)</f>
        <v>0</v>
      </c>
      <c r="CF26" s="297"/>
      <c r="CG26" s="297">
        <f t="shared" ref="CG26:CG30" si="130">AN26+BH26+CB26</f>
        <v>0</v>
      </c>
      <c r="CH26" s="334">
        <f t="shared" ref="CH26:CH31" si="131">IFERROR(CF26/CG26,0)</f>
        <v>0</v>
      </c>
      <c r="CI26" s="295">
        <f t="shared" ref="CI26:CI31" si="132">AP26+BJ26+CD26</f>
        <v>0</v>
      </c>
      <c r="CJ26" s="335">
        <f t="shared" ref="CJ26:CJ31" si="133">IFERROR(CI26/CG26,0)</f>
        <v>0</v>
      </c>
    </row>
    <row r="27" spans="1:88">
      <c r="A27" s="67"/>
      <c r="B27" s="68"/>
      <c r="C27" s="339"/>
      <c r="D27" s="292"/>
      <c r="E27" s="326"/>
      <c r="F27" s="332">
        <f t="shared" si="97"/>
        <v>0</v>
      </c>
      <c r="G27" s="326"/>
      <c r="H27" s="332">
        <f t="shared" si="98"/>
        <v>0</v>
      </c>
      <c r="I27" s="292"/>
      <c r="J27" s="326"/>
      <c r="K27" s="332">
        <f t="shared" si="99"/>
        <v>0</v>
      </c>
      <c r="L27" s="326"/>
      <c r="M27" s="332">
        <f t="shared" si="100"/>
        <v>0</v>
      </c>
      <c r="N27" s="292"/>
      <c r="O27" s="326"/>
      <c r="P27" s="332">
        <f t="shared" si="101"/>
        <v>0</v>
      </c>
      <c r="Q27" s="326"/>
      <c r="R27" s="332">
        <f t="shared" si="102"/>
        <v>0</v>
      </c>
      <c r="S27" s="328"/>
      <c r="T27" s="328">
        <f t="shared" si="90"/>
        <v>0</v>
      </c>
      <c r="U27" s="333">
        <f t="shared" si="103"/>
        <v>0</v>
      </c>
      <c r="V27" s="295">
        <f t="shared" si="91"/>
        <v>0</v>
      </c>
      <c r="W27" s="333">
        <f t="shared" si="104"/>
        <v>0</v>
      </c>
      <c r="X27" s="292"/>
      <c r="Y27" s="326"/>
      <c r="Z27" s="332">
        <f t="shared" si="105"/>
        <v>0</v>
      </c>
      <c r="AA27" s="326"/>
      <c r="AB27" s="332">
        <f t="shared" si="106"/>
        <v>0</v>
      </c>
      <c r="AC27" s="292"/>
      <c r="AD27" s="326"/>
      <c r="AE27" s="332">
        <f t="shared" si="107"/>
        <v>0</v>
      </c>
      <c r="AF27" s="326"/>
      <c r="AG27" s="332">
        <f t="shared" si="108"/>
        <v>0</v>
      </c>
      <c r="AH27" s="292"/>
      <c r="AI27" s="326"/>
      <c r="AJ27" s="332">
        <f t="shared" si="109"/>
        <v>0</v>
      </c>
      <c r="AK27" s="326"/>
      <c r="AL27" s="332">
        <f t="shared" si="110"/>
        <v>0</v>
      </c>
      <c r="AM27" s="328"/>
      <c r="AN27" s="328">
        <f t="shared" si="92"/>
        <v>0</v>
      </c>
      <c r="AO27" s="333">
        <f t="shared" si="111"/>
        <v>0</v>
      </c>
      <c r="AP27" s="295">
        <f t="shared" si="112"/>
        <v>0</v>
      </c>
      <c r="AQ27" s="333">
        <f t="shared" si="113"/>
        <v>0</v>
      </c>
      <c r="AR27" s="292"/>
      <c r="AS27" s="326"/>
      <c r="AT27" s="332">
        <f t="shared" si="114"/>
        <v>0</v>
      </c>
      <c r="AU27" s="326"/>
      <c r="AV27" s="332">
        <f t="shared" si="115"/>
        <v>0</v>
      </c>
      <c r="AW27" s="292"/>
      <c r="AX27" s="326"/>
      <c r="AY27" s="332">
        <f t="shared" si="116"/>
        <v>0</v>
      </c>
      <c r="AZ27" s="326"/>
      <c r="BA27" s="332">
        <f t="shared" si="117"/>
        <v>0</v>
      </c>
      <c r="BB27" s="292"/>
      <c r="BC27" s="326"/>
      <c r="BD27" s="332">
        <f t="shared" si="118"/>
        <v>0</v>
      </c>
      <c r="BE27" s="326"/>
      <c r="BF27" s="332">
        <f t="shared" si="119"/>
        <v>0</v>
      </c>
      <c r="BG27" s="328"/>
      <c r="BH27" s="328">
        <f t="shared" si="93"/>
        <v>0</v>
      </c>
      <c r="BI27" s="333">
        <f t="shared" si="120"/>
        <v>0</v>
      </c>
      <c r="BJ27" s="295">
        <f t="shared" si="94"/>
        <v>0</v>
      </c>
      <c r="BK27" s="333">
        <f t="shared" si="121"/>
        <v>0</v>
      </c>
      <c r="BL27" s="292"/>
      <c r="BM27" s="326"/>
      <c r="BN27" s="332">
        <f t="shared" si="122"/>
        <v>0</v>
      </c>
      <c r="BO27" s="326"/>
      <c r="BP27" s="332">
        <f t="shared" si="123"/>
        <v>0</v>
      </c>
      <c r="BQ27" s="292"/>
      <c r="BR27" s="326"/>
      <c r="BS27" s="332">
        <f t="shared" si="124"/>
        <v>0</v>
      </c>
      <c r="BT27" s="326"/>
      <c r="BU27" s="332">
        <f t="shared" si="125"/>
        <v>0</v>
      </c>
      <c r="BV27" s="292"/>
      <c r="BW27" s="326"/>
      <c r="BX27" s="332">
        <f t="shared" si="126"/>
        <v>0</v>
      </c>
      <c r="BY27" s="326"/>
      <c r="BZ27" s="332">
        <f t="shared" si="127"/>
        <v>0</v>
      </c>
      <c r="CA27" s="328"/>
      <c r="CB27" s="328">
        <f t="shared" si="95"/>
        <v>0</v>
      </c>
      <c r="CC27" s="333">
        <f t="shared" si="128"/>
        <v>0</v>
      </c>
      <c r="CD27" s="295">
        <f t="shared" si="96"/>
        <v>0</v>
      </c>
      <c r="CE27" s="333">
        <f t="shared" si="129"/>
        <v>0</v>
      </c>
      <c r="CF27" s="297"/>
      <c r="CG27" s="297">
        <f t="shared" si="130"/>
        <v>0</v>
      </c>
      <c r="CH27" s="334">
        <f t="shared" si="131"/>
        <v>0</v>
      </c>
      <c r="CI27" s="295">
        <f t="shared" si="132"/>
        <v>0</v>
      </c>
      <c r="CJ27" s="335">
        <f t="shared" si="133"/>
        <v>0</v>
      </c>
    </row>
    <row r="28" spans="1:88">
      <c r="A28" s="67"/>
      <c r="B28" s="68"/>
      <c r="C28" s="339"/>
      <c r="D28" s="292"/>
      <c r="E28" s="326"/>
      <c r="F28" s="332">
        <f t="shared" si="97"/>
        <v>0</v>
      </c>
      <c r="G28" s="326"/>
      <c r="H28" s="332">
        <f t="shared" si="98"/>
        <v>0</v>
      </c>
      <c r="I28" s="292"/>
      <c r="J28" s="326"/>
      <c r="K28" s="332">
        <f t="shared" si="99"/>
        <v>0</v>
      </c>
      <c r="L28" s="326"/>
      <c r="M28" s="332">
        <f t="shared" si="100"/>
        <v>0</v>
      </c>
      <c r="N28" s="292"/>
      <c r="O28" s="326"/>
      <c r="P28" s="332">
        <f t="shared" si="101"/>
        <v>0</v>
      </c>
      <c r="Q28" s="326"/>
      <c r="R28" s="332">
        <f t="shared" si="102"/>
        <v>0</v>
      </c>
      <c r="S28" s="328"/>
      <c r="T28" s="328">
        <f t="shared" si="90"/>
        <v>0</v>
      </c>
      <c r="U28" s="333">
        <f t="shared" si="103"/>
        <v>0</v>
      </c>
      <c r="V28" s="295">
        <f t="shared" si="91"/>
        <v>0</v>
      </c>
      <c r="W28" s="333">
        <f t="shared" si="104"/>
        <v>0</v>
      </c>
      <c r="X28" s="292"/>
      <c r="Y28" s="326"/>
      <c r="Z28" s="332">
        <f t="shared" si="105"/>
        <v>0</v>
      </c>
      <c r="AA28" s="326"/>
      <c r="AB28" s="332">
        <f t="shared" si="106"/>
        <v>0</v>
      </c>
      <c r="AC28" s="292"/>
      <c r="AD28" s="326"/>
      <c r="AE28" s="332">
        <f t="shared" si="107"/>
        <v>0</v>
      </c>
      <c r="AF28" s="326"/>
      <c r="AG28" s="332">
        <f t="shared" si="108"/>
        <v>0</v>
      </c>
      <c r="AH28" s="292"/>
      <c r="AI28" s="326"/>
      <c r="AJ28" s="332">
        <f t="shared" si="109"/>
        <v>0</v>
      </c>
      <c r="AK28" s="326"/>
      <c r="AL28" s="332">
        <f t="shared" si="110"/>
        <v>0</v>
      </c>
      <c r="AM28" s="328"/>
      <c r="AN28" s="328">
        <f t="shared" si="92"/>
        <v>0</v>
      </c>
      <c r="AO28" s="333">
        <f t="shared" si="111"/>
        <v>0</v>
      </c>
      <c r="AP28" s="295">
        <f t="shared" si="112"/>
        <v>0</v>
      </c>
      <c r="AQ28" s="333">
        <f t="shared" si="113"/>
        <v>0</v>
      </c>
      <c r="AR28" s="292"/>
      <c r="AS28" s="326"/>
      <c r="AT28" s="332">
        <f t="shared" si="114"/>
        <v>0</v>
      </c>
      <c r="AU28" s="326"/>
      <c r="AV28" s="332">
        <f t="shared" si="115"/>
        <v>0</v>
      </c>
      <c r="AW28" s="292"/>
      <c r="AX28" s="326"/>
      <c r="AY28" s="332">
        <f t="shared" si="116"/>
        <v>0</v>
      </c>
      <c r="AZ28" s="326"/>
      <c r="BA28" s="332">
        <f t="shared" si="117"/>
        <v>0</v>
      </c>
      <c r="BB28" s="292"/>
      <c r="BC28" s="326"/>
      <c r="BD28" s="332">
        <f t="shared" si="118"/>
        <v>0</v>
      </c>
      <c r="BE28" s="326"/>
      <c r="BF28" s="332">
        <f t="shared" si="119"/>
        <v>0</v>
      </c>
      <c r="BG28" s="328"/>
      <c r="BH28" s="328">
        <f t="shared" si="93"/>
        <v>0</v>
      </c>
      <c r="BI28" s="333">
        <f t="shared" si="120"/>
        <v>0</v>
      </c>
      <c r="BJ28" s="295">
        <f t="shared" si="94"/>
        <v>0</v>
      </c>
      <c r="BK28" s="333">
        <f t="shared" si="121"/>
        <v>0</v>
      </c>
      <c r="BL28" s="292"/>
      <c r="BM28" s="326"/>
      <c r="BN28" s="332">
        <f t="shared" si="122"/>
        <v>0</v>
      </c>
      <c r="BO28" s="326"/>
      <c r="BP28" s="332">
        <f t="shared" si="123"/>
        <v>0</v>
      </c>
      <c r="BQ28" s="292"/>
      <c r="BR28" s="326"/>
      <c r="BS28" s="332">
        <f t="shared" si="124"/>
        <v>0</v>
      </c>
      <c r="BT28" s="326"/>
      <c r="BU28" s="332">
        <f t="shared" si="125"/>
        <v>0</v>
      </c>
      <c r="BV28" s="292"/>
      <c r="BW28" s="326"/>
      <c r="BX28" s="332">
        <f t="shared" si="126"/>
        <v>0</v>
      </c>
      <c r="BY28" s="326"/>
      <c r="BZ28" s="332">
        <f t="shared" si="127"/>
        <v>0</v>
      </c>
      <c r="CA28" s="328"/>
      <c r="CB28" s="328">
        <f t="shared" si="95"/>
        <v>0</v>
      </c>
      <c r="CC28" s="333">
        <f t="shared" si="128"/>
        <v>0</v>
      </c>
      <c r="CD28" s="295">
        <f t="shared" si="96"/>
        <v>0</v>
      </c>
      <c r="CE28" s="333">
        <f t="shared" si="129"/>
        <v>0</v>
      </c>
      <c r="CF28" s="297"/>
      <c r="CG28" s="297">
        <f t="shared" si="130"/>
        <v>0</v>
      </c>
      <c r="CH28" s="334">
        <f t="shared" si="131"/>
        <v>0</v>
      </c>
      <c r="CI28" s="295">
        <f t="shared" si="132"/>
        <v>0</v>
      </c>
      <c r="CJ28" s="335">
        <f t="shared" si="133"/>
        <v>0</v>
      </c>
    </row>
    <row r="29" spans="1:88">
      <c r="A29" s="67"/>
      <c r="B29" s="68"/>
      <c r="C29" s="339"/>
      <c r="D29" s="292"/>
      <c r="E29" s="326"/>
      <c r="F29" s="332">
        <f t="shared" si="97"/>
        <v>0</v>
      </c>
      <c r="G29" s="326"/>
      <c r="H29" s="332">
        <f t="shared" si="98"/>
        <v>0</v>
      </c>
      <c r="I29" s="292"/>
      <c r="J29" s="326"/>
      <c r="K29" s="332">
        <f t="shared" si="99"/>
        <v>0</v>
      </c>
      <c r="L29" s="326"/>
      <c r="M29" s="332">
        <f t="shared" si="100"/>
        <v>0</v>
      </c>
      <c r="N29" s="292"/>
      <c r="O29" s="326"/>
      <c r="P29" s="332">
        <f t="shared" si="101"/>
        <v>0</v>
      </c>
      <c r="Q29" s="326"/>
      <c r="R29" s="332">
        <f t="shared" si="102"/>
        <v>0</v>
      </c>
      <c r="S29" s="328"/>
      <c r="T29" s="328">
        <f t="shared" si="90"/>
        <v>0</v>
      </c>
      <c r="U29" s="333">
        <f t="shared" si="103"/>
        <v>0</v>
      </c>
      <c r="V29" s="295">
        <f t="shared" si="91"/>
        <v>0</v>
      </c>
      <c r="W29" s="333">
        <f t="shared" si="104"/>
        <v>0</v>
      </c>
      <c r="X29" s="292"/>
      <c r="Y29" s="326"/>
      <c r="Z29" s="332">
        <f t="shared" si="105"/>
        <v>0</v>
      </c>
      <c r="AA29" s="326"/>
      <c r="AB29" s="332">
        <f t="shared" si="106"/>
        <v>0</v>
      </c>
      <c r="AC29" s="292"/>
      <c r="AD29" s="326"/>
      <c r="AE29" s="332">
        <f t="shared" si="107"/>
        <v>0</v>
      </c>
      <c r="AF29" s="326"/>
      <c r="AG29" s="332">
        <f t="shared" si="108"/>
        <v>0</v>
      </c>
      <c r="AH29" s="292"/>
      <c r="AI29" s="326"/>
      <c r="AJ29" s="332">
        <f t="shared" si="109"/>
        <v>0</v>
      </c>
      <c r="AK29" s="326"/>
      <c r="AL29" s="332">
        <f t="shared" si="110"/>
        <v>0</v>
      </c>
      <c r="AM29" s="328"/>
      <c r="AN29" s="328">
        <f t="shared" si="92"/>
        <v>0</v>
      </c>
      <c r="AO29" s="333">
        <f t="shared" si="111"/>
        <v>0</v>
      </c>
      <c r="AP29" s="295">
        <f t="shared" si="112"/>
        <v>0</v>
      </c>
      <c r="AQ29" s="333">
        <f t="shared" si="113"/>
        <v>0</v>
      </c>
      <c r="AR29" s="292"/>
      <c r="AS29" s="326"/>
      <c r="AT29" s="332">
        <f t="shared" si="114"/>
        <v>0</v>
      </c>
      <c r="AU29" s="326"/>
      <c r="AV29" s="332">
        <f t="shared" si="115"/>
        <v>0</v>
      </c>
      <c r="AW29" s="292"/>
      <c r="AX29" s="326"/>
      <c r="AY29" s="332">
        <f t="shared" si="116"/>
        <v>0</v>
      </c>
      <c r="AZ29" s="326"/>
      <c r="BA29" s="332">
        <f t="shared" si="117"/>
        <v>0</v>
      </c>
      <c r="BB29" s="292"/>
      <c r="BC29" s="326"/>
      <c r="BD29" s="332">
        <f t="shared" si="118"/>
        <v>0</v>
      </c>
      <c r="BE29" s="326"/>
      <c r="BF29" s="332">
        <f t="shared" si="119"/>
        <v>0</v>
      </c>
      <c r="BG29" s="328"/>
      <c r="BH29" s="328">
        <f t="shared" si="93"/>
        <v>0</v>
      </c>
      <c r="BI29" s="333">
        <f t="shared" si="120"/>
        <v>0</v>
      </c>
      <c r="BJ29" s="295">
        <f t="shared" si="94"/>
        <v>0</v>
      </c>
      <c r="BK29" s="333">
        <f t="shared" si="121"/>
        <v>0</v>
      </c>
      <c r="BL29" s="292"/>
      <c r="BM29" s="326"/>
      <c r="BN29" s="332">
        <f t="shared" si="122"/>
        <v>0</v>
      </c>
      <c r="BO29" s="326"/>
      <c r="BP29" s="332">
        <f t="shared" si="123"/>
        <v>0</v>
      </c>
      <c r="BQ29" s="292"/>
      <c r="BR29" s="326"/>
      <c r="BS29" s="332">
        <f t="shared" si="124"/>
        <v>0</v>
      </c>
      <c r="BT29" s="326"/>
      <c r="BU29" s="332">
        <f t="shared" si="125"/>
        <v>0</v>
      </c>
      <c r="BV29" s="292"/>
      <c r="BW29" s="326"/>
      <c r="BX29" s="332">
        <f t="shared" si="126"/>
        <v>0</v>
      </c>
      <c r="BY29" s="326"/>
      <c r="BZ29" s="332">
        <f t="shared" si="127"/>
        <v>0</v>
      </c>
      <c r="CA29" s="328"/>
      <c r="CB29" s="328">
        <f t="shared" si="95"/>
        <v>0</v>
      </c>
      <c r="CC29" s="333">
        <f t="shared" si="128"/>
        <v>0</v>
      </c>
      <c r="CD29" s="295">
        <f t="shared" si="96"/>
        <v>0</v>
      </c>
      <c r="CE29" s="333">
        <f t="shared" si="129"/>
        <v>0</v>
      </c>
      <c r="CF29" s="297"/>
      <c r="CG29" s="297">
        <f t="shared" si="130"/>
        <v>0</v>
      </c>
      <c r="CH29" s="334">
        <f t="shared" si="131"/>
        <v>0</v>
      </c>
      <c r="CI29" s="295">
        <f t="shared" si="132"/>
        <v>0</v>
      </c>
      <c r="CJ29" s="335">
        <f t="shared" si="133"/>
        <v>0</v>
      </c>
    </row>
    <row r="30" spans="1:88">
      <c r="A30" s="67"/>
      <c r="B30" s="68"/>
      <c r="C30" s="339"/>
      <c r="D30" s="292"/>
      <c r="E30" s="326"/>
      <c r="F30" s="332">
        <f t="shared" si="97"/>
        <v>0</v>
      </c>
      <c r="G30" s="326"/>
      <c r="H30" s="332">
        <f t="shared" si="98"/>
        <v>0</v>
      </c>
      <c r="I30" s="292"/>
      <c r="J30" s="326"/>
      <c r="K30" s="332">
        <f t="shared" si="99"/>
        <v>0</v>
      </c>
      <c r="L30" s="326"/>
      <c r="M30" s="332">
        <f t="shared" si="100"/>
        <v>0</v>
      </c>
      <c r="N30" s="292"/>
      <c r="O30" s="326"/>
      <c r="P30" s="332">
        <f t="shared" si="101"/>
        <v>0</v>
      </c>
      <c r="Q30" s="326"/>
      <c r="R30" s="332">
        <f t="shared" si="102"/>
        <v>0</v>
      </c>
      <c r="S30" s="328"/>
      <c r="T30" s="328">
        <f t="shared" si="90"/>
        <v>0</v>
      </c>
      <c r="U30" s="333">
        <f t="shared" si="103"/>
        <v>0</v>
      </c>
      <c r="V30" s="295">
        <f t="shared" si="91"/>
        <v>0</v>
      </c>
      <c r="W30" s="333">
        <f t="shared" si="104"/>
        <v>0</v>
      </c>
      <c r="X30" s="292"/>
      <c r="Y30" s="326"/>
      <c r="Z30" s="332">
        <f t="shared" si="105"/>
        <v>0</v>
      </c>
      <c r="AA30" s="326"/>
      <c r="AB30" s="332">
        <f t="shared" si="106"/>
        <v>0</v>
      </c>
      <c r="AC30" s="292"/>
      <c r="AD30" s="326"/>
      <c r="AE30" s="332">
        <f t="shared" si="107"/>
        <v>0</v>
      </c>
      <c r="AF30" s="326"/>
      <c r="AG30" s="332">
        <f t="shared" si="108"/>
        <v>0</v>
      </c>
      <c r="AH30" s="292"/>
      <c r="AI30" s="326"/>
      <c r="AJ30" s="332">
        <f t="shared" si="109"/>
        <v>0</v>
      </c>
      <c r="AK30" s="326"/>
      <c r="AL30" s="332">
        <f t="shared" si="110"/>
        <v>0</v>
      </c>
      <c r="AM30" s="328"/>
      <c r="AN30" s="328">
        <f t="shared" si="92"/>
        <v>0</v>
      </c>
      <c r="AO30" s="333">
        <f t="shared" si="111"/>
        <v>0</v>
      </c>
      <c r="AP30" s="295">
        <f t="shared" si="112"/>
        <v>0</v>
      </c>
      <c r="AQ30" s="333">
        <f t="shared" si="113"/>
        <v>0</v>
      </c>
      <c r="AR30" s="292"/>
      <c r="AS30" s="326"/>
      <c r="AT30" s="332">
        <f t="shared" si="114"/>
        <v>0</v>
      </c>
      <c r="AU30" s="326"/>
      <c r="AV30" s="332">
        <f t="shared" si="115"/>
        <v>0</v>
      </c>
      <c r="AW30" s="292"/>
      <c r="AX30" s="326"/>
      <c r="AY30" s="332">
        <f t="shared" si="116"/>
        <v>0</v>
      </c>
      <c r="AZ30" s="326"/>
      <c r="BA30" s="332">
        <f t="shared" si="117"/>
        <v>0</v>
      </c>
      <c r="BB30" s="292"/>
      <c r="BC30" s="326"/>
      <c r="BD30" s="332">
        <f t="shared" si="118"/>
        <v>0</v>
      </c>
      <c r="BE30" s="326"/>
      <c r="BF30" s="332">
        <f t="shared" si="119"/>
        <v>0</v>
      </c>
      <c r="BG30" s="328"/>
      <c r="BH30" s="328">
        <f t="shared" si="93"/>
        <v>0</v>
      </c>
      <c r="BI30" s="333">
        <f t="shared" si="120"/>
        <v>0</v>
      </c>
      <c r="BJ30" s="295">
        <f t="shared" si="94"/>
        <v>0</v>
      </c>
      <c r="BK30" s="333">
        <f t="shared" si="121"/>
        <v>0</v>
      </c>
      <c r="BL30" s="292"/>
      <c r="BM30" s="326"/>
      <c r="BN30" s="332">
        <f t="shared" si="122"/>
        <v>0</v>
      </c>
      <c r="BO30" s="326"/>
      <c r="BP30" s="332">
        <f t="shared" si="123"/>
        <v>0</v>
      </c>
      <c r="BQ30" s="292"/>
      <c r="BR30" s="326"/>
      <c r="BS30" s="332">
        <f t="shared" si="124"/>
        <v>0</v>
      </c>
      <c r="BT30" s="326"/>
      <c r="BU30" s="332">
        <f t="shared" si="125"/>
        <v>0</v>
      </c>
      <c r="BV30" s="292"/>
      <c r="BW30" s="326"/>
      <c r="BX30" s="332">
        <f t="shared" si="126"/>
        <v>0</v>
      </c>
      <c r="BY30" s="326"/>
      <c r="BZ30" s="332">
        <f t="shared" si="127"/>
        <v>0</v>
      </c>
      <c r="CA30" s="328"/>
      <c r="CB30" s="328">
        <f t="shared" si="95"/>
        <v>0</v>
      </c>
      <c r="CC30" s="333">
        <f t="shared" si="128"/>
        <v>0</v>
      </c>
      <c r="CD30" s="295">
        <f t="shared" si="96"/>
        <v>0</v>
      </c>
      <c r="CE30" s="333">
        <f t="shared" si="129"/>
        <v>0</v>
      </c>
      <c r="CF30" s="297"/>
      <c r="CG30" s="297">
        <f t="shared" si="130"/>
        <v>0</v>
      </c>
      <c r="CH30" s="334">
        <f t="shared" si="131"/>
        <v>0</v>
      </c>
      <c r="CI30" s="295">
        <f t="shared" si="132"/>
        <v>0</v>
      </c>
      <c r="CJ30" s="335">
        <f t="shared" si="133"/>
        <v>0</v>
      </c>
    </row>
    <row r="31" spans="1:88">
      <c r="A31" s="66"/>
      <c r="B31" s="66" t="s">
        <v>128</v>
      </c>
      <c r="C31" s="66"/>
      <c r="D31" s="336">
        <v>0</v>
      </c>
      <c r="E31" s="336">
        <f>SUM(E25:E30)</f>
        <v>0</v>
      </c>
      <c r="F31" s="322">
        <f t="shared" si="97"/>
        <v>0</v>
      </c>
      <c r="G31" s="320">
        <f>SUM(G25:G30)</f>
        <v>0</v>
      </c>
      <c r="H31" s="322">
        <f t="shared" si="98"/>
        <v>0</v>
      </c>
      <c r="I31" s="320">
        <v>0</v>
      </c>
      <c r="J31" s="320">
        <f>SUM(J25:J30)</f>
        <v>0</v>
      </c>
      <c r="K31" s="322">
        <f t="shared" si="99"/>
        <v>0</v>
      </c>
      <c r="L31" s="320">
        <f>SUM(L25:L30)</f>
        <v>0</v>
      </c>
      <c r="M31" s="322">
        <f t="shared" si="100"/>
        <v>0</v>
      </c>
      <c r="N31" s="320">
        <v>0</v>
      </c>
      <c r="O31" s="320">
        <f>SUM(O25:O30)</f>
        <v>0</v>
      </c>
      <c r="P31" s="322">
        <f t="shared" si="101"/>
        <v>0</v>
      </c>
      <c r="Q31" s="320">
        <f>SUM(Q25:Q30)</f>
        <v>0</v>
      </c>
      <c r="R31" s="322">
        <f t="shared" si="102"/>
        <v>0</v>
      </c>
      <c r="S31" s="320">
        <v>0</v>
      </c>
      <c r="T31" s="320">
        <f>SUM(T25:T30)</f>
        <v>0</v>
      </c>
      <c r="U31" s="322">
        <f t="shared" si="103"/>
        <v>0</v>
      </c>
      <c r="V31" s="320">
        <f>SUM(V25:V30)</f>
        <v>0</v>
      </c>
      <c r="W31" s="322">
        <f t="shared" si="104"/>
        <v>0</v>
      </c>
      <c r="X31" s="320">
        <v>0</v>
      </c>
      <c r="Y31" s="320">
        <f>SUM(Y25:Y30)</f>
        <v>0</v>
      </c>
      <c r="Z31" s="322">
        <f t="shared" si="105"/>
        <v>0</v>
      </c>
      <c r="AA31" s="320">
        <f>SUM(AA25:AA30)</f>
        <v>0</v>
      </c>
      <c r="AB31" s="322">
        <f t="shared" si="106"/>
        <v>0</v>
      </c>
      <c r="AC31" s="320">
        <v>0</v>
      </c>
      <c r="AD31" s="320">
        <f>SUM(AD25:AD30)</f>
        <v>0</v>
      </c>
      <c r="AE31" s="322">
        <f t="shared" si="107"/>
        <v>0</v>
      </c>
      <c r="AF31" s="320">
        <f>SUM(AF25:AF30)</f>
        <v>0</v>
      </c>
      <c r="AG31" s="322">
        <f t="shared" si="108"/>
        <v>0</v>
      </c>
      <c r="AH31" s="320">
        <v>0</v>
      </c>
      <c r="AI31" s="320">
        <f>SUM(AI25:AI30)</f>
        <v>0</v>
      </c>
      <c r="AJ31" s="322">
        <f t="shared" si="109"/>
        <v>0</v>
      </c>
      <c r="AK31" s="320">
        <f>SUM(AK25:AK30)</f>
        <v>0</v>
      </c>
      <c r="AL31" s="322">
        <f t="shared" si="110"/>
        <v>0</v>
      </c>
      <c r="AM31" s="320">
        <v>0</v>
      </c>
      <c r="AN31" s="320">
        <f>SUM(AN25:AN30)</f>
        <v>0</v>
      </c>
      <c r="AO31" s="322">
        <f t="shared" si="111"/>
        <v>0</v>
      </c>
      <c r="AP31" s="320">
        <f>SUM(AP25:AP30)</f>
        <v>0</v>
      </c>
      <c r="AQ31" s="322">
        <f t="shared" si="113"/>
        <v>0</v>
      </c>
      <c r="AR31" s="320">
        <v>0</v>
      </c>
      <c r="AS31" s="320">
        <f>SUM(AS25:AS30)</f>
        <v>0</v>
      </c>
      <c r="AT31" s="322">
        <f t="shared" si="114"/>
        <v>0</v>
      </c>
      <c r="AU31" s="320"/>
      <c r="AV31" s="322">
        <f t="shared" si="115"/>
        <v>0</v>
      </c>
      <c r="AW31" s="320">
        <v>0</v>
      </c>
      <c r="AX31" s="320">
        <f>SUM(AX25:AX30)</f>
        <v>0</v>
      </c>
      <c r="AY31" s="322">
        <f t="shared" si="116"/>
        <v>0</v>
      </c>
      <c r="AZ31" s="320"/>
      <c r="BA31" s="322">
        <f t="shared" si="117"/>
        <v>0</v>
      </c>
      <c r="BB31" s="320">
        <v>0</v>
      </c>
      <c r="BC31" s="320">
        <f>SUM(BC25:BC30)</f>
        <v>0</v>
      </c>
      <c r="BD31" s="322">
        <f t="shared" si="118"/>
        <v>0</v>
      </c>
      <c r="BE31" s="320"/>
      <c r="BF31" s="322">
        <f t="shared" si="119"/>
        <v>0</v>
      </c>
      <c r="BG31" s="320">
        <v>0</v>
      </c>
      <c r="BH31" s="320">
        <f>SUM(BH25:BH30)</f>
        <v>0</v>
      </c>
      <c r="BI31" s="322">
        <f t="shared" si="120"/>
        <v>0</v>
      </c>
      <c r="BJ31" s="320">
        <f>SUM(BJ25:BJ30)</f>
        <v>0</v>
      </c>
      <c r="BK31" s="322">
        <f t="shared" si="121"/>
        <v>0</v>
      </c>
      <c r="BL31" s="320">
        <v>0</v>
      </c>
      <c r="BM31" s="320"/>
      <c r="BN31" s="322">
        <f t="shared" si="122"/>
        <v>0</v>
      </c>
      <c r="BO31" s="320"/>
      <c r="BP31" s="322">
        <f t="shared" si="123"/>
        <v>0</v>
      </c>
      <c r="BQ31" s="320">
        <v>0</v>
      </c>
      <c r="BR31" s="320">
        <f>SUM(BR25:BR30)</f>
        <v>0</v>
      </c>
      <c r="BS31" s="322">
        <f t="shared" si="124"/>
        <v>0</v>
      </c>
      <c r="BT31" s="320"/>
      <c r="BU31" s="322">
        <f t="shared" si="125"/>
        <v>0</v>
      </c>
      <c r="BV31" s="320">
        <v>0</v>
      </c>
      <c r="BW31" s="320">
        <f>SUM(BW25:BW30)</f>
        <v>0</v>
      </c>
      <c r="BX31" s="322">
        <f t="shared" si="126"/>
        <v>0</v>
      </c>
      <c r="BY31" s="320"/>
      <c r="BZ31" s="322">
        <f t="shared" si="127"/>
        <v>0</v>
      </c>
      <c r="CA31" s="320">
        <v>0</v>
      </c>
      <c r="CB31" s="320">
        <f>SUM(CB25:CB30)</f>
        <v>0</v>
      </c>
      <c r="CC31" s="322">
        <f t="shared" si="128"/>
        <v>0</v>
      </c>
      <c r="CD31" s="294">
        <f>SUM(CD25:CD30)</f>
        <v>0</v>
      </c>
      <c r="CE31" s="322">
        <f t="shared" si="129"/>
        <v>0</v>
      </c>
      <c r="CF31" s="320">
        <v>0</v>
      </c>
      <c r="CG31" s="320">
        <f>AN31+BH31+CB31</f>
        <v>0</v>
      </c>
      <c r="CH31" s="322">
        <f t="shared" si="131"/>
        <v>0</v>
      </c>
      <c r="CI31" s="320">
        <f t="shared" si="132"/>
        <v>0</v>
      </c>
      <c r="CJ31" s="322">
        <f t="shared" si="133"/>
        <v>0</v>
      </c>
    </row>
    <row r="32" spans="1:88" ht="14.65" thickBot="1"/>
    <row r="33" spans="1:88" ht="26.25">
      <c r="A33" s="66" t="s">
        <v>100</v>
      </c>
      <c r="B33" s="66" t="s">
        <v>149</v>
      </c>
      <c r="C33" s="66" t="s">
        <v>150</v>
      </c>
      <c r="D33" s="288" t="s">
        <v>129</v>
      </c>
      <c r="E33" s="289" t="s">
        <v>130</v>
      </c>
      <c r="F33" s="289" t="s">
        <v>33</v>
      </c>
      <c r="G33" s="289" t="s">
        <v>34</v>
      </c>
      <c r="H33" s="290" t="s">
        <v>35</v>
      </c>
      <c r="I33" s="288" t="s">
        <v>129</v>
      </c>
      <c r="J33" s="289" t="s">
        <v>130</v>
      </c>
      <c r="K33" s="289" t="s">
        <v>33</v>
      </c>
      <c r="L33" s="289" t="s">
        <v>34</v>
      </c>
      <c r="M33" s="290" t="s">
        <v>35</v>
      </c>
      <c r="N33" s="288" t="s">
        <v>129</v>
      </c>
      <c r="O33" s="289" t="s">
        <v>130</v>
      </c>
      <c r="P33" s="289" t="s">
        <v>33</v>
      </c>
      <c r="Q33" s="289" t="s">
        <v>34</v>
      </c>
      <c r="R33" s="290" t="s">
        <v>35</v>
      </c>
      <c r="S33" s="288" t="s">
        <v>129</v>
      </c>
      <c r="T33" s="289" t="s">
        <v>132</v>
      </c>
      <c r="U33" s="289" t="s">
        <v>33</v>
      </c>
      <c r="V33" s="289" t="s">
        <v>34</v>
      </c>
      <c r="W33" s="290" t="s">
        <v>133</v>
      </c>
      <c r="X33" s="288" t="s">
        <v>129</v>
      </c>
      <c r="Y33" s="289" t="s">
        <v>130</v>
      </c>
      <c r="Z33" s="289" t="s">
        <v>33</v>
      </c>
      <c r="AA33" s="289" t="s">
        <v>34</v>
      </c>
      <c r="AB33" s="290" t="s">
        <v>35</v>
      </c>
      <c r="AC33" s="288" t="s">
        <v>129</v>
      </c>
      <c r="AD33" s="289" t="s">
        <v>130</v>
      </c>
      <c r="AE33" s="289" t="s">
        <v>33</v>
      </c>
      <c r="AF33" s="289" t="s">
        <v>34</v>
      </c>
      <c r="AG33" s="290" t="s">
        <v>35</v>
      </c>
      <c r="AH33" s="288" t="s">
        <v>129</v>
      </c>
      <c r="AI33" s="289" t="s">
        <v>130</v>
      </c>
      <c r="AJ33" s="289" t="s">
        <v>33</v>
      </c>
      <c r="AK33" s="289" t="s">
        <v>34</v>
      </c>
      <c r="AL33" s="290" t="s">
        <v>35</v>
      </c>
      <c r="AM33" s="288" t="s">
        <v>129</v>
      </c>
      <c r="AN33" s="289" t="s">
        <v>130</v>
      </c>
      <c r="AO33" s="289" t="s">
        <v>33</v>
      </c>
      <c r="AP33" s="289" t="s">
        <v>34</v>
      </c>
      <c r="AQ33" s="290" t="s">
        <v>35</v>
      </c>
      <c r="AR33" s="288" t="s">
        <v>129</v>
      </c>
      <c r="AS33" s="289" t="s">
        <v>130</v>
      </c>
      <c r="AT33" s="289" t="s">
        <v>33</v>
      </c>
      <c r="AU33" s="289" t="s">
        <v>34</v>
      </c>
      <c r="AV33" s="290" t="s">
        <v>35</v>
      </c>
      <c r="AW33" s="288" t="s">
        <v>129</v>
      </c>
      <c r="AX33" s="289" t="s">
        <v>130</v>
      </c>
      <c r="AY33" s="289" t="s">
        <v>33</v>
      </c>
      <c r="AZ33" s="289" t="s">
        <v>34</v>
      </c>
      <c r="BA33" s="290" t="s">
        <v>35</v>
      </c>
      <c r="BB33" s="288" t="s">
        <v>129</v>
      </c>
      <c r="BC33" s="289" t="s">
        <v>130</v>
      </c>
      <c r="BD33" s="289" t="s">
        <v>33</v>
      </c>
      <c r="BE33" s="289" t="s">
        <v>34</v>
      </c>
      <c r="BF33" s="290" t="s">
        <v>35</v>
      </c>
      <c r="BG33" s="288" t="s">
        <v>129</v>
      </c>
      <c r="BH33" s="289" t="s">
        <v>130</v>
      </c>
      <c r="BI33" s="289" t="s">
        <v>33</v>
      </c>
      <c r="BJ33" s="289" t="s">
        <v>34</v>
      </c>
      <c r="BK33" s="290" t="s">
        <v>35</v>
      </c>
      <c r="BL33" s="288" t="s">
        <v>129</v>
      </c>
      <c r="BM33" s="289" t="s">
        <v>130</v>
      </c>
      <c r="BN33" s="289" t="s">
        <v>33</v>
      </c>
      <c r="BO33" s="289" t="s">
        <v>34</v>
      </c>
      <c r="BP33" s="290" t="s">
        <v>35</v>
      </c>
      <c r="BQ33" s="288" t="s">
        <v>129</v>
      </c>
      <c r="BR33" s="289" t="s">
        <v>130</v>
      </c>
      <c r="BS33" s="289" t="s">
        <v>33</v>
      </c>
      <c r="BT33" s="289" t="s">
        <v>34</v>
      </c>
      <c r="BU33" s="290" t="s">
        <v>35</v>
      </c>
      <c r="BV33" s="288" t="s">
        <v>129</v>
      </c>
      <c r="BW33" s="289" t="s">
        <v>130</v>
      </c>
      <c r="BX33" s="289" t="s">
        <v>33</v>
      </c>
      <c r="BY33" s="289" t="s">
        <v>34</v>
      </c>
      <c r="BZ33" s="290" t="s">
        <v>35</v>
      </c>
      <c r="CA33" s="288" t="s">
        <v>129</v>
      </c>
      <c r="CB33" s="289" t="s">
        <v>130</v>
      </c>
      <c r="CC33" s="289" t="s">
        <v>33</v>
      </c>
      <c r="CD33" s="289" t="s">
        <v>34</v>
      </c>
      <c r="CE33" s="290" t="s">
        <v>35</v>
      </c>
      <c r="CF33" s="288" t="s">
        <v>129</v>
      </c>
      <c r="CG33" s="289" t="s">
        <v>130</v>
      </c>
      <c r="CH33" s="289" t="s">
        <v>33</v>
      </c>
      <c r="CI33" s="289" t="s">
        <v>34</v>
      </c>
      <c r="CJ33" s="290" t="s">
        <v>35</v>
      </c>
    </row>
    <row r="34" spans="1:88">
      <c r="A34" s="466" t="s">
        <v>125</v>
      </c>
      <c r="B34" s="467" t="s">
        <v>124</v>
      </c>
      <c r="C34" s="339">
        <v>0.3</v>
      </c>
      <c r="D34" s="353">
        <v>20338</v>
      </c>
      <c r="E34" s="326"/>
      <c r="F34" s="327">
        <f>IFERROR(D34/E34,0)</f>
        <v>0</v>
      </c>
      <c r="G34" s="230">
        <f ca="1">D34+RANDBETWEEN(5000,50000)</f>
        <v>62397</v>
      </c>
      <c r="H34" s="327">
        <f ca="1">IFERROR(G34/E34,0)</f>
        <v>0</v>
      </c>
      <c r="I34" s="353">
        <v>26881</v>
      </c>
      <c r="J34" s="326"/>
      <c r="K34" s="327">
        <f>IFERROR(I34/J34,0)</f>
        <v>0</v>
      </c>
      <c r="L34" s="230">
        <f ca="1">I34+RANDBETWEEN(5000,50000)</f>
        <v>67097</v>
      </c>
      <c r="M34" s="327">
        <f ca="1">IFERROR(L34/J34,0)</f>
        <v>0</v>
      </c>
      <c r="N34" s="353">
        <v>60914</v>
      </c>
      <c r="O34" s="326"/>
      <c r="P34" s="327">
        <f>IFERROR(N34/O34,0)</f>
        <v>0</v>
      </c>
      <c r="Q34" s="230">
        <f ca="1">N34+RANDBETWEEN(5000,50000)</f>
        <v>95691</v>
      </c>
      <c r="R34" s="327">
        <f ca="1">IFERROR(Q34/O34,0)</f>
        <v>0</v>
      </c>
      <c r="S34" s="398">
        <v>33799</v>
      </c>
      <c r="T34" s="328">
        <f t="shared" ref="T34:T39" si="134">E34+J34+O34</f>
        <v>0</v>
      </c>
      <c r="U34" s="329">
        <f>IFERROR(S34/T34,0)</f>
        <v>0</v>
      </c>
      <c r="V34" s="295">
        <f t="shared" ref="V34:V39" ca="1" si="135">G34+L34+Q34</f>
        <v>225185</v>
      </c>
      <c r="W34" s="329">
        <f ca="1">IFERROR(V34/T34,0)</f>
        <v>0</v>
      </c>
      <c r="X34" s="353">
        <v>87195</v>
      </c>
      <c r="Y34" s="326"/>
      <c r="Z34" s="327">
        <f>IFERROR(X34/Y34,0)</f>
        <v>0</v>
      </c>
      <c r="AA34" s="230">
        <f ca="1">X34+RANDBETWEEN(5000,50000)</f>
        <v>106993</v>
      </c>
      <c r="AB34" s="327">
        <f ca="1">IFERROR(AA34/Y34,0)</f>
        <v>0</v>
      </c>
      <c r="AC34" s="353">
        <v>38946</v>
      </c>
      <c r="AD34" s="326"/>
      <c r="AE34" s="327">
        <f>IFERROR(AC34/AD34,0)</f>
        <v>0</v>
      </c>
      <c r="AF34" s="230">
        <f ca="1">AC34+RANDBETWEEN(5000,50000)</f>
        <v>61752</v>
      </c>
      <c r="AG34" s="327">
        <f ca="1">IFERROR(AF34/AD34,0)</f>
        <v>0</v>
      </c>
      <c r="AH34" s="353">
        <v>23559</v>
      </c>
      <c r="AI34" s="326"/>
      <c r="AJ34" s="327">
        <f>IFERROR(AH34/AI34,0)</f>
        <v>0</v>
      </c>
      <c r="AK34" s="230">
        <f ca="1">AH34+RANDBETWEEN(5000,50000)</f>
        <v>53680</v>
      </c>
      <c r="AL34" s="327">
        <f ca="1">IFERROR(AK34/AI34,0)</f>
        <v>0</v>
      </c>
      <c r="AM34" s="328"/>
      <c r="AN34" s="328">
        <f t="shared" ref="AN34:AN39" si="136">Y34+AD34+AI34</f>
        <v>0</v>
      </c>
      <c r="AO34" s="329">
        <f>IFERROR(AM34/AN34,0)</f>
        <v>0</v>
      </c>
      <c r="AP34" s="295">
        <f ca="1">AA34+AF34+AK34</f>
        <v>222425</v>
      </c>
      <c r="AQ34" s="329">
        <f ca="1">IFERROR(AP34/AN34,0)</f>
        <v>0</v>
      </c>
      <c r="AR34" s="353">
        <v>57426</v>
      </c>
      <c r="AS34" s="326"/>
      <c r="AT34" s="327">
        <f>IFERROR(AR34/AS34,0)</f>
        <v>0</v>
      </c>
      <c r="AU34" s="230">
        <f ca="1">AR34+RANDBETWEEN(5000,50000)</f>
        <v>84439</v>
      </c>
      <c r="AV34" s="327">
        <f ca="1">IFERROR(AU34/AS34,0)</f>
        <v>0</v>
      </c>
      <c r="AW34" s="353">
        <v>88845</v>
      </c>
      <c r="AX34" s="326"/>
      <c r="AY34" s="327">
        <f>IFERROR(AW34/AX34,0)</f>
        <v>0</v>
      </c>
      <c r="AZ34" s="230">
        <f ca="1">AW34+RANDBETWEEN(5000,50000)</f>
        <v>105399</v>
      </c>
      <c r="BA34" s="327">
        <f ca="1">IFERROR(AZ34/AX34,0)</f>
        <v>0</v>
      </c>
      <c r="BB34" s="353">
        <v>20353</v>
      </c>
      <c r="BC34" s="326"/>
      <c r="BD34" s="327">
        <f>IFERROR(BB34/BC34,0)</f>
        <v>0</v>
      </c>
      <c r="BE34" s="230">
        <f ca="1">BB34+RANDBETWEEN(5000,50000)</f>
        <v>30422</v>
      </c>
      <c r="BF34" s="327">
        <f ca="1">IFERROR(BE34/BC34,0)</f>
        <v>0</v>
      </c>
      <c r="BG34" s="328"/>
      <c r="BH34" s="328">
        <f t="shared" ref="BH34:BH39" si="137">AS34+AX34+BC34</f>
        <v>0</v>
      </c>
      <c r="BI34" s="329">
        <f>IFERROR(BG34/BH34,0)</f>
        <v>0</v>
      </c>
      <c r="BJ34" s="295">
        <f t="shared" ref="BJ34:BJ39" ca="1" si="138">AU34+AZ34+BE34</f>
        <v>220260</v>
      </c>
      <c r="BK34" s="329">
        <f ca="1">IFERROR(BJ34/BH34,0)</f>
        <v>0</v>
      </c>
      <c r="BL34" s="353">
        <v>56534</v>
      </c>
      <c r="BM34" s="326"/>
      <c r="BN34" s="327">
        <f>IFERROR(BL34/BM34,0)</f>
        <v>0</v>
      </c>
      <c r="BO34" s="230">
        <f ca="1">BL34+RANDBETWEEN(5000,50000)</f>
        <v>62724</v>
      </c>
      <c r="BP34" s="327">
        <f ca="1">IFERROR(BO34/BM34,0)</f>
        <v>0</v>
      </c>
      <c r="BQ34" s="353">
        <v>93704</v>
      </c>
      <c r="BR34" s="326"/>
      <c r="BS34" s="327">
        <f>IFERROR(BQ34/BR34,0)</f>
        <v>0</v>
      </c>
      <c r="BT34" s="230">
        <f ca="1">BQ34+RANDBETWEEN(5000,50000)</f>
        <v>125977</v>
      </c>
      <c r="BU34" s="327">
        <f ca="1">IFERROR(BT34/BR34,0)</f>
        <v>0</v>
      </c>
      <c r="BV34" s="353">
        <v>90663</v>
      </c>
      <c r="BW34" s="326"/>
      <c r="BX34" s="327">
        <f>IFERROR(BV34/BW34,0)</f>
        <v>0</v>
      </c>
      <c r="BY34" s="230">
        <f ca="1">BV34+RANDBETWEEN(5000,50000)</f>
        <v>98156</v>
      </c>
      <c r="BZ34" s="327">
        <f ca="1">IFERROR(BY34/BW34,0)</f>
        <v>0</v>
      </c>
      <c r="CA34" s="328"/>
      <c r="CB34" s="328">
        <f t="shared" ref="CB34:CB39" si="139">BM34+BR34+BW34</f>
        <v>0</v>
      </c>
      <c r="CC34" s="329">
        <f>IFERROR(CA34/CB34,0)</f>
        <v>0</v>
      </c>
      <c r="CD34" s="295">
        <f t="shared" ref="CD34:CD39" ca="1" si="140">BO34+BT34+BY34</f>
        <v>286857</v>
      </c>
      <c r="CE34" s="329">
        <f ca="1">IFERROR(CD34/CB34,0)</f>
        <v>0</v>
      </c>
      <c r="CF34" s="355">
        <v>81451</v>
      </c>
      <c r="CG34" s="297">
        <f>AN34+BH34+CB34</f>
        <v>0</v>
      </c>
      <c r="CH34" s="330">
        <f>IFERROR(CF34/CG34,0)</f>
        <v>0</v>
      </c>
      <c r="CI34" s="295">
        <f ca="1">AP34+BJ34+CD34</f>
        <v>729542</v>
      </c>
      <c r="CJ34" s="331">
        <f ca="1">IFERROR(CI34/CG34,0)</f>
        <v>0</v>
      </c>
    </row>
    <row r="35" spans="1:88">
      <c r="A35" s="67"/>
      <c r="B35" s="68"/>
      <c r="C35" s="339"/>
      <c r="D35" s="292"/>
      <c r="E35" s="326"/>
      <c r="F35" s="332">
        <f t="shared" ref="F35:F40" si="141">IFERROR(D35/E35,0)</f>
        <v>0</v>
      </c>
      <c r="G35" s="326"/>
      <c r="H35" s="332">
        <f t="shared" ref="H35:H40" si="142">IFERROR(G35/E35,0)</f>
        <v>0</v>
      </c>
      <c r="I35" s="292"/>
      <c r="J35" s="326"/>
      <c r="K35" s="332">
        <f t="shared" ref="K35:K40" si="143">IFERROR(I35/J35,0)</f>
        <v>0</v>
      </c>
      <c r="L35" s="326"/>
      <c r="M35" s="332">
        <f t="shared" ref="M35:M40" si="144">IFERROR(L35/J35,0)</f>
        <v>0</v>
      </c>
      <c r="N35" s="292"/>
      <c r="O35" s="326"/>
      <c r="P35" s="332">
        <f t="shared" ref="P35:P40" si="145">IFERROR(N35/O35,0)</f>
        <v>0</v>
      </c>
      <c r="Q35" s="326"/>
      <c r="R35" s="332">
        <f t="shared" ref="R35:R40" si="146">IFERROR(Q35/O35,0)</f>
        <v>0</v>
      </c>
      <c r="S35" s="328"/>
      <c r="T35" s="328">
        <f t="shared" si="134"/>
        <v>0</v>
      </c>
      <c r="U35" s="333">
        <f t="shared" ref="U35:U40" si="147">IFERROR(S35/T35,0)</f>
        <v>0</v>
      </c>
      <c r="V35" s="295">
        <f t="shared" si="135"/>
        <v>0</v>
      </c>
      <c r="W35" s="333">
        <f t="shared" ref="W35:W40" si="148">IFERROR(V35/T35,0)</f>
        <v>0</v>
      </c>
      <c r="X35" s="292"/>
      <c r="Y35" s="326"/>
      <c r="Z35" s="332">
        <f t="shared" ref="Z35:Z40" si="149">IFERROR(X35/Y35,0)</f>
        <v>0</v>
      </c>
      <c r="AA35" s="326"/>
      <c r="AB35" s="332">
        <f t="shared" ref="AB35:AB40" si="150">IFERROR(AA35/Y35,0)</f>
        <v>0</v>
      </c>
      <c r="AC35" s="292"/>
      <c r="AD35" s="326"/>
      <c r="AE35" s="332">
        <f t="shared" ref="AE35:AE40" si="151">IFERROR(AC35/AD35,0)</f>
        <v>0</v>
      </c>
      <c r="AF35" s="326"/>
      <c r="AG35" s="332">
        <f t="shared" ref="AG35:AG40" si="152">IFERROR(AF35/AD35,0)</f>
        <v>0</v>
      </c>
      <c r="AH35" s="292"/>
      <c r="AI35" s="326"/>
      <c r="AJ35" s="332">
        <f t="shared" ref="AJ35:AJ40" si="153">IFERROR(AH35/AI35,0)</f>
        <v>0</v>
      </c>
      <c r="AK35" s="326"/>
      <c r="AL35" s="332">
        <f t="shared" ref="AL35:AL40" si="154">IFERROR(AK35/AI35,0)</f>
        <v>0</v>
      </c>
      <c r="AM35" s="328"/>
      <c r="AN35" s="328">
        <f t="shared" si="136"/>
        <v>0</v>
      </c>
      <c r="AO35" s="333">
        <f t="shared" ref="AO35:AO40" si="155">IFERROR(AM35/AN35,0)</f>
        <v>0</v>
      </c>
      <c r="AP35" s="295">
        <f t="shared" ref="AP35:AP39" si="156">AA35+AF35+AK35</f>
        <v>0</v>
      </c>
      <c r="AQ35" s="333">
        <f t="shared" ref="AQ35:AQ40" si="157">IFERROR(AP35/AN35,0)</f>
        <v>0</v>
      </c>
      <c r="AR35" s="292"/>
      <c r="AS35" s="326"/>
      <c r="AT35" s="332">
        <f t="shared" ref="AT35:AT40" si="158">IFERROR(AR35/AS35,0)</f>
        <v>0</v>
      </c>
      <c r="AU35" s="326"/>
      <c r="AV35" s="332">
        <f t="shared" ref="AV35:AV40" si="159">IFERROR(AU35/AS35,0)</f>
        <v>0</v>
      </c>
      <c r="AW35" s="292"/>
      <c r="AX35" s="326"/>
      <c r="AY35" s="332">
        <f t="shared" ref="AY35:AY40" si="160">IFERROR(AW35/AX35,0)</f>
        <v>0</v>
      </c>
      <c r="AZ35" s="326"/>
      <c r="BA35" s="332">
        <f t="shared" ref="BA35:BA40" si="161">IFERROR(AZ35/AX35,0)</f>
        <v>0</v>
      </c>
      <c r="BB35" s="292"/>
      <c r="BC35" s="326"/>
      <c r="BD35" s="332">
        <f t="shared" ref="BD35:BD40" si="162">IFERROR(BB35/BC35,0)</f>
        <v>0</v>
      </c>
      <c r="BE35" s="326"/>
      <c r="BF35" s="332">
        <f t="shared" ref="BF35:BF40" si="163">IFERROR(BE35/BC35,0)</f>
        <v>0</v>
      </c>
      <c r="BG35" s="328"/>
      <c r="BH35" s="328">
        <f t="shared" si="137"/>
        <v>0</v>
      </c>
      <c r="BI35" s="333">
        <f t="shared" ref="BI35:BI40" si="164">IFERROR(BG35/BH35,0)</f>
        <v>0</v>
      </c>
      <c r="BJ35" s="295">
        <f t="shared" si="138"/>
        <v>0</v>
      </c>
      <c r="BK35" s="333">
        <f t="shared" ref="BK35:BK40" si="165">IFERROR(BJ35/BH35,0)</f>
        <v>0</v>
      </c>
      <c r="BL35" s="292"/>
      <c r="BM35" s="326"/>
      <c r="BN35" s="332">
        <f t="shared" ref="BN35:BN40" si="166">IFERROR(BL35/BM35,0)</f>
        <v>0</v>
      </c>
      <c r="BO35" s="326"/>
      <c r="BP35" s="332">
        <f t="shared" ref="BP35:BP40" si="167">IFERROR(BO35/BM35,0)</f>
        <v>0</v>
      </c>
      <c r="BQ35" s="292"/>
      <c r="BR35" s="326"/>
      <c r="BS35" s="332">
        <f t="shared" ref="BS35:BS40" si="168">IFERROR(BQ35/BR35,0)</f>
        <v>0</v>
      </c>
      <c r="BT35" s="326"/>
      <c r="BU35" s="332">
        <f t="shared" ref="BU35:BU40" si="169">IFERROR(BT35/BR35,0)</f>
        <v>0</v>
      </c>
      <c r="BV35" s="292"/>
      <c r="BW35" s="326"/>
      <c r="BX35" s="332">
        <f t="shared" ref="BX35:BX40" si="170">IFERROR(BV35/BW35,0)</f>
        <v>0</v>
      </c>
      <c r="BY35" s="326"/>
      <c r="BZ35" s="332">
        <f t="shared" ref="BZ35:BZ40" si="171">IFERROR(BY35/BW35,0)</f>
        <v>0</v>
      </c>
      <c r="CA35" s="328"/>
      <c r="CB35" s="328">
        <f t="shared" si="139"/>
        <v>0</v>
      </c>
      <c r="CC35" s="333">
        <f t="shared" ref="CC35:CC40" si="172">IFERROR(CA35/CB35,0)</f>
        <v>0</v>
      </c>
      <c r="CD35" s="295">
        <f t="shared" si="140"/>
        <v>0</v>
      </c>
      <c r="CE35" s="333">
        <f t="shared" ref="CE35:CE40" si="173">IFERROR(CD35/CB35,0)</f>
        <v>0</v>
      </c>
      <c r="CF35" s="297"/>
      <c r="CG35" s="297">
        <f t="shared" ref="CG35:CG39" si="174">AN35+BH35+CB35</f>
        <v>0</v>
      </c>
      <c r="CH35" s="334">
        <f t="shared" ref="CH35:CH40" si="175">IFERROR(CF35/CG35,0)</f>
        <v>0</v>
      </c>
      <c r="CI35" s="295">
        <f t="shared" ref="CI35:CI40" si="176">AP35+BJ35+CD35</f>
        <v>0</v>
      </c>
      <c r="CJ35" s="335">
        <f t="shared" ref="CJ35:CJ40" si="177">IFERROR(CI35/CG35,0)</f>
        <v>0</v>
      </c>
    </row>
    <row r="36" spans="1:88">
      <c r="A36" s="67"/>
      <c r="B36" s="68"/>
      <c r="C36" s="339"/>
      <c r="D36" s="292"/>
      <c r="E36" s="326"/>
      <c r="F36" s="332">
        <f t="shared" si="141"/>
        <v>0</v>
      </c>
      <c r="G36" s="326"/>
      <c r="H36" s="332">
        <f t="shared" si="142"/>
        <v>0</v>
      </c>
      <c r="I36" s="292"/>
      <c r="J36" s="326"/>
      <c r="K36" s="332">
        <f t="shared" si="143"/>
        <v>0</v>
      </c>
      <c r="L36" s="326"/>
      <c r="M36" s="332">
        <f t="shared" si="144"/>
        <v>0</v>
      </c>
      <c r="N36" s="292"/>
      <c r="O36" s="326"/>
      <c r="P36" s="332">
        <f t="shared" si="145"/>
        <v>0</v>
      </c>
      <c r="Q36" s="326"/>
      <c r="R36" s="332">
        <f t="shared" si="146"/>
        <v>0</v>
      </c>
      <c r="S36" s="328"/>
      <c r="T36" s="328">
        <f t="shared" si="134"/>
        <v>0</v>
      </c>
      <c r="U36" s="333">
        <f t="shared" si="147"/>
        <v>0</v>
      </c>
      <c r="V36" s="295">
        <f t="shared" si="135"/>
        <v>0</v>
      </c>
      <c r="W36" s="333">
        <f t="shared" si="148"/>
        <v>0</v>
      </c>
      <c r="X36" s="292"/>
      <c r="Y36" s="326"/>
      <c r="Z36" s="332">
        <f t="shared" si="149"/>
        <v>0</v>
      </c>
      <c r="AA36" s="326"/>
      <c r="AB36" s="332">
        <f t="shared" si="150"/>
        <v>0</v>
      </c>
      <c r="AC36" s="292"/>
      <c r="AD36" s="326"/>
      <c r="AE36" s="332">
        <f t="shared" si="151"/>
        <v>0</v>
      </c>
      <c r="AF36" s="326"/>
      <c r="AG36" s="332">
        <f t="shared" si="152"/>
        <v>0</v>
      </c>
      <c r="AH36" s="292"/>
      <c r="AI36" s="326"/>
      <c r="AJ36" s="332">
        <f t="shared" si="153"/>
        <v>0</v>
      </c>
      <c r="AK36" s="326"/>
      <c r="AL36" s="332">
        <f t="shared" si="154"/>
        <v>0</v>
      </c>
      <c r="AM36" s="328"/>
      <c r="AN36" s="328">
        <f t="shared" si="136"/>
        <v>0</v>
      </c>
      <c r="AO36" s="333">
        <f t="shared" si="155"/>
        <v>0</v>
      </c>
      <c r="AP36" s="295">
        <f t="shared" si="156"/>
        <v>0</v>
      </c>
      <c r="AQ36" s="333">
        <f t="shared" si="157"/>
        <v>0</v>
      </c>
      <c r="AR36" s="292"/>
      <c r="AS36" s="326"/>
      <c r="AT36" s="332">
        <f t="shared" si="158"/>
        <v>0</v>
      </c>
      <c r="AU36" s="326"/>
      <c r="AV36" s="332">
        <f t="shared" si="159"/>
        <v>0</v>
      </c>
      <c r="AW36" s="292"/>
      <c r="AX36" s="326"/>
      <c r="AY36" s="332">
        <f t="shared" si="160"/>
        <v>0</v>
      </c>
      <c r="AZ36" s="326"/>
      <c r="BA36" s="332">
        <f t="shared" si="161"/>
        <v>0</v>
      </c>
      <c r="BB36" s="292"/>
      <c r="BC36" s="326"/>
      <c r="BD36" s="332">
        <f t="shared" si="162"/>
        <v>0</v>
      </c>
      <c r="BE36" s="326"/>
      <c r="BF36" s="332">
        <f t="shared" si="163"/>
        <v>0</v>
      </c>
      <c r="BG36" s="328"/>
      <c r="BH36" s="328">
        <f t="shared" si="137"/>
        <v>0</v>
      </c>
      <c r="BI36" s="333">
        <f t="shared" si="164"/>
        <v>0</v>
      </c>
      <c r="BJ36" s="295">
        <f t="shared" si="138"/>
        <v>0</v>
      </c>
      <c r="BK36" s="333">
        <f t="shared" si="165"/>
        <v>0</v>
      </c>
      <c r="BL36" s="292"/>
      <c r="BM36" s="326"/>
      <c r="BN36" s="332">
        <f t="shared" si="166"/>
        <v>0</v>
      </c>
      <c r="BO36" s="326"/>
      <c r="BP36" s="332">
        <f t="shared" si="167"/>
        <v>0</v>
      </c>
      <c r="BQ36" s="292"/>
      <c r="BR36" s="326"/>
      <c r="BS36" s="332">
        <f t="shared" si="168"/>
        <v>0</v>
      </c>
      <c r="BT36" s="326"/>
      <c r="BU36" s="332">
        <f t="shared" si="169"/>
        <v>0</v>
      </c>
      <c r="BV36" s="292"/>
      <c r="BW36" s="326"/>
      <c r="BX36" s="332">
        <f t="shared" si="170"/>
        <v>0</v>
      </c>
      <c r="BY36" s="326"/>
      <c r="BZ36" s="332">
        <f t="shared" si="171"/>
        <v>0</v>
      </c>
      <c r="CA36" s="328"/>
      <c r="CB36" s="328">
        <f t="shared" si="139"/>
        <v>0</v>
      </c>
      <c r="CC36" s="333">
        <f t="shared" si="172"/>
        <v>0</v>
      </c>
      <c r="CD36" s="295">
        <f t="shared" si="140"/>
        <v>0</v>
      </c>
      <c r="CE36" s="333">
        <f t="shared" si="173"/>
        <v>0</v>
      </c>
      <c r="CF36" s="297"/>
      <c r="CG36" s="297">
        <f t="shared" si="174"/>
        <v>0</v>
      </c>
      <c r="CH36" s="334">
        <f t="shared" si="175"/>
        <v>0</v>
      </c>
      <c r="CI36" s="295">
        <f t="shared" si="176"/>
        <v>0</v>
      </c>
      <c r="CJ36" s="335">
        <f t="shared" si="177"/>
        <v>0</v>
      </c>
    </row>
    <row r="37" spans="1:88">
      <c r="A37" s="67"/>
      <c r="B37" s="68"/>
      <c r="C37" s="339"/>
      <c r="D37" s="292"/>
      <c r="E37" s="326"/>
      <c r="F37" s="332">
        <f t="shared" si="141"/>
        <v>0</v>
      </c>
      <c r="G37" s="326"/>
      <c r="H37" s="332">
        <f t="shared" si="142"/>
        <v>0</v>
      </c>
      <c r="I37" s="292"/>
      <c r="J37" s="326"/>
      <c r="K37" s="332">
        <f t="shared" si="143"/>
        <v>0</v>
      </c>
      <c r="L37" s="326"/>
      <c r="M37" s="332">
        <f t="shared" si="144"/>
        <v>0</v>
      </c>
      <c r="N37" s="292"/>
      <c r="O37" s="326"/>
      <c r="P37" s="332">
        <f t="shared" si="145"/>
        <v>0</v>
      </c>
      <c r="Q37" s="326"/>
      <c r="R37" s="332">
        <f t="shared" si="146"/>
        <v>0</v>
      </c>
      <c r="S37" s="328"/>
      <c r="T37" s="328">
        <f t="shared" si="134"/>
        <v>0</v>
      </c>
      <c r="U37" s="333">
        <f t="shared" si="147"/>
        <v>0</v>
      </c>
      <c r="V37" s="295">
        <f t="shared" si="135"/>
        <v>0</v>
      </c>
      <c r="W37" s="333">
        <f t="shared" si="148"/>
        <v>0</v>
      </c>
      <c r="X37" s="292"/>
      <c r="Y37" s="326"/>
      <c r="Z37" s="332">
        <f t="shared" si="149"/>
        <v>0</v>
      </c>
      <c r="AA37" s="326"/>
      <c r="AB37" s="332">
        <f t="shared" si="150"/>
        <v>0</v>
      </c>
      <c r="AC37" s="292"/>
      <c r="AD37" s="326"/>
      <c r="AE37" s="332">
        <f t="shared" si="151"/>
        <v>0</v>
      </c>
      <c r="AF37" s="326"/>
      <c r="AG37" s="332">
        <f t="shared" si="152"/>
        <v>0</v>
      </c>
      <c r="AH37" s="292"/>
      <c r="AI37" s="326"/>
      <c r="AJ37" s="332">
        <f t="shared" si="153"/>
        <v>0</v>
      </c>
      <c r="AK37" s="326"/>
      <c r="AL37" s="332">
        <f t="shared" si="154"/>
        <v>0</v>
      </c>
      <c r="AM37" s="328"/>
      <c r="AN37" s="328">
        <f t="shared" si="136"/>
        <v>0</v>
      </c>
      <c r="AO37" s="333">
        <f t="shared" si="155"/>
        <v>0</v>
      </c>
      <c r="AP37" s="295">
        <f t="shared" si="156"/>
        <v>0</v>
      </c>
      <c r="AQ37" s="333">
        <f t="shared" si="157"/>
        <v>0</v>
      </c>
      <c r="AR37" s="292"/>
      <c r="AS37" s="326"/>
      <c r="AT37" s="332">
        <f t="shared" si="158"/>
        <v>0</v>
      </c>
      <c r="AU37" s="326"/>
      <c r="AV37" s="332">
        <f t="shared" si="159"/>
        <v>0</v>
      </c>
      <c r="AW37" s="292"/>
      <c r="AX37" s="326"/>
      <c r="AY37" s="332">
        <f t="shared" si="160"/>
        <v>0</v>
      </c>
      <c r="AZ37" s="326"/>
      <c r="BA37" s="332">
        <f t="shared" si="161"/>
        <v>0</v>
      </c>
      <c r="BB37" s="292"/>
      <c r="BC37" s="326"/>
      <c r="BD37" s="332">
        <f t="shared" si="162"/>
        <v>0</v>
      </c>
      <c r="BE37" s="326"/>
      <c r="BF37" s="332">
        <f t="shared" si="163"/>
        <v>0</v>
      </c>
      <c r="BG37" s="328"/>
      <c r="BH37" s="328">
        <f t="shared" si="137"/>
        <v>0</v>
      </c>
      <c r="BI37" s="333">
        <f t="shared" si="164"/>
        <v>0</v>
      </c>
      <c r="BJ37" s="295">
        <f t="shared" si="138"/>
        <v>0</v>
      </c>
      <c r="BK37" s="333">
        <f t="shared" si="165"/>
        <v>0</v>
      </c>
      <c r="BL37" s="292"/>
      <c r="BM37" s="326"/>
      <c r="BN37" s="332">
        <f t="shared" si="166"/>
        <v>0</v>
      </c>
      <c r="BO37" s="326"/>
      <c r="BP37" s="332">
        <f t="shared" si="167"/>
        <v>0</v>
      </c>
      <c r="BQ37" s="292"/>
      <c r="BR37" s="326"/>
      <c r="BS37" s="332">
        <f t="shared" si="168"/>
        <v>0</v>
      </c>
      <c r="BT37" s="326"/>
      <c r="BU37" s="332">
        <f t="shared" si="169"/>
        <v>0</v>
      </c>
      <c r="BV37" s="292"/>
      <c r="BW37" s="326"/>
      <c r="BX37" s="332">
        <f t="shared" si="170"/>
        <v>0</v>
      </c>
      <c r="BY37" s="326"/>
      <c r="BZ37" s="332">
        <f t="shared" si="171"/>
        <v>0</v>
      </c>
      <c r="CA37" s="328"/>
      <c r="CB37" s="328">
        <f t="shared" si="139"/>
        <v>0</v>
      </c>
      <c r="CC37" s="333">
        <f t="shared" si="172"/>
        <v>0</v>
      </c>
      <c r="CD37" s="295">
        <f t="shared" si="140"/>
        <v>0</v>
      </c>
      <c r="CE37" s="333">
        <f t="shared" si="173"/>
        <v>0</v>
      </c>
      <c r="CF37" s="297"/>
      <c r="CG37" s="297">
        <f t="shared" si="174"/>
        <v>0</v>
      </c>
      <c r="CH37" s="334">
        <f t="shared" si="175"/>
        <v>0</v>
      </c>
      <c r="CI37" s="295">
        <f t="shared" si="176"/>
        <v>0</v>
      </c>
      <c r="CJ37" s="335">
        <f t="shared" si="177"/>
        <v>0</v>
      </c>
    </row>
    <row r="38" spans="1:88">
      <c r="A38" s="67"/>
      <c r="B38" s="68"/>
      <c r="C38" s="339"/>
      <c r="D38" s="292"/>
      <c r="E38" s="326"/>
      <c r="F38" s="332">
        <f t="shared" si="141"/>
        <v>0</v>
      </c>
      <c r="G38" s="326"/>
      <c r="H38" s="332">
        <f t="shared" si="142"/>
        <v>0</v>
      </c>
      <c r="I38" s="292"/>
      <c r="J38" s="326"/>
      <c r="K38" s="332">
        <f t="shared" si="143"/>
        <v>0</v>
      </c>
      <c r="L38" s="326"/>
      <c r="M38" s="332">
        <f t="shared" si="144"/>
        <v>0</v>
      </c>
      <c r="N38" s="292"/>
      <c r="O38" s="326"/>
      <c r="P38" s="332">
        <f t="shared" si="145"/>
        <v>0</v>
      </c>
      <c r="Q38" s="326"/>
      <c r="R38" s="332">
        <f t="shared" si="146"/>
        <v>0</v>
      </c>
      <c r="S38" s="328"/>
      <c r="T38" s="328">
        <f t="shared" si="134"/>
        <v>0</v>
      </c>
      <c r="U38" s="333">
        <f t="shared" si="147"/>
        <v>0</v>
      </c>
      <c r="V38" s="295">
        <f t="shared" si="135"/>
        <v>0</v>
      </c>
      <c r="W38" s="333">
        <f t="shared" si="148"/>
        <v>0</v>
      </c>
      <c r="X38" s="292"/>
      <c r="Y38" s="326"/>
      <c r="Z38" s="332">
        <f t="shared" si="149"/>
        <v>0</v>
      </c>
      <c r="AA38" s="326"/>
      <c r="AB38" s="332">
        <f t="shared" si="150"/>
        <v>0</v>
      </c>
      <c r="AC38" s="292"/>
      <c r="AD38" s="326"/>
      <c r="AE38" s="332">
        <f t="shared" si="151"/>
        <v>0</v>
      </c>
      <c r="AF38" s="326"/>
      <c r="AG38" s="332">
        <f t="shared" si="152"/>
        <v>0</v>
      </c>
      <c r="AH38" s="292"/>
      <c r="AI38" s="326"/>
      <c r="AJ38" s="332">
        <f t="shared" si="153"/>
        <v>0</v>
      </c>
      <c r="AK38" s="326"/>
      <c r="AL38" s="332">
        <f t="shared" si="154"/>
        <v>0</v>
      </c>
      <c r="AM38" s="328"/>
      <c r="AN38" s="328">
        <f t="shared" si="136"/>
        <v>0</v>
      </c>
      <c r="AO38" s="333">
        <f t="shared" si="155"/>
        <v>0</v>
      </c>
      <c r="AP38" s="295">
        <f t="shared" si="156"/>
        <v>0</v>
      </c>
      <c r="AQ38" s="333">
        <f t="shared" si="157"/>
        <v>0</v>
      </c>
      <c r="AR38" s="292"/>
      <c r="AS38" s="326"/>
      <c r="AT38" s="332">
        <f t="shared" si="158"/>
        <v>0</v>
      </c>
      <c r="AU38" s="326"/>
      <c r="AV38" s="332">
        <f t="shared" si="159"/>
        <v>0</v>
      </c>
      <c r="AW38" s="292"/>
      <c r="AX38" s="326"/>
      <c r="AY38" s="332">
        <f t="shared" si="160"/>
        <v>0</v>
      </c>
      <c r="AZ38" s="326"/>
      <c r="BA38" s="332">
        <f t="shared" si="161"/>
        <v>0</v>
      </c>
      <c r="BB38" s="292"/>
      <c r="BC38" s="326"/>
      <c r="BD38" s="332">
        <f t="shared" si="162"/>
        <v>0</v>
      </c>
      <c r="BE38" s="326"/>
      <c r="BF38" s="332">
        <f t="shared" si="163"/>
        <v>0</v>
      </c>
      <c r="BG38" s="328"/>
      <c r="BH38" s="328">
        <f t="shared" si="137"/>
        <v>0</v>
      </c>
      <c r="BI38" s="333">
        <f t="shared" si="164"/>
        <v>0</v>
      </c>
      <c r="BJ38" s="295">
        <f t="shared" si="138"/>
        <v>0</v>
      </c>
      <c r="BK38" s="333">
        <f t="shared" si="165"/>
        <v>0</v>
      </c>
      <c r="BL38" s="292"/>
      <c r="BM38" s="326"/>
      <c r="BN38" s="332">
        <f t="shared" si="166"/>
        <v>0</v>
      </c>
      <c r="BO38" s="326"/>
      <c r="BP38" s="332">
        <f t="shared" si="167"/>
        <v>0</v>
      </c>
      <c r="BQ38" s="292"/>
      <c r="BR38" s="326"/>
      <c r="BS38" s="332">
        <f t="shared" si="168"/>
        <v>0</v>
      </c>
      <c r="BT38" s="326"/>
      <c r="BU38" s="332">
        <f t="shared" si="169"/>
        <v>0</v>
      </c>
      <c r="BV38" s="292"/>
      <c r="BW38" s="326"/>
      <c r="BX38" s="332">
        <f t="shared" si="170"/>
        <v>0</v>
      </c>
      <c r="BY38" s="326"/>
      <c r="BZ38" s="332">
        <f t="shared" si="171"/>
        <v>0</v>
      </c>
      <c r="CA38" s="328"/>
      <c r="CB38" s="328">
        <f t="shared" si="139"/>
        <v>0</v>
      </c>
      <c r="CC38" s="333">
        <f t="shared" si="172"/>
        <v>0</v>
      </c>
      <c r="CD38" s="295">
        <f t="shared" si="140"/>
        <v>0</v>
      </c>
      <c r="CE38" s="333">
        <f t="shared" si="173"/>
        <v>0</v>
      </c>
      <c r="CF38" s="297"/>
      <c r="CG38" s="297">
        <f t="shared" si="174"/>
        <v>0</v>
      </c>
      <c r="CH38" s="334">
        <f t="shared" si="175"/>
        <v>0</v>
      </c>
      <c r="CI38" s="295">
        <f t="shared" si="176"/>
        <v>0</v>
      </c>
      <c r="CJ38" s="335">
        <f t="shared" si="177"/>
        <v>0</v>
      </c>
    </row>
    <row r="39" spans="1:88">
      <c r="A39" s="67"/>
      <c r="B39" s="68"/>
      <c r="C39" s="339"/>
      <c r="D39" s="292"/>
      <c r="E39" s="326"/>
      <c r="F39" s="332">
        <f t="shared" si="141"/>
        <v>0</v>
      </c>
      <c r="G39" s="326"/>
      <c r="H39" s="332">
        <f t="shared" si="142"/>
        <v>0</v>
      </c>
      <c r="I39" s="292"/>
      <c r="J39" s="326"/>
      <c r="K39" s="332">
        <f t="shared" si="143"/>
        <v>0</v>
      </c>
      <c r="L39" s="326"/>
      <c r="M39" s="332">
        <f t="shared" si="144"/>
        <v>0</v>
      </c>
      <c r="N39" s="292"/>
      <c r="O39" s="326"/>
      <c r="P39" s="332">
        <f t="shared" si="145"/>
        <v>0</v>
      </c>
      <c r="Q39" s="326"/>
      <c r="R39" s="332">
        <f t="shared" si="146"/>
        <v>0</v>
      </c>
      <c r="S39" s="328"/>
      <c r="T39" s="328">
        <f t="shared" si="134"/>
        <v>0</v>
      </c>
      <c r="U39" s="333">
        <f t="shared" si="147"/>
        <v>0</v>
      </c>
      <c r="V39" s="295">
        <f t="shared" si="135"/>
        <v>0</v>
      </c>
      <c r="W39" s="333">
        <f t="shared" si="148"/>
        <v>0</v>
      </c>
      <c r="X39" s="292"/>
      <c r="Y39" s="326"/>
      <c r="Z39" s="332">
        <f t="shared" si="149"/>
        <v>0</v>
      </c>
      <c r="AA39" s="326"/>
      <c r="AB39" s="332">
        <f t="shared" si="150"/>
        <v>0</v>
      </c>
      <c r="AC39" s="292"/>
      <c r="AD39" s="326"/>
      <c r="AE39" s="332">
        <f t="shared" si="151"/>
        <v>0</v>
      </c>
      <c r="AF39" s="326"/>
      <c r="AG39" s="332">
        <f t="shared" si="152"/>
        <v>0</v>
      </c>
      <c r="AH39" s="292"/>
      <c r="AI39" s="326"/>
      <c r="AJ39" s="332">
        <f t="shared" si="153"/>
        <v>0</v>
      </c>
      <c r="AK39" s="326"/>
      <c r="AL39" s="332">
        <f t="shared" si="154"/>
        <v>0</v>
      </c>
      <c r="AM39" s="328"/>
      <c r="AN39" s="328">
        <f t="shared" si="136"/>
        <v>0</v>
      </c>
      <c r="AO39" s="333">
        <f t="shared" si="155"/>
        <v>0</v>
      </c>
      <c r="AP39" s="295">
        <f t="shared" si="156"/>
        <v>0</v>
      </c>
      <c r="AQ39" s="333">
        <f t="shared" si="157"/>
        <v>0</v>
      </c>
      <c r="AR39" s="292"/>
      <c r="AS39" s="326"/>
      <c r="AT39" s="332">
        <f t="shared" si="158"/>
        <v>0</v>
      </c>
      <c r="AU39" s="326"/>
      <c r="AV39" s="332">
        <f t="shared" si="159"/>
        <v>0</v>
      </c>
      <c r="AW39" s="292"/>
      <c r="AX39" s="326"/>
      <c r="AY39" s="332">
        <f t="shared" si="160"/>
        <v>0</v>
      </c>
      <c r="AZ39" s="326"/>
      <c r="BA39" s="332">
        <f t="shared" si="161"/>
        <v>0</v>
      </c>
      <c r="BB39" s="292"/>
      <c r="BC39" s="326"/>
      <c r="BD39" s="332">
        <f t="shared" si="162"/>
        <v>0</v>
      </c>
      <c r="BE39" s="326"/>
      <c r="BF39" s="332">
        <f t="shared" si="163"/>
        <v>0</v>
      </c>
      <c r="BG39" s="328"/>
      <c r="BH39" s="328">
        <f t="shared" si="137"/>
        <v>0</v>
      </c>
      <c r="BI39" s="333">
        <f t="shared" si="164"/>
        <v>0</v>
      </c>
      <c r="BJ39" s="295">
        <f t="shared" si="138"/>
        <v>0</v>
      </c>
      <c r="BK39" s="333">
        <f t="shared" si="165"/>
        <v>0</v>
      </c>
      <c r="BL39" s="292"/>
      <c r="BM39" s="326"/>
      <c r="BN39" s="332">
        <f t="shared" si="166"/>
        <v>0</v>
      </c>
      <c r="BO39" s="326"/>
      <c r="BP39" s="332">
        <f t="shared" si="167"/>
        <v>0</v>
      </c>
      <c r="BQ39" s="292"/>
      <c r="BR39" s="326"/>
      <c r="BS39" s="332">
        <f t="shared" si="168"/>
        <v>0</v>
      </c>
      <c r="BT39" s="326"/>
      <c r="BU39" s="332">
        <f t="shared" si="169"/>
        <v>0</v>
      </c>
      <c r="BV39" s="292"/>
      <c r="BW39" s="326"/>
      <c r="BX39" s="332">
        <f t="shared" si="170"/>
        <v>0</v>
      </c>
      <c r="BY39" s="326"/>
      <c r="BZ39" s="332">
        <f t="shared" si="171"/>
        <v>0</v>
      </c>
      <c r="CA39" s="328"/>
      <c r="CB39" s="328">
        <f t="shared" si="139"/>
        <v>0</v>
      </c>
      <c r="CC39" s="333">
        <f t="shared" si="172"/>
        <v>0</v>
      </c>
      <c r="CD39" s="295">
        <f t="shared" si="140"/>
        <v>0</v>
      </c>
      <c r="CE39" s="333">
        <f t="shared" si="173"/>
        <v>0</v>
      </c>
      <c r="CF39" s="297"/>
      <c r="CG39" s="297">
        <f t="shared" si="174"/>
        <v>0</v>
      </c>
      <c r="CH39" s="334">
        <f t="shared" si="175"/>
        <v>0</v>
      </c>
      <c r="CI39" s="295">
        <f t="shared" si="176"/>
        <v>0</v>
      </c>
      <c r="CJ39" s="335">
        <f t="shared" si="177"/>
        <v>0</v>
      </c>
    </row>
    <row r="40" spans="1:88">
      <c r="A40" s="66"/>
      <c r="B40" s="66" t="s">
        <v>128</v>
      </c>
      <c r="C40" s="66"/>
      <c r="D40" s="336">
        <v>20338</v>
      </c>
      <c r="E40" s="336">
        <f>SUM(E34:E39)</f>
        <v>0</v>
      </c>
      <c r="F40" s="322">
        <f t="shared" si="141"/>
        <v>0</v>
      </c>
      <c r="G40" s="320">
        <f ca="1">SUM(G34:G39)</f>
        <v>62397</v>
      </c>
      <c r="H40" s="322">
        <f t="shared" ca="1" si="142"/>
        <v>0</v>
      </c>
      <c r="I40" s="320">
        <v>26881</v>
      </c>
      <c r="J40" s="320">
        <f>SUM(J34:J39)</f>
        <v>0</v>
      </c>
      <c r="K40" s="322">
        <f t="shared" si="143"/>
        <v>0</v>
      </c>
      <c r="L40" s="320">
        <f ca="1">SUM(L34:L39)</f>
        <v>67097</v>
      </c>
      <c r="M40" s="322">
        <f t="shared" ca="1" si="144"/>
        <v>0</v>
      </c>
      <c r="N40" s="320">
        <v>60914</v>
      </c>
      <c r="O40" s="320">
        <f>SUM(O34:O39)</f>
        <v>0</v>
      </c>
      <c r="P40" s="322">
        <f t="shared" si="145"/>
        <v>0</v>
      </c>
      <c r="Q40" s="320">
        <f ca="1">SUM(Q34:Q39)</f>
        <v>95691</v>
      </c>
      <c r="R40" s="322">
        <f t="shared" ca="1" si="146"/>
        <v>0</v>
      </c>
      <c r="S40" s="320">
        <v>33799</v>
      </c>
      <c r="T40" s="320">
        <f>SUM(T34:T39)</f>
        <v>0</v>
      </c>
      <c r="U40" s="322">
        <f t="shared" si="147"/>
        <v>0</v>
      </c>
      <c r="V40" s="320">
        <f ca="1">SUM(V34:V39)</f>
        <v>225185</v>
      </c>
      <c r="W40" s="322">
        <f t="shared" ca="1" si="148"/>
        <v>0</v>
      </c>
      <c r="X40" s="320">
        <v>87195</v>
      </c>
      <c r="Y40" s="320">
        <f>SUM(Y34:Y39)</f>
        <v>0</v>
      </c>
      <c r="Z40" s="322">
        <f t="shared" si="149"/>
        <v>0</v>
      </c>
      <c r="AA40" s="320">
        <v>45</v>
      </c>
      <c r="AB40" s="322">
        <f t="shared" si="150"/>
        <v>0</v>
      </c>
      <c r="AC40" s="320">
        <v>38946</v>
      </c>
      <c r="AD40" s="320">
        <f>SUM(AD34:AD39)</f>
        <v>0</v>
      </c>
      <c r="AE40" s="322">
        <f t="shared" si="151"/>
        <v>0</v>
      </c>
      <c r="AF40" s="320">
        <v>45</v>
      </c>
      <c r="AG40" s="322">
        <f t="shared" si="152"/>
        <v>0</v>
      </c>
      <c r="AH40" s="320">
        <v>23559</v>
      </c>
      <c r="AI40" s="320">
        <f>SUM(AI34:AI39)</f>
        <v>0</v>
      </c>
      <c r="AJ40" s="322">
        <f t="shared" si="153"/>
        <v>0</v>
      </c>
      <c r="AK40" s="320">
        <f ca="1">SUM(AK34:AK39)</f>
        <v>53680</v>
      </c>
      <c r="AL40" s="322">
        <f t="shared" ca="1" si="154"/>
        <v>0</v>
      </c>
      <c r="AM40" s="320">
        <v>0</v>
      </c>
      <c r="AN40" s="320">
        <f>SUM(AN34:AN39)</f>
        <v>0</v>
      </c>
      <c r="AO40" s="322">
        <f t="shared" si="155"/>
        <v>0</v>
      </c>
      <c r="AP40" s="320">
        <f ca="1">SUM(AP34:AP39)</f>
        <v>222425</v>
      </c>
      <c r="AQ40" s="322">
        <f t="shared" ca="1" si="157"/>
        <v>0</v>
      </c>
      <c r="AR40" s="320">
        <v>57426</v>
      </c>
      <c r="AS40" s="320">
        <f>SUM(AS34:AS39)</f>
        <v>0</v>
      </c>
      <c r="AT40" s="322">
        <f t="shared" si="158"/>
        <v>0</v>
      </c>
      <c r="AU40" s="320">
        <f ca="1">SUM(AU34:AU39)</f>
        <v>84439</v>
      </c>
      <c r="AV40" s="322">
        <f t="shared" ca="1" si="159"/>
        <v>0</v>
      </c>
      <c r="AW40" s="320">
        <v>88845</v>
      </c>
      <c r="AX40" s="320">
        <f>SUM(AX34:AX39)</f>
        <v>0</v>
      </c>
      <c r="AY40" s="322">
        <f t="shared" si="160"/>
        <v>0</v>
      </c>
      <c r="AZ40" s="320">
        <v>45</v>
      </c>
      <c r="BA40" s="322">
        <f t="shared" si="161"/>
        <v>0</v>
      </c>
      <c r="BB40" s="320">
        <v>20353</v>
      </c>
      <c r="BC40" s="320">
        <f>SUM(BC34:BC39)</f>
        <v>0</v>
      </c>
      <c r="BD40" s="322">
        <f t="shared" si="162"/>
        <v>0</v>
      </c>
      <c r="BE40" s="320">
        <v>45</v>
      </c>
      <c r="BF40" s="322">
        <f t="shared" si="163"/>
        <v>0</v>
      </c>
      <c r="BG40" s="320">
        <v>0</v>
      </c>
      <c r="BH40" s="320">
        <f>SUM(BH34:BH39)</f>
        <v>0</v>
      </c>
      <c r="BI40" s="322">
        <f t="shared" si="164"/>
        <v>0</v>
      </c>
      <c r="BJ40" s="320">
        <f ca="1">SUM(BJ34:BJ39)</f>
        <v>220260</v>
      </c>
      <c r="BK40" s="322">
        <f t="shared" ca="1" si="165"/>
        <v>0</v>
      </c>
      <c r="BL40" s="320">
        <v>56534</v>
      </c>
      <c r="BM40" s="320"/>
      <c r="BN40" s="322">
        <f t="shared" si="166"/>
        <v>0</v>
      </c>
      <c r="BO40" s="320">
        <v>45</v>
      </c>
      <c r="BP40" s="322">
        <f t="shared" si="167"/>
        <v>0</v>
      </c>
      <c r="BQ40" s="320">
        <v>93704</v>
      </c>
      <c r="BR40" s="320">
        <f>SUM(BR34:BR39)</f>
        <v>0</v>
      </c>
      <c r="BS40" s="322">
        <f t="shared" si="168"/>
        <v>0</v>
      </c>
      <c r="BT40" s="320">
        <v>45</v>
      </c>
      <c r="BU40" s="322">
        <f t="shared" si="169"/>
        <v>0</v>
      </c>
      <c r="BV40" s="320">
        <v>90663</v>
      </c>
      <c r="BW40" s="320">
        <f>SUM(BW34:BW39)</f>
        <v>0</v>
      </c>
      <c r="BX40" s="322">
        <f t="shared" si="170"/>
        <v>0</v>
      </c>
      <c r="BY40" s="320">
        <v>45</v>
      </c>
      <c r="BZ40" s="322">
        <f t="shared" si="171"/>
        <v>0</v>
      </c>
      <c r="CA40" s="320">
        <v>0</v>
      </c>
      <c r="CB40" s="320">
        <f>SUM(CB34:CB39)</f>
        <v>0</v>
      </c>
      <c r="CC40" s="322">
        <f t="shared" si="172"/>
        <v>0</v>
      </c>
      <c r="CD40" s="320">
        <f ca="1">SUM(CD34:CD39)</f>
        <v>286857</v>
      </c>
      <c r="CE40" s="322">
        <f t="shared" ca="1" si="173"/>
        <v>0</v>
      </c>
      <c r="CF40" s="320">
        <v>81451</v>
      </c>
      <c r="CG40" s="320">
        <f>AN40+BH40+CB40</f>
        <v>0</v>
      </c>
      <c r="CH40" s="322">
        <f t="shared" si="175"/>
        <v>0</v>
      </c>
      <c r="CI40" s="320">
        <f t="shared" ca="1" si="176"/>
        <v>729542</v>
      </c>
      <c r="CJ40" s="322">
        <f t="shared" ca="1" si="177"/>
        <v>0</v>
      </c>
    </row>
    <row r="41" spans="1:88" ht="14.65" thickBot="1">
      <c r="A41" s="7"/>
      <c r="B41" s="7"/>
      <c r="C41" s="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7"/>
      <c r="V41" s="337"/>
      <c r="W41" s="337"/>
      <c r="X41" s="337"/>
      <c r="Y41" s="337"/>
      <c r="Z41" s="337"/>
      <c r="AA41" s="337"/>
      <c r="AB41" s="337"/>
      <c r="AC41" s="337"/>
      <c r="AD41" s="337"/>
      <c r="AE41" s="337"/>
      <c r="AF41" s="337"/>
      <c r="AG41" s="337"/>
      <c r="AH41" s="337"/>
      <c r="AI41" s="337"/>
      <c r="AJ41" s="337"/>
      <c r="AK41" s="337"/>
      <c r="AL41" s="337"/>
      <c r="AM41" s="337"/>
      <c r="AN41" s="337"/>
      <c r="AO41" s="337"/>
      <c r="AP41" s="337"/>
      <c r="AQ41" s="337"/>
      <c r="AR41" s="337"/>
      <c r="AS41" s="337"/>
      <c r="AT41" s="337"/>
      <c r="AU41" s="337"/>
      <c r="AV41" s="337"/>
      <c r="AW41" s="337"/>
      <c r="AX41" s="337"/>
      <c r="AY41" s="337"/>
      <c r="AZ41" s="337"/>
      <c r="BA41" s="337"/>
      <c r="BB41" s="337"/>
      <c r="BC41" s="337"/>
      <c r="BD41" s="337"/>
      <c r="BE41" s="337"/>
      <c r="BF41" s="337"/>
      <c r="BG41" s="337"/>
      <c r="BH41" s="337"/>
      <c r="BI41" s="337"/>
      <c r="BJ41" s="337"/>
      <c r="BK41" s="337"/>
      <c r="BL41" s="337"/>
      <c r="BM41" s="337"/>
      <c r="BN41" s="338"/>
      <c r="BO41" s="337"/>
      <c r="BP41" s="338"/>
      <c r="BQ41" s="337"/>
      <c r="BR41" s="337"/>
      <c r="BS41" s="337"/>
      <c r="BT41" s="337"/>
      <c r="BU41" s="337"/>
      <c r="BV41" s="337"/>
      <c r="BW41" s="337"/>
      <c r="BX41" s="337"/>
      <c r="BY41" s="337"/>
      <c r="BZ41" s="337"/>
      <c r="CA41" s="337"/>
      <c r="CB41" s="337"/>
      <c r="CC41" s="337"/>
      <c r="CD41" s="337"/>
      <c r="CE41" s="337"/>
      <c r="CF41" s="337"/>
      <c r="CG41" s="337"/>
      <c r="CH41" s="337"/>
      <c r="CI41" s="337"/>
      <c r="CJ41" s="337"/>
    </row>
    <row r="42" spans="1:88" ht="26.25">
      <c r="A42" s="66" t="s">
        <v>101</v>
      </c>
      <c r="B42" s="66" t="s">
        <v>149</v>
      </c>
      <c r="C42" s="66" t="s">
        <v>150</v>
      </c>
      <c r="D42" s="288" t="s">
        <v>129</v>
      </c>
      <c r="E42" s="289" t="s">
        <v>130</v>
      </c>
      <c r="F42" s="289" t="s">
        <v>33</v>
      </c>
      <c r="G42" s="289" t="s">
        <v>34</v>
      </c>
      <c r="H42" s="290" t="s">
        <v>35</v>
      </c>
      <c r="I42" s="288" t="s">
        <v>129</v>
      </c>
      <c r="J42" s="289" t="s">
        <v>130</v>
      </c>
      <c r="K42" s="289" t="s">
        <v>33</v>
      </c>
      <c r="L42" s="289" t="s">
        <v>34</v>
      </c>
      <c r="M42" s="290" t="s">
        <v>35</v>
      </c>
      <c r="N42" s="288" t="s">
        <v>129</v>
      </c>
      <c r="O42" s="289" t="s">
        <v>130</v>
      </c>
      <c r="P42" s="289" t="s">
        <v>33</v>
      </c>
      <c r="Q42" s="289" t="s">
        <v>34</v>
      </c>
      <c r="R42" s="290" t="s">
        <v>35</v>
      </c>
      <c r="S42" s="288" t="s">
        <v>129</v>
      </c>
      <c r="T42" s="289" t="s">
        <v>132</v>
      </c>
      <c r="U42" s="289" t="s">
        <v>33</v>
      </c>
      <c r="V42" s="289" t="s">
        <v>34</v>
      </c>
      <c r="W42" s="290" t="s">
        <v>133</v>
      </c>
      <c r="X42" s="288" t="s">
        <v>129</v>
      </c>
      <c r="Y42" s="289" t="s">
        <v>130</v>
      </c>
      <c r="Z42" s="289" t="s">
        <v>33</v>
      </c>
      <c r="AA42" s="289" t="s">
        <v>34</v>
      </c>
      <c r="AB42" s="290" t="s">
        <v>35</v>
      </c>
      <c r="AC42" s="288" t="s">
        <v>129</v>
      </c>
      <c r="AD42" s="289" t="s">
        <v>130</v>
      </c>
      <c r="AE42" s="289" t="s">
        <v>33</v>
      </c>
      <c r="AF42" s="289" t="s">
        <v>34</v>
      </c>
      <c r="AG42" s="290" t="s">
        <v>35</v>
      </c>
      <c r="AH42" s="288" t="s">
        <v>129</v>
      </c>
      <c r="AI42" s="289" t="s">
        <v>130</v>
      </c>
      <c r="AJ42" s="289" t="s">
        <v>33</v>
      </c>
      <c r="AK42" s="289" t="s">
        <v>34</v>
      </c>
      <c r="AL42" s="290" t="s">
        <v>35</v>
      </c>
      <c r="AM42" s="288" t="s">
        <v>129</v>
      </c>
      <c r="AN42" s="289" t="s">
        <v>130</v>
      </c>
      <c r="AO42" s="289" t="s">
        <v>33</v>
      </c>
      <c r="AP42" s="289" t="s">
        <v>34</v>
      </c>
      <c r="AQ42" s="290" t="s">
        <v>35</v>
      </c>
      <c r="AR42" s="288" t="s">
        <v>129</v>
      </c>
      <c r="AS42" s="289" t="s">
        <v>130</v>
      </c>
      <c r="AT42" s="289" t="s">
        <v>33</v>
      </c>
      <c r="AU42" s="289" t="s">
        <v>34</v>
      </c>
      <c r="AV42" s="290" t="s">
        <v>35</v>
      </c>
      <c r="AW42" s="288" t="s">
        <v>129</v>
      </c>
      <c r="AX42" s="289" t="s">
        <v>130</v>
      </c>
      <c r="AY42" s="289" t="s">
        <v>33</v>
      </c>
      <c r="AZ42" s="289" t="s">
        <v>34</v>
      </c>
      <c r="BA42" s="290" t="s">
        <v>35</v>
      </c>
      <c r="BB42" s="288" t="s">
        <v>129</v>
      </c>
      <c r="BC42" s="289" t="s">
        <v>130</v>
      </c>
      <c r="BD42" s="289" t="s">
        <v>33</v>
      </c>
      <c r="BE42" s="289" t="s">
        <v>34</v>
      </c>
      <c r="BF42" s="290" t="s">
        <v>35</v>
      </c>
      <c r="BG42" s="288" t="s">
        <v>129</v>
      </c>
      <c r="BH42" s="289" t="s">
        <v>130</v>
      </c>
      <c r="BI42" s="289" t="s">
        <v>33</v>
      </c>
      <c r="BJ42" s="289" t="s">
        <v>34</v>
      </c>
      <c r="BK42" s="290" t="s">
        <v>35</v>
      </c>
      <c r="BL42" s="288" t="s">
        <v>129</v>
      </c>
      <c r="BM42" s="289" t="s">
        <v>130</v>
      </c>
      <c r="BN42" s="289" t="s">
        <v>33</v>
      </c>
      <c r="BO42" s="289" t="s">
        <v>34</v>
      </c>
      <c r="BP42" s="290" t="s">
        <v>35</v>
      </c>
      <c r="BQ42" s="288" t="s">
        <v>129</v>
      </c>
      <c r="BR42" s="289" t="s">
        <v>130</v>
      </c>
      <c r="BS42" s="289" t="s">
        <v>33</v>
      </c>
      <c r="BT42" s="289" t="s">
        <v>34</v>
      </c>
      <c r="BU42" s="290" t="s">
        <v>35</v>
      </c>
      <c r="BV42" s="288" t="s">
        <v>129</v>
      </c>
      <c r="BW42" s="289" t="s">
        <v>130</v>
      </c>
      <c r="BX42" s="289" t="s">
        <v>33</v>
      </c>
      <c r="BY42" s="289" t="s">
        <v>34</v>
      </c>
      <c r="BZ42" s="290" t="s">
        <v>35</v>
      </c>
      <c r="CA42" s="288" t="s">
        <v>129</v>
      </c>
      <c r="CB42" s="289" t="s">
        <v>130</v>
      </c>
      <c r="CC42" s="289" t="s">
        <v>33</v>
      </c>
      <c r="CD42" s="289" t="s">
        <v>34</v>
      </c>
      <c r="CE42" s="290" t="s">
        <v>35</v>
      </c>
      <c r="CF42" s="288" t="s">
        <v>129</v>
      </c>
      <c r="CG42" s="289" t="s">
        <v>130</v>
      </c>
      <c r="CH42" s="289" t="s">
        <v>33</v>
      </c>
      <c r="CI42" s="289" t="s">
        <v>34</v>
      </c>
      <c r="CJ42" s="290" t="s">
        <v>35</v>
      </c>
    </row>
    <row r="43" spans="1:88">
      <c r="A43" s="67" t="s">
        <v>125</v>
      </c>
      <c r="B43" s="68" t="s">
        <v>126</v>
      </c>
      <c r="C43" s="339">
        <v>0.2</v>
      </c>
      <c r="D43" s="353">
        <v>61808</v>
      </c>
      <c r="E43" s="326"/>
      <c r="F43" s="332">
        <f t="shared" ref="F43:F50" si="178">IFERROR(D43/E43,0)</f>
        <v>0</v>
      </c>
      <c r="G43" s="230">
        <f ca="1">D43+RANDBETWEEN(5000,50000)</f>
        <v>67537</v>
      </c>
      <c r="H43" s="332">
        <f t="shared" ref="H43:H50" ca="1" si="179">IFERROR(G43/E43,0)</f>
        <v>0</v>
      </c>
      <c r="I43" s="353">
        <v>31863</v>
      </c>
      <c r="J43" s="326"/>
      <c r="K43" s="332">
        <f t="shared" ref="K43:K50" si="180">IFERROR(I43/J43,0)</f>
        <v>0</v>
      </c>
      <c r="L43" s="230">
        <f ca="1">I43+RANDBETWEEN(5000,50000)</f>
        <v>41700</v>
      </c>
      <c r="M43" s="332">
        <f t="shared" ref="M43:M50" ca="1" si="181">IFERROR(L43/J43,0)</f>
        <v>0</v>
      </c>
      <c r="N43" s="353">
        <v>79505</v>
      </c>
      <c r="O43" s="326"/>
      <c r="P43" s="332">
        <f t="shared" ref="P43:P50" si="182">IFERROR(N43/O43,0)</f>
        <v>0</v>
      </c>
      <c r="Q43" s="230">
        <f ca="1">N43+RANDBETWEEN(5000,50000)</f>
        <v>115421</v>
      </c>
      <c r="R43" s="332">
        <f t="shared" ref="R43:R50" ca="1" si="183">IFERROR(Q43/O43,0)</f>
        <v>0</v>
      </c>
      <c r="S43" s="398">
        <v>83422</v>
      </c>
      <c r="T43" s="328">
        <f t="shared" ref="T43:T45" si="184">E43+J43+O43</f>
        <v>0</v>
      </c>
      <c r="U43" s="333">
        <f t="shared" ref="U43:U50" si="185">IFERROR(S43/T43,0)</f>
        <v>0</v>
      </c>
      <c r="V43" s="295">
        <f t="shared" ref="V43:V45" ca="1" si="186">G43+L43+Q43</f>
        <v>224658</v>
      </c>
      <c r="W43" s="333">
        <f t="shared" ref="W43:W50" ca="1" si="187">IFERROR(V43/T43,0)</f>
        <v>0</v>
      </c>
      <c r="X43" s="353">
        <v>48679</v>
      </c>
      <c r="Y43" s="326"/>
      <c r="Z43" s="332">
        <f t="shared" ref="Z43:Z50" si="188">IFERROR(X43/Y43,0)</f>
        <v>0</v>
      </c>
      <c r="AA43" s="230">
        <f ca="1">X43+RANDBETWEEN(5000,50000)</f>
        <v>97026</v>
      </c>
      <c r="AB43" s="332">
        <f t="shared" ref="AB43:AB50" ca="1" si="189">IFERROR(AA43/Y43,0)</f>
        <v>0</v>
      </c>
      <c r="AC43" s="353">
        <v>69584</v>
      </c>
      <c r="AD43" s="326"/>
      <c r="AE43" s="332">
        <f t="shared" ref="AE43:AE50" si="190">IFERROR(AC43/AD43,0)</f>
        <v>0</v>
      </c>
      <c r="AF43" s="230">
        <f ca="1">AC43+RANDBETWEEN(5000,50000)</f>
        <v>107796</v>
      </c>
      <c r="AG43" s="332">
        <f t="shared" ref="AG43:AG50" ca="1" si="191">IFERROR(AF43/AD43,0)</f>
        <v>0</v>
      </c>
      <c r="AH43" s="353">
        <v>27282</v>
      </c>
      <c r="AI43" s="326"/>
      <c r="AJ43" s="332">
        <f t="shared" ref="AJ43:AJ50" si="192">IFERROR(AH43/AI43,0)</f>
        <v>0</v>
      </c>
      <c r="AK43" s="230">
        <f ca="1">AH43+RANDBETWEEN(5000,50000)</f>
        <v>66064</v>
      </c>
      <c r="AL43" s="332">
        <f t="shared" ref="AL43:AL50" ca="1" si="193">IFERROR(AK43/AI43,0)</f>
        <v>0</v>
      </c>
      <c r="AM43" s="398">
        <v>36757</v>
      </c>
      <c r="AN43" s="328">
        <f t="shared" ref="AN43:AN45" si="194">Y43+AD43+AI43</f>
        <v>0</v>
      </c>
      <c r="AO43" s="333">
        <f t="shared" ref="AO43:AO50" si="195">IFERROR(AM43/AN43,0)</f>
        <v>0</v>
      </c>
      <c r="AP43" s="295">
        <f t="shared" ref="AP43:AP45" ca="1" si="196">AA43+AF43+AK43</f>
        <v>270886</v>
      </c>
      <c r="AQ43" s="333">
        <f t="shared" ref="AQ43:AQ50" ca="1" si="197">IFERROR(AP43/AN43,0)</f>
        <v>0</v>
      </c>
      <c r="AR43" s="353">
        <v>48832</v>
      </c>
      <c r="AS43" s="326"/>
      <c r="AT43" s="332">
        <f t="shared" ref="AT43:AT50" si="198">IFERROR(AR43/AS43,0)</f>
        <v>0</v>
      </c>
      <c r="AU43" s="230">
        <f ca="1">AR43+RANDBETWEEN(5000,50000)</f>
        <v>75633</v>
      </c>
      <c r="AV43" s="332">
        <f t="shared" ref="AV43:AV50" ca="1" si="199">IFERROR(AU43/AS43,0)</f>
        <v>0</v>
      </c>
      <c r="AW43" s="353">
        <v>43727</v>
      </c>
      <c r="AX43" s="326"/>
      <c r="AY43" s="332">
        <f t="shared" ref="AY43:AY50" si="200">IFERROR(AW43/AX43,0)</f>
        <v>0</v>
      </c>
      <c r="AZ43" s="230">
        <f ca="1">AW43+RANDBETWEEN(5000,50000)</f>
        <v>52069</v>
      </c>
      <c r="BA43" s="332">
        <f t="shared" ref="BA43:BA50" ca="1" si="201">IFERROR(AZ43/AX43,0)</f>
        <v>0</v>
      </c>
      <c r="BB43" s="353">
        <v>53745</v>
      </c>
      <c r="BC43" s="326"/>
      <c r="BD43" s="332">
        <f t="shared" ref="BD43:BD50" si="202">IFERROR(BB43/BC43,0)</f>
        <v>0</v>
      </c>
      <c r="BE43" s="230">
        <f ca="1">BB43+RANDBETWEEN(5000,50000)</f>
        <v>73440</v>
      </c>
      <c r="BF43" s="332">
        <f t="shared" ref="BF43:BF50" ca="1" si="203">IFERROR(BE43/BC43,0)</f>
        <v>0</v>
      </c>
      <c r="BG43" s="328"/>
      <c r="BH43" s="328">
        <f t="shared" ref="BH43:BH45" si="204">AS43+AX43+BC43</f>
        <v>0</v>
      </c>
      <c r="BI43" s="333">
        <f t="shared" ref="BI43:BI50" si="205">IFERROR(BG43/BH43,0)</f>
        <v>0</v>
      </c>
      <c r="BJ43" s="295">
        <f t="shared" ref="BJ43:BJ45" ca="1" si="206">AU43+AZ43+BE43</f>
        <v>201142</v>
      </c>
      <c r="BK43" s="333">
        <f t="shared" ref="BK43:BK50" ca="1" si="207">IFERROR(BJ43/BH43,0)</f>
        <v>0</v>
      </c>
      <c r="BL43" s="353">
        <v>12680</v>
      </c>
      <c r="BM43" s="326"/>
      <c r="BN43" s="332">
        <f t="shared" ref="BN43:BN50" si="208">IFERROR(BL43/BM43,0)</f>
        <v>0</v>
      </c>
      <c r="BO43" s="230">
        <f ca="1">BL43+RANDBETWEEN(5000,50000)</f>
        <v>31746</v>
      </c>
      <c r="BP43" s="332">
        <f t="shared" ref="BP43:BP50" ca="1" si="209">IFERROR(BO43/BM43,0)</f>
        <v>0</v>
      </c>
      <c r="BQ43" s="353">
        <v>84401</v>
      </c>
      <c r="BR43" s="326"/>
      <c r="BS43" s="332">
        <f t="shared" ref="BS43:BS50" si="210">IFERROR(BQ43/BR43,0)</f>
        <v>0</v>
      </c>
      <c r="BT43" s="230">
        <f ca="1">BQ43+RANDBETWEEN(5000,50000)</f>
        <v>90935</v>
      </c>
      <c r="BU43" s="332">
        <f t="shared" ref="BU43:BU50" ca="1" si="211">IFERROR(BT43/BR43,0)</f>
        <v>0</v>
      </c>
      <c r="BV43" s="353">
        <v>51680</v>
      </c>
      <c r="BW43" s="326"/>
      <c r="BX43" s="332">
        <f t="shared" ref="BX43:BX50" si="212">IFERROR(BV43/BW43,0)</f>
        <v>0</v>
      </c>
      <c r="BY43" s="230">
        <f ca="1">BV43+RANDBETWEEN(5000,50000)</f>
        <v>67513</v>
      </c>
      <c r="BZ43" s="332">
        <f t="shared" ref="BZ43:BZ50" ca="1" si="213">IFERROR(BY43/BW43,0)</f>
        <v>0</v>
      </c>
      <c r="CA43" s="328"/>
      <c r="CB43" s="328">
        <f t="shared" ref="CB43:CB45" si="214">BM43+BR43+BW43</f>
        <v>0</v>
      </c>
      <c r="CC43" s="333">
        <f t="shared" ref="CC43:CC50" si="215">IFERROR(CA43/CB43,0)</f>
        <v>0</v>
      </c>
      <c r="CD43" s="295">
        <f t="shared" ref="CD43:CD45" ca="1" si="216">BO43+BT43+BY43</f>
        <v>190194</v>
      </c>
      <c r="CE43" s="333">
        <f t="shared" ref="CE43:CE50" ca="1" si="217">IFERROR(CD43/CB43,0)</f>
        <v>0</v>
      </c>
      <c r="CF43" s="355">
        <v>89623</v>
      </c>
      <c r="CG43" s="297">
        <f t="shared" ref="CG43:CG45" si="218">AN43+BH43+CB43</f>
        <v>0</v>
      </c>
      <c r="CH43" s="334">
        <f t="shared" ref="CH43:CH50" si="219">IFERROR(CF43/CG43,0)</f>
        <v>0</v>
      </c>
      <c r="CI43" s="295">
        <f t="shared" ref="CI43:CI50" ca="1" si="220">AP43+BJ43+CD43</f>
        <v>662222</v>
      </c>
      <c r="CJ43" s="335">
        <f t="shared" ref="CJ43:CJ50" ca="1" si="221">IFERROR(CI43/CG43,0)</f>
        <v>0</v>
      </c>
    </row>
    <row r="44" spans="1:88">
      <c r="A44" s="67" t="s">
        <v>125</v>
      </c>
      <c r="B44" s="68" t="s">
        <v>158</v>
      </c>
      <c r="C44" s="339">
        <v>0.2</v>
      </c>
      <c r="D44" s="353">
        <v>41001</v>
      </c>
      <c r="E44" s="326"/>
      <c r="F44" s="332">
        <f t="shared" si="178"/>
        <v>0</v>
      </c>
      <c r="G44" s="230">
        <f t="shared" ref="G44:G46" ca="1" si="222">D44+RANDBETWEEN(5000,50000)</f>
        <v>72181</v>
      </c>
      <c r="H44" s="332">
        <f t="shared" ca="1" si="179"/>
        <v>0</v>
      </c>
      <c r="I44" s="353">
        <v>37482</v>
      </c>
      <c r="J44" s="326"/>
      <c r="K44" s="332">
        <f t="shared" si="180"/>
        <v>0</v>
      </c>
      <c r="L44" s="230">
        <f t="shared" ref="L44:L46" ca="1" si="223">I44+RANDBETWEEN(5000,50000)</f>
        <v>62453</v>
      </c>
      <c r="M44" s="332">
        <f t="shared" ca="1" si="181"/>
        <v>0</v>
      </c>
      <c r="N44" s="353">
        <v>42175</v>
      </c>
      <c r="O44" s="326"/>
      <c r="P44" s="332">
        <f t="shared" si="182"/>
        <v>0</v>
      </c>
      <c r="Q44" s="230">
        <f t="shared" ref="Q44:Q46" ca="1" si="224">N44+RANDBETWEEN(5000,50000)</f>
        <v>80525</v>
      </c>
      <c r="R44" s="332">
        <f t="shared" ca="1" si="183"/>
        <v>0</v>
      </c>
      <c r="S44" s="398">
        <v>86431</v>
      </c>
      <c r="T44" s="328">
        <f t="shared" si="184"/>
        <v>0</v>
      </c>
      <c r="U44" s="333">
        <f t="shared" si="185"/>
        <v>0</v>
      </c>
      <c r="V44" s="295">
        <f t="shared" ca="1" si="186"/>
        <v>215159</v>
      </c>
      <c r="W44" s="333">
        <f t="shared" ca="1" si="187"/>
        <v>0</v>
      </c>
      <c r="X44" s="353">
        <v>91927</v>
      </c>
      <c r="Y44" s="326"/>
      <c r="Z44" s="332">
        <f t="shared" si="188"/>
        <v>0</v>
      </c>
      <c r="AA44" s="230">
        <f t="shared" ref="AA44:AA46" ca="1" si="225">X44+RANDBETWEEN(5000,50000)</f>
        <v>140611</v>
      </c>
      <c r="AB44" s="332">
        <f t="shared" ca="1" si="189"/>
        <v>0</v>
      </c>
      <c r="AC44" s="353">
        <v>66932</v>
      </c>
      <c r="AD44" s="326"/>
      <c r="AE44" s="332">
        <f t="shared" si="190"/>
        <v>0</v>
      </c>
      <c r="AF44" s="230">
        <f t="shared" ref="AF44:AF46" ca="1" si="226">AC44+RANDBETWEEN(5000,50000)</f>
        <v>116077</v>
      </c>
      <c r="AG44" s="332">
        <f t="shared" ca="1" si="191"/>
        <v>0</v>
      </c>
      <c r="AH44" s="353">
        <v>15276</v>
      </c>
      <c r="AI44" s="326"/>
      <c r="AJ44" s="332">
        <f t="shared" si="192"/>
        <v>0</v>
      </c>
      <c r="AK44" s="230">
        <f t="shared" ref="AK44:AK46" ca="1" si="227">AH44+RANDBETWEEN(5000,50000)</f>
        <v>45733</v>
      </c>
      <c r="AL44" s="332">
        <f t="shared" ca="1" si="193"/>
        <v>0</v>
      </c>
      <c r="AM44" s="398">
        <v>53237</v>
      </c>
      <c r="AN44" s="328">
        <f t="shared" si="194"/>
        <v>0</v>
      </c>
      <c r="AO44" s="333">
        <f t="shared" si="195"/>
        <v>0</v>
      </c>
      <c r="AP44" s="295">
        <f t="shared" ca="1" si="196"/>
        <v>302421</v>
      </c>
      <c r="AQ44" s="333">
        <f t="shared" ca="1" si="197"/>
        <v>0</v>
      </c>
      <c r="AR44" s="353">
        <v>67985</v>
      </c>
      <c r="AS44" s="326"/>
      <c r="AT44" s="332">
        <f t="shared" si="198"/>
        <v>0</v>
      </c>
      <c r="AU44" s="230">
        <f t="shared" ref="AU44:AU46" ca="1" si="228">AR44+RANDBETWEEN(5000,50000)</f>
        <v>109710</v>
      </c>
      <c r="AV44" s="332">
        <f t="shared" ca="1" si="199"/>
        <v>0</v>
      </c>
      <c r="AW44" s="353">
        <v>64092</v>
      </c>
      <c r="AX44" s="326"/>
      <c r="AY44" s="332">
        <f t="shared" si="200"/>
        <v>0</v>
      </c>
      <c r="AZ44" s="230">
        <f t="shared" ref="AZ44:AZ46" ca="1" si="229">AW44+RANDBETWEEN(5000,50000)</f>
        <v>96476</v>
      </c>
      <c r="BA44" s="332">
        <f t="shared" ca="1" si="201"/>
        <v>0</v>
      </c>
      <c r="BB44" s="353">
        <v>14527</v>
      </c>
      <c r="BC44" s="326"/>
      <c r="BD44" s="332">
        <f t="shared" si="202"/>
        <v>0</v>
      </c>
      <c r="BE44" s="230">
        <f t="shared" ref="BE44:BE46" ca="1" si="230">BB44+RANDBETWEEN(5000,50000)</f>
        <v>20227</v>
      </c>
      <c r="BF44" s="332">
        <f t="shared" ca="1" si="203"/>
        <v>0</v>
      </c>
      <c r="BG44" s="398">
        <v>99338</v>
      </c>
      <c r="BH44" s="328">
        <f t="shared" si="204"/>
        <v>0</v>
      </c>
      <c r="BI44" s="333">
        <f t="shared" si="205"/>
        <v>0</v>
      </c>
      <c r="BJ44" s="295">
        <f t="shared" ca="1" si="206"/>
        <v>226413</v>
      </c>
      <c r="BK44" s="333">
        <f t="shared" ca="1" si="207"/>
        <v>0</v>
      </c>
      <c r="BL44" s="353">
        <v>97641</v>
      </c>
      <c r="BM44" s="326"/>
      <c r="BN44" s="332">
        <f t="shared" si="208"/>
        <v>0</v>
      </c>
      <c r="BO44" s="230">
        <f t="shared" ref="BO44:BO46" ca="1" si="231">BL44+RANDBETWEEN(5000,50000)</f>
        <v>103396</v>
      </c>
      <c r="BP44" s="332">
        <f t="shared" ca="1" si="209"/>
        <v>0</v>
      </c>
      <c r="BQ44" s="353">
        <v>16059</v>
      </c>
      <c r="BR44" s="326"/>
      <c r="BS44" s="332">
        <f t="shared" si="210"/>
        <v>0</v>
      </c>
      <c r="BT44" s="230">
        <f t="shared" ref="BT44:BT46" ca="1" si="232">BQ44+RANDBETWEEN(5000,50000)</f>
        <v>53540</v>
      </c>
      <c r="BU44" s="332">
        <f t="shared" ca="1" si="211"/>
        <v>0</v>
      </c>
      <c r="BV44" s="353">
        <v>65756</v>
      </c>
      <c r="BW44" s="326"/>
      <c r="BX44" s="332">
        <f t="shared" si="212"/>
        <v>0</v>
      </c>
      <c r="BY44" s="230">
        <f t="shared" ref="BY44:BY46" ca="1" si="233">BV44+RANDBETWEEN(5000,50000)</f>
        <v>74157</v>
      </c>
      <c r="BZ44" s="332">
        <f t="shared" ca="1" si="213"/>
        <v>0</v>
      </c>
      <c r="CA44" s="398">
        <v>41296</v>
      </c>
      <c r="CB44" s="328">
        <f t="shared" si="214"/>
        <v>0</v>
      </c>
      <c r="CC44" s="333">
        <f t="shared" si="215"/>
        <v>0</v>
      </c>
      <c r="CD44" s="295">
        <f t="shared" ca="1" si="216"/>
        <v>231093</v>
      </c>
      <c r="CE44" s="333">
        <f t="shared" ca="1" si="217"/>
        <v>0</v>
      </c>
      <c r="CF44" s="355">
        <v>23143</v>
      </c>
      <c r="CG44" s="297">
        <f t="shared" si="218"/>
        <v>0</v>
      </c>
      <c r="CH44" s="334">
        <f t="shared" si="219"/>
        <v>0</v>
      </c>
      <c r="CI44" s="295">
        <f t="shared" ca="1" si="220"/>
        <v>759927</v>
      </c>
      <c r="CJ44" s="335">
        <f t="shared" ca="1" si="221"/>
        <v>0</v>
      </c>
    </row>
    <row r="45" spans="1:88">
      <c r="A45" s="67" t="s">
        <v>125</v>
      </c>
      <c r="B45" s="68" t="s">
        <v>134</v>
      </c>
      <c r="C45" s="479">
        <v>0.25</v>
      </c>
      <c r="D45" s="353">
        <v>18552</v>
      </c>
      <c r="E45" s="326"/>
      <c r="F45" s="332">
        <f t="shared" si="178"/>
        <v>0</v>
      </c>
      <c r="G45" s="230">
        <f t="shared" ca="1" si="222"/>
        <v>24984</v>
      </c>
      <c r="H45" s="332">
        <f t="shared" ca="1" si="179"/>
        <v>0</v>
      </c>
      <c r="I45" s="353">
        <v>73347</v>
      </c>
      <c r="J45" s="326"/>
      <c r="K45" s="332">
        <f t="shared" si="180"/>
        <v>0</v>
      </c>
      <c r="L45" s="230">
        <f t="shared" ca="1" si="223"/>
        <v>118721</v>
      </c>
      <c r="M45" s="332">
        <f t="shared" ca="1" si="181"/>
        <v>0</v>
      </c>
      <c r="N45" s="353">
        <v>46219</v>
      </c>
      <c r="O45" s="326"/>
      <c r="P45" s="332">
        <f t="shared" si="182"/>
        <v>0</v>
      </c>
      <c r="Q45" s="230">
        <f t="shared" ca="1" si="224"/>
        <v>85665</v>
      </c>
      <c r="R45" s="332">
        <f t="shared" ca="1" si="183"/>
        <v>0</v>
      </c>
      <c r="S45" s="398">
        <v>20804</v>
      </c>
      <c r="T45" s="328">
        <f t="shared" si="184"/>
        <v>0</v>
      </c>
      <c r="U45" s="333">
        <f t="shared" si="185"/>
        <v>0</v>
      </c>
      <c r="V45" s="295">
        <f t="shared" ca="1" si="186"/>
        <v>229370</v>
      </c>
      <c r="W45" s="333">
        <f t="shared" ca="1" si="187"/>
        <v>0</v>
      </c>
      <c r="X45" s="353">
        <v>97578</v>
      </c>
      <c r="Y45" s="326"/>
      <c r="Z45" s="332">
        <f t="shared" si="188"/>
        <v>0</v>
      </c>
      <c r="AA45" s="230">
        <f t="shared" ca="1" si="225"/>
        <v>128453</v>
      </c>
      <c r="AB45" s="332">
        <f t="shared" ca="1" si="189"/>
        <v>0</v>
      </c>
      <c r="AC45" s="353">
        <v>42828</v>
      </c>
      <c r="AD45" s="326"/>
      <c r="AE45" s="332">
        <f t="shared" si="190"/>
        <v>0</v>
      </c>
      <c r="AF45" s="230">
        <f t="shared" ca="1" si="226"/>
        <v>87528</v>
      </c>
      <c r="AG45" s="332">
        <f t="shared" ca="1" si="191"/>
        <v>0</v>
      </c>
      <c r="AH45" s="292"/>
      <c r="AI45" s="326"/>
      <c r="AJ45" s="332">
        <f t="shared" si="192"/>
        <v>0</v>
      </c>
      <c r="AK45" s="230">
        <f t="shared" ca="1" si="227"/>
        <v>42396</v>
      </c>
      <c r="AL45" s="332">
        <f t="shared" ca="1" si="193"/>
        <v>0</v>
      </c>
      <c r="AM45" s="398">
        <v>30812</v>
      </c>
      <c r="AN45" s="328">
        <f t="shared" si="194"/>
        <v>0</v>
      </c>
      <c r="AO45" s="333">
        <f t="shared" si="195"/>
        <v>0</v>
      </c>
      <c r="AP45" s="295">
        <f t="shared" ca="1" si="196"/>
        <v>258377</v>
      </c>
      <c r="AQ45" s="333">
        <f t="shared" ca="1" si="197"/>
        <v>0</v>
      </c>
      <c r="AR45" s="353">
        <v>54486</v>
      </c>
      <c r="AS45" s="326"/>
      <c r="AT45" s="332">
        <f t="shared" si="198"/>
        <v>0</v>
      </c>
      <c r="AU45" s="230">
        <f t="shared" ca="1" si="228"/>
        <v>92756</v>
      </c>
      <c r="AV45" s="332">
        <f t="shared" ca="1" si="199"/>
        <v>0</v>
      </c>
      <c r="AW45" s="353">
        <v>68396</v>
      </c>
      <c r="AX45" s="326"/>
      <c r="AY45" s="332">
        <f t="shared" si="200"/>
        <v>0</v>
      </c>
      <c r="AZ45" s="230">
        <f t="shared" ca="1" si="229"/>
        <v>80634</v>
      </c>
      <c r="BA45" s="332">
        <f t="shared" ca="1" si="201"/>
        <v>0</v>
      </c>
      <c r="BB45" s="353">
        <v>51050</v>
      </c>
      <c r="BC45" s="326"/>
      <c r="BD45" s="332">
        <f t="shared" si="202"/>
        <v>0</v>
      </c>
      <c r="BE45" s="230">
        <f t="shared" ca="1" si="230"/>
        <v>63797</v>
      </c>
      <c r="BF45" s="332">
        <f t="shared" ca="1" si="203"/>
        <v>0</v>
      </c>
      <c r="BG45" s="328"/>
      <c r="BH45" s="328">
        <f t="shared" si="204"/>
        <v>0</v>
      </c>
      <c r="BI45" s="333">
        <f t="shared" si="205"/>
        <v>0</v>
      </c>
      <c r="BJ45" s="295">
        <f t="shared" ca="1" si="206"/>
        <v>237187</v>
      </c>
      <c r="BK45" s="333">
        <f t="shared" ca="1" si="207"/>
        <v>0</v>
      </c>
      <c r="BL45" s="353">
        <v>69876</v>
      </c>
      <c r="BM45" s="326"/>
      <c r="BN45" s="332">
        <f t="shared" si="208"/>
        <v>0</v>
      </c>
      <c r="BO45" s="230">
        <f t="shared" ca="1" si="231"/>
        <v>119344</v>
      </c>
      <c r="BP45" s="332">
        <f t="shared" ca="1" si="209"/>
        <v>0</v>
      </c>
      <c r="BQ45" s="353">
        <v>79353</v>
      </c>
      <c r="BR45" s="326"/>
      <c r="BS45" s="332">
        <f t="shared" si="210"/>
        <v>0</v>
      </c>
      <c r="BT45" s="230">
        <f t="shared" ca="1" si="232"/>
        <v>89140</v>
      </c>
      <c r="BU45" s="332">
        <f t="shared" ca="1" si="211"/>
        <v>0</v>
      </c>
      <c r="BV45" s="353">
        <v>10261</v>
      </c>
      <c r="BW45" s="326"/>
      <c r="BX45" s="332">
        <f t="shared" si="212"/>
        <v>0</v>
      </c>
      <c r="BY45" s="230">
        <f t="shared" ca="1" si="233"/>
        <v>44758</v>
      </c>
      <c r="BZ45" s="332">
        <f t="shared" ca="1" si="213"/>
        <v>0</v>
      </c>
      <c r="CA45" s="328"/>
      <c r="CB45" s="328">
        <f t="shared" si="214"/>
        <v>0</v>
      </c>
      <c r="CC45" s="333">
        <f t="shared" si="215"/>
        <v>0</v>
      </c>
      <c r="CD45" s="295">
        <f t="shared" ca="1" si="216"/>
        <v>253242</v>
      </c>
      <c r="CE45" s="333">
        <f t="shared" ca="1" si="217"/>
        <v>0</v>
      </c>
      <c r="CF45" s="355">
        <v>63290</v>
      </c>
      <c r="CG45" s="297">
        <f t="shared" si="218"/>
        <v>0</v>
      </c>
      <c r="CH45" s="334">
        <f t="shared" si="219"/>
        <v>0</v>
      </c>
      <c r="CI45" s="295">
        <f t="shared" ca="1" si="220"/>
        <v>748806</v>
      </c>
      <c r="CJ45" s="335">
        <f t="shared" ca="1" si="221"/>
        <v>0</v>
      </c>
    </row>
    <row r="46" spans="1:88">
      <c r="A46" s="67" t="s">
        <v>125</v>
      </c>
      <c r="B46" s="68" t="s">
        <v>157</v>
      </c>
      <c r="C46" s="339">
        <v>0.3</v>
      </c>
      <c r="D46" s="353"/>
      <c r="E46" s="326"/>
      <c r="F46" s="332">
        <f t="shared" ref="F46" si="234">IFERROR(D46/E46,0)</f>
        <v>0</v>
      </c>
      <c r="G46" s="230"/>
      <c r="H46" s="332">
        <f t="shared" ref="H46" si="235">IFERROR(G46/E46,0)</f>
        <v>0</v>
      </c>
      <c r="I46" s="292"/>
      <c r="J46" s="326"/>
      <c r="K46" s="332">
        <f t="shared" ref="K46" si="236">IFERROR(I46/J46,0)</f>
        <v>0</v>
      </c>
      <c r="L46" s="230">
        <f t="shared" ca="1" si="223"/>
        <v>40425</v>
      </c>
      <c r="M46" s="332">
        <f t="shared" ref="M46" ca="1" si="237">IFERROR(L46/J46,0)</f>
        <v>0</v>
      </c>
      <c r="N46" s="292"/>
      <c r="O46" s="326"/>
      <c r="P46" s="332">
        <f t="shared" ref="P46" si="238">IFERROR(N46/O46,0)</f>
        <v>0</v>
      </c>
      <c r="Q46" s="230">
        <f t="shared" ca="1" si="224"/>
        <v>24060</v>
      </c>
      <c r="R46" s="332">
        <f t="shared" ref="R46" ca="1" si="239">IFERROR(Q46/O46,0)</f>
        <v>0</v>
      </c>
      <c r="S46" s="328"/>
      <c r="T46" s="328">
        <f t="shared" ref="T46" si="240">E46+J46+O46</f>
        <v>0</v>
      </c>
      <c r="U46" s="333">
        <f t="shared" ref="U46" si="241">IFERROR(S46/T46,0)</f>
        <v>0</v>
      </c>
      <c r="V46" s="295">
        <f t="shared" ref="V46" ca="1" si="242">G46+L46+Q46</f>
        <v>64485</v>
      </c>
      <c r="W46" s="333">
        <f t="shared" ref="W46" ca="1" si="243">IFERROR(V46/T46,0)</f>
        <v>0</v>
      </c>
      <c r="X46" s="353">
        <v>82848</v>
      </c>
      <c r="Y46" s="326"/>
      <c r="Z46" s="332">
        <f t="shared" ref="Z46" si="244">IFERROR(X46/Y46,0)</f>
        <v>0</v>
      </c>
      <c r="AA46" s="230">
        <f t="shared" ca="1" si="225"/>
        <v>97740</v>
      </c>
      <c r="AB46" s="332">
        <f t="shared" ref="AB46" ca="1" si="245">IFERROR(AA46/Y46,0)</f>
        <v>0</v>
      </c>
      <c r="AC46" s="353">
        <v>47728</v>
      </c>
      <c r="AD46" s="326"/>
      <c r="AE46" s="332">
        <f t="shared" ref="AE46" si="246">IFERROR(AC46/AD46,0)</f>
        <v>0</v>
      </c>
      <c r="AF46" s="230">
        <f t="shared" ca="1" si="226"/>
        <v>86032</v>
      </c>
      <c r="AG46" s="332">
        <f t="shared" ref="AG46" ca="1" si="247">IFERROR(AF46/AD46,0)</f>
        <v>0</v>
      </c>
      <c r="AH46" s="353">
        <v>83158</v>
      </c>
      <c r="AI46" s="326"/>
      <c r="AJ46" s="332">
        <f t="shared" ref="AJ46" si="248">IFERROR(AH46/AI46,0)</f>
        <v>0</v>
      </c>
      <c r="AK46" s="230">
        <f t="shared" ca="1" si="227"/>
        <v>90093</v>
      </c>
      <c r="AL46" s="332">
        <f t="shared" ref="AL46" ca="1" si="249">IFERROR(AK46/AI46,0)</f>
        <v>0</v>
      </c>
      <c r="AM46" s="398">
        <v>37999</v>
      </c>
      <c r="AN46" s="328">
        <f t="shared" ref="AN46" si="250">Y46+AD46+AI46</f>
        <v>0</v>
      </c>
      <c r="AO46" s="333">
        <f t="shared" ref="AO46" si="251">IFERROR(AM46/AN46,0)</f>
        <v>0</v>
      </c>
      <c r="AP46" s="295">
        <f t="shared" ref="AP46" ca="1" si="252">AA46+AF46+AK46</f>
        <v>273865</v>
      </c>
      <c r="AQ46" s="333">
        <f t="shared" ref="AQ46" ca="1" si="253">IFERROR(AP46/AN46,0)</f>
        <v>0</v>
      </c>
      <c r="AR46" s="353">
        <v>74028</v>
      </c>
      <c r="AS46" s="326"/>
      <c r="AT46" s="332">
        <f t="shared" ref="AT46" si="254">IFERROR(AR46/AS46,0)</f>
        <v>0</v>
      </c>
      <c r="AU46" s="230">
        <f t="shared" ca="1" si="228"/>
        <v>98461</v>
      </c>
      <c r="AV46" s="332">
        <f t="shared" ref="AV46" ca="1" si="255">IFERROR(AU46/AS46,0)</f>
        <v>0</v>
      </c>
      <c r="AW46" s="353">
        <v>19987</v>
      </c>
      <c r="AX46" s="326"/>
      <c r="AY46" s="332">
        <f t="shared" ref="AY46" si="256">IFERROR(AW46/AX46,0)</f>
        <v>0</v>
      </c>
      <c r="AZ46" s="230">
        <f t="shared" ca="1" si="229"/>
        <v>39332</v>
      </c>
      <c r="BA46" s="332">
        <f t="shared" ref="BA46" ca="1" si="257">IFERROR(AZ46/AX46,0)</f>
        <v>0</v>
      </c>
      <c r="BB46" s="353">
        <v>24214</v>
      </c>
      <c r="BC46" s="326"/>
      <c r="BD46" s="332">
        <f t="shared" ref="BD46" si="258">IFERROR(BB46/BC46,0)</f>
        <v>0</v>
      </c>
      <c r="BE46" s="230">
        <f t="shared" ca="1" si="230"/>
        <v>57367</v>
      </c>
      <c r="BF46" s="332">
        <f t="shared" ref="BF46" ca="1" si="259">IFERROR(BE46/BC46,0)</f>
        <v>0</v>
      </c>
      <c r="BG46" s="328"/>
      <c r="BH46" s="328">
        <f t="shared" ref="BH46" si="260">AS46+AX46+BC46</f>
        <v>0</v>
      </c>
      <c r="BI46" s="333">
        <f t="shared" ref="BI46" si="261">IFERROR(BG46/BH46,0)</f>
        <v>0</v>
      </c>
      <c r="BJ46" s="295">
        <f t="shared" ref="BJ46" ca="1" si="262">AU46+AZ46+BE46</f>
        <v>195160</v>
      </c>
      <c r="BK46" s="333">
        <f t="shared" ref="BK46" ca="1" si="263">IFERROR(BJ46/BH46,0)</f>
        <v>0</v>
      </c>
      <c r="BL46" s="353">
        <v>46783</v>
      </c>
      <c r="BM46" s="326"/>
      <c r="BN46" s="332">
        <f t="shared" ref="BN46" si="264">IFERROR(BL46/BM46,0)</f>
        <v>0</v>
      </c>
      <c r="BO46" s="230">
        <f t="shared" ca="1" si="231"/>
        <v>77172</v>
      </c>
      <c r="BP46" s="332">
        <f t="shared" ref="BP46" ca="1" si="265">IFERROR(BO46/BM46,0)</f>
        <v>0</v>
      </c>
      <c r="BQ46" s="353">
        <v>83343</v>
      </c>
      <c r="BR46" s="326"/>
      <c r="BS46" s="332">
        <f t="shared" ref="BS46" si="266">IFERROR(BQ46/BR46,0)</f>
        <v>0</v>
      </c>
      <c r="BT46" s="230">
        <f t="shared" ca="1" si="232"/>
        <v>95711</v>
      </c>
      <c r="BU46" s="332">
        <f t="shared" ref="BU46" ca="1" si="267">IFERROR(BT46/BR46,0)</f>
        <v>0</v>
      </c>
      <c r="BV46" s="353">
        <v>94684</v>
      </c>
      <c r="BW46" s="326"/>
      <c r="BX46" s="332">
        <f t="shared" ref="BX46" si="268">IFERROR(BV46/BW46,0)</f>
        <v>0</v>
      </c>
      <c r="BY46" s="230">
        <f t="shared" ca="1" si="233"/>
        <v>132350</v>
      </c>
      <c r="BZ46" s="332">
        <f t="shared" ref="BZ46" ca="1" si="269">IFERROR(BY46/BW46,0)</f>
        <v>0</v>
      </c>
      <c r="CA46" s="328"/>
      <c r="CB46" s="328">
        <f t="shared" ref="CB46" si="270">BM46+BR46+BW46</f>
        <v>0</v>
      </c>
      <c r="CC46" s="333">
        <f t="shared" ref="CC46" si="271">IFERROR(CA46/CB46,0)</f>
        <v>0</v>
      </c>
      <c r="CD46" s="295">
        <f t="shared" ref="CD46" ca="1" si="272">BO46+BT46+BY46</f>
        <v>305233</v>
      </c>
      <c r="CE46" s="333">
        <f t="shared" ref="CE46" ca="1" si="273">IFERROR(CD46/CB46,0)</f>
        <v>0</v>
      </c>
      <c r="CF46" s="355">
        <v>50290</v>
      </c>
      <c r="CG46" s="297">
        <f t="shared" ref="CG46" si="274">AN46+BH46+CB46</f>
        <v>0</v>
      </c>
      <c r="CH46" s="334">
        <f t="shared" ref="CH46" si="275">IFERROR(CF46/CG46,0)</f>
        <v>0</v>
      </c>
      <c r="CI46" s="295">
        <f t="shared" ref="CI46" ca="1" si="276">AP46+BJ46+CD46</f>
        <v>774258</v>
      </c>
      <c r="CJ46" s="335">
        <f t="shared" ref="CJ46" ca="1" si="277">IFERROR(CI46/CG46,0)</f>
        <v>0</v>
      </c>
    </row>
    <row r="47" spans="1:88">
      <c r="A47" s="67"/>
      <c r="B47" s="68"/>
      <c r="C47" s="401"/>
      <c r="D47" s="292"/>
      <c r="E47" s="326"/>
      <c r="F47" s="332"/>
      <c r="G47" s="326"/>
      <c r="H47" s="332"/>
      <c r="I47" s="292"/>
      <c r="J47" s="326"/>
      <c r="K47" s="332"/>
      <c r="L47" s="326">
        <f>'Compulse Media_Data Pass Thru'!N46*20%</f>
        <v>0</v>
      </c>
      <c r="M47" s="332"/>
      <c r="N47" s="292"/>
      <c r="O47" s="326"/>
      <c r="P47" s="332"/>
      <c r="Q47" s="326">
        <f>'Compulse Media_Data Pass Thru'!T46*20%</f>
        <v>0</v>
      </c>
      <c r="R47" s="332"/>
      <c r="S47" s="328"/>
      <c r="T47" s="328"/>
      <c r="U47" s="333"/>
      <c r="V47" s="295"/>
      <c r="W47" s="333"/>
      <c r="X47" s="292"/>
      <c r="Y47" s="326"/>
      <c r="Z47" s="332"/>
      <c r="AA47" s="326">
        <f>'Compulse Media_Data Pass Thru'!AF46*20%</f>
        <v>0</v>
      </c>
      <c r="AB47" s="332"/>
      <c r="AC47" s="292"/>
      <c r="AD47" s="326"/>
      <c r="AE47" s="332"/>
      <c r="AF47" s="326"/>
      <c r="AG47" s="332"/>
      <c r="AH47" s="292"/>
      <c r="AI47" s="326"/>
      <c r="AJ47" s="332"/>
      <c r="AK47" s="326"/>
      <c r="AL47" s="332"/>
      <c r="AM47" s="328"/>
      <c r="AN47" s="328"/>
      <c r="AO47" s="333"/>
      <c r="AP47" s="295"/>
      <c r="AQ47" s="333"/>
      <c r="AR47" s="292"/>
      <c r="AS47" s="326"/>
      <c r="AT47" s="332"/>
      <c r="AU47" s="326"/>
      <c r="AV47" s="332"/>
      <c r="AW47" s="292"/>
      <c r="AX47" s="326"/>
      <c r="AY47" s="332"/>
      <c r="AZ47" s="326"/>
      <c r="BA47" s="332"/>
      <c r="BB47" s="292"/>
      <c r="BC47" s="326"/>
      <c r="BD47" s="332"/>
      <c r="BE47" s="326"/>
      <c r="BF47" s="332"/>
      <c r="BG47" s="328"/>
      <c r="BH47" s="328"/>
      <c r="BI47" s="333"/>
      <c r="BJ47" s="295"/>
      <c r="BK47" s="333"/>
      <c r="BL47" s="292"/>
      <c r="BM47" s="326"/>
      <c r="BN47" s="332"/>
      <c r="BO47" s="326">
        <f>'Compulse Media_Data Pass Thru'!CB46*30%</f>
        <v>0</v>
      </c>
      <c r="BP47" s="332"/>
      <c r="BQ47" s="292"/>
      <c r="BR47" s="326"/>
      <c r="BS47" s="332"/>
      <c r="BT47" s="326"/>
      <c r="BU47" s="332"/>
      <c r="BV47" s="292"/>
      <c r="BW47" s="326"/>
      <c r="BX47" s="332"/>
      <c r="BY47" s="326"/>
      <c r="BZ47" s="332"/>
      <c r="CA47" s="328"/>
      <c r="CB47" s="328"/>
      <c r="CC47" s="333"/>
      <c r="CD47" s="295"/>
      <c r="CE47" s="333"/>
      <c r="CF47" s="297"/>
      <c r="CG47" s="297"/>
      <c r="CH47" s="334"/>
      <c r="CI47" s="295"/>
      <c r="CJ47" s="335"/>
    </row>
    <row r="48" spans="1:88">
      <c r="A48" s="67"/>
      <c r="B48" s="68"/>
      <c r="C48" s="339"/>
      <c r="D48" s="292"/>
      <c r="E48" s="326"/>
      <c r="F48" s="332"/>
      <c r="G48" s="326"/>
      <c r="H48" s="332"/>
      <c r="I48" s="292"/>
      <c r="J48" s="326"/>
      <c r="K48" s="332"/>
      <c r="L48" s="326">
        <f>'Compulse Media_Data Pass Thru'!N47*20%</f>
        <v>0</v>
      </c>
      <c r="M48" s="332"/>
      <c r="N48" s="292"/>
      <c r="O48" s="326"/>
      <c r="P48" s="332"/>
      <c r="Q48" s="326">
        <f>'Compulse Media_Data Pass Thru'!T47*20%</f>
        <v>0</v>
      </c>
      <c r="R48" s="332"/>
      <c r="S48" s="328"/>
      <c r="T48" s="328"/>
      <c r="U48" s="333"/>
      <c r="V48" s="295"/>
      <c r="W48" s="333"/>
      <c r="X48" s="292"/>
      <c r="Y48" s="326"/>
      <c r="Z48" s="332"/>
      <c r="AA48" s="326">
        <f>'Compulse Media_Data Pass Thru'!AF47*20%</f>
        <v>0</v>
      </c>
      <c r="AB48" s="332"/>
      <c r="AC48" s="292"/>
      <c r="AD48" s="326"/>
      <c r="AE48" s="332"/>
      <c r="AF48" s="326">
        <f>'Compulse Media_Data Pass Thru'!AL47*20%</f>
        <v>0</v>
      </c>
      <c r="AG48" s="332"/>
      <c r="AH48" s="292"/>
      <c r="AI48" s="326"/>
      <c r="AJ48" s="332"/>
      <c r="AK48" s="326">
        <f>'Compulse Media_Data Pass Thru'!AR47*20%</f>
        <v>0</v>
      </c>
      <c r="AL48" s="332"/>
      <c r="AM48" s="328"/>
      <c r="AN48" s="328"/>
      <c r="AO48" s="333"/>
      <c r="AP48" s="295"/>
      <c r="AQ48" s="333"/>
      <c r="AR48" s="292"/>
      <c r="AS48" s="326"/>
      <c r="AT48" s="332"/>
      <c r="AU48" s="326"/>
      <c r="AV48" s="332"/>
      <c r="AW48" s="292"/>
      <c r="AX48" s="326"/>
      <c r="AY48" s="332"/>
      <c r="AZ48" s="326"/>
      <c r="BA48" s="332"/>
      <c r="BB48" s="292"/>
      <c r="BC48" s="326"/>
      <c r="BD48" s="332"/>
      <c r="BE48" s="326"/>
      <c r="BF48" s="332"/>
      <c r="BG48" s="328"/>
      <c r="BH48" s="328"/>
      <c r="BI48" s="333"/>
      <c r="BJ48" s="295"/>
      <c r="BK48" s="333"/>
      <c r="BL48" s="292"/>
      <c r="BM48" s="326"/>
      <c r="BN48" s="332"/>
      <c r="BO48" s="326"/>
      <c r="BP48" s="332"/>
      <c r="BQ48" s="292"/>
      <c r="BR48" s="326"/>
      <c r="BS48" s="332"/>
      <c r="BT48" s="326"/>
      <c r="BU48" s="332"/>
      <c r="BV48" s="292"/>
      <c r="BW48" s="326"/>
      <c r="BX48" s="332"/>
      <c r="BY48" s="326"/>
      <c r="BZ48" s="332"/>
      <c r="CA48" s="328"/>
      <c r="CB48" s="328"/>
      <c r="CC48" s="333"/>
      <c r="CD48" s="295"/>
      <c r="CE48" s="333"/>
      <c r="CF48" s="297"/>
      <c r="CG48" s="297"/>
      <c r="CH48" s="334"/>
      <c r="CI48" s="295"/>
      <c r="CJ48" s="335"/>
    </row>
    <row r="49" spans="1:88">
      <c r="A49" s="67"/>
      <c r="B49" s="68"/>
      <c r="C49" s="339"/>
      <c r="D49" s="292"/>
      <c r="E49" s="326"/>
      <c r="F49" s="332"/>
      <c r="G49" s="326"/>
      <c r="H49" s="332"/>
      <c r="I49" s="292"/>
      <c r="J49" s="326"/>
      <c r="K49" s="332"/>
      <c r="L49" s="326">
        <f>'Compulse Media_Data Pass Thru'!N50*20%</f>
        <v>0</v>
      </c>
      <c r="M49" s="332"/>
      <c r="N49" s="292"/>
      <c r="O49" s="326"/>
      <c r="P49" s="332"/>
      <c r="Q49" s="326">
        <f>'Compulse Media_Data Pass Thru'!T50*20%</f>
        <v>0</v>
      </c>
      <c r="R49" s="332"/>
      <c r="S49" s="328"/>
      <c r="T49" s="328"/>
      <c r="U49" s="333"/>
      <c r="V49" s="295"/>
      <c r="W49" s="333"/>
      <c r="X49" s="292"/>
      <c r="Y49" s="326"/>
      <c r="Z49" s="332"/>
      <c r="AA49" s="326">
        <f>'Compulse Media_Data Pass Thru'!AF50*20%</f>
        <v>0</v>
      </c>
      <c r="AB49" s="332"/>
      <c r="AC49" s="292"/>
      <c r="AD49" s="326"/>
      <c r="AE49" s="332"/>
      <c r="AF49" s="326">
        <f>'Compulse Media_Data Pass Thru'!AL50*20%</f>
        <v>0</v>
      </c>
      <c r="AG49" s="332"/>
      <c r="AH49" s="292"/>
      <c r="AI49" s="326"/>
      <c r="AJ49" s="332"/>
      <c r="AK49" s="326">
        <f>'Compulse Media_Data Pass Thru'!AR50*20%</f>
        <v>0</v>
      </c>
      <c r="AL49" s="332"/>
      <c r="AM49" s="328"/>
      <c r="AN49" s="328"/>
      <c r="AO49" s="333"/>
      <c r="AP49" s="295"/>
      <c r="AQ49" s="333"/>
      <c r="AR49" s="292"/>
      <c r="AS49" s="326"/>
      <c r="AT49" s="332"/>
      <c r="AU49" s="326"/>
      <c r="AV49" s="332"/>
      <c r="AW49" s="292"/>
      <c r="AX49" s="326"/>
      <c r="AY49" s="332"/>
      <c r="AZ49" s="326"/>
      <c r="BA49" s="332"/>
      <c r="BB49" s="292"/>
      <c r="BC49" s="326"/>
      <c r="BD49" s="332"/>
      <c r="BE49" s="326"/>
      <c r="BF49" s="332"/>
      <c r="BG49" s="328"/>
      <c r="BH49" s="328"/>
      <c r="BI49" s="333"/>
      <c r="BJ49" s="295"/>
      <c r="BK49" s="333"/>
      <c r="BL49" s="292"/>
      <c r="BM49" s="326"/>
      <c r="BN49" s="332"/>
      <c r="BO49" s="326"/>
      <c r="BP49" s="332"/>
      <c r="BQ49" s="292"/>
      <c r="BR49" s="326"/>
      <c r="BS49" s="332"/>
      <c r="BT49" s="326"/>
      <c r="BU49" s="332"/>
      <c r="BV49" s="292"/>
      <c r="BW49" s="326"/>
      <c r="BX49" s="332"/>
      <c r="BY49" s="326"/>
      <c r="BZ49" s="332"/>
      <c r="CA49" s="328"/>
      <c r="CB49" s="328"/>
      <c r="CC49" s="333"/>
      <c r="CD49" s="295"/>
      <c r="CE49" s="333"/>
      <c r="CF49" s="297"/>
      <c r="CG49" s="297"/>
      <c r="CH49" s="334"/>
      <c r="CI49" s="295"/>
      <c r="CJ49" s="335"/>
    </row>
    <row r="50" spans="1:88">
      <c r="A50" s="66"/>
      <c r="B50" s="66" t="s">
        <v>128</v>
      </c>
      <c r="C50" s="64"/>
      <c r="D50" s="336">
        <v>121361</v>
      </c>
      <c r="E50" s="336">
        <f>SUM(E43:E49)</f>
        <v>0</v>
      </c>
      <c r="F50" s="322">
        <f t="shared" si="178"/>
        <v>0</v>
      </c>
      <c r="G50" s="320">
        <f ca="1">SUM(G43:G49)</f>
        <v>164702</v>
      </c>
      <c r="H50" s="322">
        <f t="shared" ca="1" si="179"/>
        <v>0</v>
      </c>
      <c r="I50" s="320">
        <v>142692</v>
      </c>
      <c r="J50" s="320">
        <f>SUM(J43:J49)</f>
        <v>0</v>
      </c>
      <c r="K50" s="322">
        <f t="shared" si="180"/>
        <v>0</v>
      </c>
      <c r="L50" s="320">
        <f ca="1">SUM(L43:L49)</f>
        <v>263299</v>
      </c>
      <c r="M50" s="322">
        <f t="shared" ca="1" si="181"/>
        <v>0</v>
      </c>
      <c r="N50" s="320">
        <v>167899</v>
      </c>
      <c r="O50" s="320">
        <f>SUM(O43:O45)</f>
        <v>0</v>
      </c>
      <c r="P50" s="322">
        <f t="shared" si="182"/>
        <v>0</v>
      </c>
      <c r="Q50" s="320">
        <f ca="1">SUM(Q43:Q49)</f>
        <v>305671</v>
      </c>
      <c r="R50" s="322">
        <f t="shared" ca="1" si="183"/>
        <v>0</v>
      </c>
      <c r="S50" s="320">
        <v>190657</v>
      </c>
      <c r="T50" s="320">
        <f>SUM(T43:T45)</f>
        <v>0</v>
      </c>
      <c r="U50" s="322">
        <f t="shared" si="185"/>
        <v>0</v>
      </c>
      <c r="V50" s="320">
        <f ca="1">SUM(V43:V49)</f>
        <v>733672</v>
      </c>
      <c r="W50" s="322">
        <f t="shared" ca="1" si="187"/>
        <v>0</v>
      </c>
      <c r="X50" s="320">
        <v>321032</v>
      </c>
      <c r="Y50" s="320">
        <f>SUM(Y43:Y45)</f>
        <v>0</v>
      </c>
      <c r="Z50" s="322">
        <f t="shared" si="188"/>
        <v>0</v>
      </c>
      <c r="AA50" s="320">
        <f ca="1">SUM(AA43:AA49)</f>
        <v>463830</v>
      </c>
      <c r="AB50" s="322">
        <f t="shared" ca="1" si="189"/>
        <v>0</v>
      </c>
      <c r="AC50" s="320">
        <v>227072</v>
      </c>
      <c r="AD50" s="320">
        <f>SUM(AD43:AD45)</f>
        <v>0</v>
      </c>
      <c r="AE50" s="322">
        <f t="shared" si="190"/>
        <v>0</v>
      </c>
      <c r="AF50" s="320">
        <f ca="1">SUM(AF43:AF49)</f>
        <v>397433</v>
      </c>
      <c r="AG50" s="322">
        <f t="shared" ca="1" si="191"/>
        <v>0</v>
      </c>
      <c r="AH50" s="320">
        <v>125716</v>
      </c>
      <c r="AI50" s="320">
        <f>SUM(AI43:AI45)</f>
        <v>0</v>
      </c>
      <c r="AJ50" s="322">
        <f t="shared" si="192"/>
        <v>0</v>
      </c>
      <c r="AK50" s="320">
        <f ca="1">SUM(AK43:AK49)</f>
        <v>244286</v>
      </c>
      <c r="AL50" s="322">
        <f t="shared" ca="1" si="193"/>
        <v>0</v>
      </c>
      <c r="AM50" s="320">
        <v>158805</v>
      </c>
      <c r="AN50" s="320">
        <f>SUM(AN43:AN45)</f>
        <v>0</v>
      </c>
      <c r="AO50" s="322">
        <f t="shared" si="195"/>
        <v>0</v>
      </c>
      <c r="AP50" s="320">
        <f ca="1">SUM(AP43:AP45)</f>
        <v>831684</v>
      </c>
      <c r="AQ50" s="322">
        <f t="shared" ca="1" si="197"/>
        <v>0</v>
      </c>
      <c r="AR50" s="320">
        <v>245331</v>
      </c>
      <c r="AS50" s="320">
        <f>SUM(AS43:AS45)</f>
        <v>0</v>
      </c>
      <c r="AT50" s="322">
        <f t="shared" si="198"/>
        <v>0</v>
      </c>
      <c r="AU50" s="320">
        <f ca="1">SUM(AU43:AU45)</f>
        <v>278099</v>
      </c>
      <c r="AV50" s="322">
        <f t="shared" ca="1" si="199"/>
        <v>0</v>
      </c>
      <c r="AW50" s="320">
        <v>196202</v>
      </c>
      <c r="AX50" s="320">
        <f>SUM(AX43:AX45)</f>
        <v>0</v>
      </c>
      <c r="AY50" s="322">
        <f t="shared" si="200"/>
        <v>0</v>
      </c>
      <c r="AZ50" s="320">
        <f ca="1">SUM(AZ43:AZ45)</f>
        <v>229179</v>
      </c>
      <c r="BA50" s="322">
        <f t="shared" ca="1" si="201"/>
        <v>0</v>
      </c>
      <c r="BB50" s="320">
        <v>143536</v>
      </c>
      <c r="BC50" s="320">
        <f>SUM(BC43:BC45)</f>
        <v>0</v>
      </c>
      <c r="BD50" s="322">
        <f t="shared" si="202"/>
        <v>0</v>
      </c>
      <c r="BE50" s="320">
        <f ca="1">SUM(BE43:BE45)</f>
        <v>157464</v>
      </c>
      <c r="BF50" s="322">
        <f t="shared" ca="1" si="203"/>
        <v>0</v>
      </c>
      <c r="BG50" s="320">
        <v>99338</v>
      </c>
      <c r="BH50" s="320">
        <f>SUM(BH43:BH45)</f>
        <v>0</v>
      </c>
      <c r="BI50" s="322">
        <f t="shared" si="205"/>
        <v>0</v>
      </c>
      <c r="BJ50" s="320">
        <f ca="1">SUM(BJ43:BJ45)</f>
        <v>664742</v>
      </c>
      <c r="BK50" s="322">
        <f t="shared" ca="1" si="207"/>
        <v>0</v>
      </c>
      <c r="BL50" s="320">
        <v>226980</v>
      </c>
      <c r="BM50" s="320"/>
      <c r="BN50" s="322">
        <f t="shared" si="208"/>
        <v>0</v>
      </c>
      <c r="BO50" s="320">
        <f ca="1">SUM(BO43:BO45)</f>
        <v>254486</v>
      </c>
      <c r="BP50" s="322">
        <f t="shared" ca="1" si="209"/>
        <v>0</v>
      </c>
      <c r="BQ50" s="320">
        <v>263156</v>
      </c>
      <c r="BR50" s="320">
        <f>SUM(BR43:BR45)</f>
        <v>0</v>
      </c>
      <c r="BS50" s="322">
        <f t="shared" si="210"/>
        <v>0</v>
      </c>
      <c r="BT50" s="320">
        <f ca="1">SUM(BT43:BT45)</f>
        <v>233615</v>
      </c>
      <c r="BU50" s="322">
        <f t="shared" ca="1" si="211"/>
        <v>0</v>
      </c>
      <c r="BV50" s="320">
        <v>222381</v>
      </c>
      <c r="BW50" s="320">
        <f>SUM(BW43:BW45)</f>
        <v>0</v>
      </c>
      <c r="BX50" s="322">
        <f t="shared" si="212"/>
        <v>0</v>
      </c>
      <c r="BY50" s="320">
        <f ca="1">SUM(BY43:BY45)</f>
        <v>186428</v>
      </c>
      <c r="BZ50" s="322">
        <f t="shared" ca="1" si="213"/>
        <v>0</v>
      </c>
      <c r="CA50" s="320">
        <v>41296</v>
      </c>
      <c r="CB50" s="320">
        <f>SUM(CB43:CB49)</f>
        <v>0</v>
      </c>
      <c r="CC50" s="322">
        <f t="shared" si="215"/>
        <v>0</v>
      </c>
      <c r="CD50" s="320">
        <f ca="1">SUM(CD43:CD49)</f>
        <v>979762</v>
      </c>
      <c r="CE50" s="322">
        <f t="shared" ca="1" si="217"/>
        <v>0</v>
      </c>
      <c r="CF50" s="320">
        <v>226346</v>
      </c>
      <c r="CG50" s="320">
        <f>AN50+BH50+CB50</f>
        <v>0</v>
      </c>
      <c r="CH50" s="322">
        <f t="shared" si="219"/>
        <v>0</v>
      </c>
      <c r="CI50" s="320">
        <f t="shared" ca="1" si="220"/>
        <v>2476188</v>
      </c>
      <c r="CJ50" s="322">
        <f t="shared" ca="1" si="221"/>
        <v>0</v>
      </c>
    </row>
  </sheetData>
  <mergeCells count="18">
    <mergeCell ref="A1:C1"/>
    <mergeCell ref="BG1:BK1"/>
    <mergeCell ref="BL1:BP1"/>
    <mergeCell ref="BQ1:BU1"/>
    <mergeCell ref="BV1:BZ1"/>
    <mergeCell ref="D1:H1"/>
    <mergeCell ref="I1:M1"/>
    <mergeCell ref="N1:R1"/>
    <mergeCell ref="S1:W1"/>
    <mergeCell ref="X1:AB1"/>
    <mergeCell ref="CA1:CE1"/>
    <mergeCell ref="CF1:CJ1"/>
    <mergeCell ref="AC1:AG1"/>
    <mergeCell ref="AH1:AL1"/>
    <mergeCell ref="AM1:AQ1"/>
    <mergeCell ref="AR1:AV1"/>
    <mergeCell ref="AW1:BA1"/>
    <mergeCell ref="BB1:BF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38AC-7629-4703-BD09-AABEDDD275AD}">
  <sheetPr codeName="Sheet4">
    <tabColor theme="9" tint="0.39997558519241921"/>
  </sheetPr>
  <dimension ref="A1:DA51"/>
  <sheetViews>
    <sheetView zoomScale="70" zoomScaleNormal="70" workbookViewId="0">
      <pane xSplit="3" ySplit="1" topLeftCell="D2" activePane="bottomRight" state="frozen"/>
      <selection activeCell="A19" sqref="A19"/>
      <selection pane="topRight" activeCell="A19" sqref="A19"/>
      <selection pane="bottomLeft" activeCell="A19" sqref="A19"/>
      <selection pane="bottomRight" activeCell="H3" sqref="H3"/>
    </sheetView>
  </sheetViews>
  <sheetFormatPr defaultColWidth="8.796875" defaultRowHeight="14.25"/>
  <cols>
    <col min="1" max="1" width="7.796875" bestFit="1" customWidth="1"/>
    <col min="2" max="2" width="20" bestFit="1" customWidth="1"/>
    <col min="4" max="4" width="13.19921875" bestFit="1" customWidth="1"/>
    <col min="5" max="5" width="12.33203125" bestFit="1" customWidth="1"/>
    <col min="6" max="6" width="15.19921875" bestFit="1" customWidth="1"/>
    <col min="7" max="7" width="9.46484375" style="128" bestFit="1" customWidth="1"/>
    <col min="8" max="8" width="12.796875" style="444" bestFit="1" customWidth="1"/>
    <col min="9" max="9" width="16" style="128" bestFit="1" customWidth="1"/>
    <col min="10" max="10" width="13.19921875" bestFit="1" customWidth="1"/>
    <col min="11" max="11" width="12.33203125" bestFit="1" customWidth="1"/>
    <col min="12" max="12" width="15.19921875" bestFit="1" customWidth="1"/>
    <col min="13" max="13" width="9.46484375" style="128" bestFit="1" customWidth="1"/>
    <col min="14" max="14" width="12.796875" style="444" bestFit="1" customWidth="1"/>
    <col min="15" max="15" width="16" style="128" bestFit="1" customWidth="1"/>
    <col min="16" max="16" width="13.19921875" bestFit="1" customWidth="1"/>
    <col min="17" max="17" width="12.33203125" bestFit="1" customWidth="1"/>
    <col min="18" max="18" width="15.19921875" bestFit="1" customWidth="1"/>
    <col min="19" max="19" width="9.46484375" style="128" bestFit="1" customWidth="1"/>
    <col min="20" max="20" width="15" style="434" bestFit="1" customWidth="1"/>
    <col min="21" max="21" width="16" style="128" bestFit="1" customWidth="1"/>
    <col min="22" max="22" width="13.19921875" bestFit="1" customWidth="1"/>
    <col min="23" max="23" width="12.33203125" bestFit="1" customWidth="1"/>
    <col min="24" max="24" width="15.19921875" bestFit="1" customWidth="1"/>
    <col min="25" max="25" width="9.46484375" style="128" bestFit="1" customWidth="1"/>
    <col min="26" max="26" width="12.796875" style="444" bestFit="1" customWidth="1"/>
    <col min="27" max="27" width="16" style="128" bestFit="1" customWidth="1"/>
    <col min="28" max="28" width="13.19921875" bestFit="1" customWidth="1"/>
    <col min="29" max="29" width="12.33203125" bestFit="1" customWidth="1"/>
    <col min="30" max="30" width="15.19921875" bestFit="1" customWidth="1"/>
    <col min="31" max="31" width="9.46484375" style="128" bestFit="1" customWidth="1"/>
    <col min="32" max="32" width="12.796875" style="444" bestFit="1" customWidth="1"/>
    <col min="33" max="33" width="16" style="128" bestFit="1" customWidth="1"/>
    <col min="34" max="34" width="13.19921875" bestFit="1" customWidth="1"/>
    <col min="35" max="35" width="12.33203125" bestFit="1" customWidth="1"/>
    <col min="36" max="36" width="15.19921875" bestFit="1" customWidth="1"/>
    <col min="37" max="37" width="9.46484375" style="128" bestFit="1" customWidth="1"/>
    <col min="38" max="38" width="12.796875" style="444" bestFit="1" customWidth="1"/>
    <col min="39" max="39" width="16" style="128" bestFit="1" customWidth="1"/>
    <col min="40" max="40" width="13.19921875" bestFit="1" customWidth="1"/>
    <col min="41" max="41" width="12.33203125" bestFit="1" customWidth="1"/>
    <col min="42" max="42" width="15.19921875" bestFit="1" customWidth="1"/>
    <col min="43" max="43" width="9.46484375" style="128" bestFit="1" customWidth="1"/>
    <col min="44" max="44" width="12.796875" style="444" bestFit="1" customWidth="1"/>
    <col min="45" max="45" width="16" style="128" bestFit="1" customWidth="1"/>
    <col min="46" max="46" width="13.19921875" bestFit="1" customWidth="1"/>
    <col min="47" max="47" width="12.33203125" bestFit="1" customWidth="1"/>
    <col min="48" max="48" width="15.19921875" bestFit="1" customWidth="1"/>
    <col min="49" max="49" width="9.46484375" style="128" bestFit="1" customWidth="1"/>
    <col min="50" max="50" width="12.796875" style="444" bestFit="1" customWidth="1"/>
    <col min="51" max="51" width="16" style="128" bestFit="1" customWidth="1"/>
    <col min="52" max="52" width="13.19921875" bestFit="1" customWidth="1"/>
    <col min="53" max="53" width="12.33203125" bestFit="1" customWidth="1"/>
    <col min="54" max="54" width="15.19921875" bestFit="1" customWidth="1"/>
    <col min="55" max="55" width="9.46484375" style="128" bestFit="1" customWidth="1"/>
    <col min="56" max="56" width="12.796875" style="444" bestFit="1" customWidth="1"/>
    <col min="57" max="57" width="16" style="128" bestFit="1" customWidth="1"/>
    <col min="58" max="58" width="13.19921875" bestFit="1" customWidth="1"/>
    <col min="59" max="59" width="12.33203125" bestFit="1" customWidth="1"/>
    <col min="60" max="60" width="15.19921875" bestFit="1" customWidth="1"/>
    <col min="61" max="61" width="9.46484375" style="128" bestFit="1" customWidth="1"/>
    <col min="62" max="62" width="12.796875" style="444" bestFit="1" customWidth="1"/>
    <col min="63" max="63" width="16" style="128" bestFit="1" customWidth="1"/>
    <col min="64" max="64" width="13.19921875" bestFit="1" customWidth="1"/>
    <col min="65" max="65" width="12.33203125" bestFit="1" customWidth="1"/>
    <col min="66" max="66" width="15.19921875" bestFit="1" customWidth="1"/>
    <col min="67" max="67" width="9.46484375" style="128" bestFit="1" customWidth="1"/>
    <col min="68" max="68" width="12.796875" style="444" bestFit="1" customWidth="1"/>
    <col min="69" max="69" width="16" style="128" bestFit="1" customWidth="1"/>
    <col min="70" max="70" width="13.19921875" bestFit="1" customWidth="1"/>
    <col min="71" max="71" width="11.46484375" bestFit="1" customWidth="1"/>
    <col min="72" max="72" width="15.19921875" bestFit="1" customWidth="1"/>
    <col min="73" max="73" width="9.46484375" style="128" bestFit="1" customWidth="1"/>
    <col min="74" max="74" width="12.796875" style="444" bestFit="1" customWidth="1"/>
    <col min="75" max="75" width="16" style="128" bestFit="1" customWidth="1"/>
    <col min="76" max="76" width="13.19921875" bestFit="1" customWidth="1"/>
    <col min="77" max="77" width="12.33203125" bestFit="1" customWidth="1"/>
    <col min="78" max="78" width="15.19921875" bestFit="1" customWidth="1"/>
    <col min="79" max="79" width="9.46484375" style="128" bestFit="1" customWidth="1"/>
    <col min="80" max="80" width="12.796875" style="444" bestFit="1" customWidth="1"/>
    <col min="81" max="81" width="16" style="128" bestFit="1" customWidth="1"/>
    <col min="82" max="82" width="13.19921875" bestFit="1" customWidth="1"/>
    <col min="83" max="83" width="12.33203125" bestFit="1" customWidth="1"/>
    <col min="84" max="84" width="15.19921875" bestFit="1" customWidth="1"/>
    <col min="85" max="85" width="9.46484375" style="128" bestFit="1" customWidth="1"/>
    <col min="86" max="86" width="10.19921875" style="444" bestFit="1" customWidth="1"/>
    <col min="87" max="87" width="16" style="128" bestFit="1" customWidth="1"/>
    <col min="88" max="88" width="13.19921875" bestFit="1" customWidth="1"/>
    <col min="89" max="89" width="12.33203125" bestFit="1" customWidth="1"/>
    <col min="90" max="90" width="15.19921875" bestFit="1" customWidth="1"/>
    <col min="91" max="91" width="9.46484375" style="128" bestFit="1" customWidth="1"/>
    <col min="92" max="92" width="12.796875" style="444" bestFit="1" customWidth="1"/>
    <col min="93" max="93" width="16" style="128" bestFit="1" customWidth="1"/>
    <col min="94" max="94" width="13.19921875" bestFit="1" customWidth="1"/>
    <col min="95" max="95" width="14" bestFit="1" customWidth="1"/>
    <col min="96" max="96" width="15.19921875" bestFit="1" customWidth="1"/>
    <col min="97" max="97" width="9.46484375" style="128" bestFit="1" customWidth="1"/>
    <col min="98" max="98" width="12.796875" style="444" bestFit="1" customWidth="1"/>
    <col min="99" max="99" width="16" style="128" bestFit="1" customWidth="1"/>
    <col min="100" max="100" width="13.19921875" bestFit="1" customWidth="1"/>
    <col min="101" max="101" width="14" bestFit="1" customWidth="1"/>
    <col min="102" max="102" width="15.46484375" bestFit="1" customWidth="1"/>
    <col min="103" max="103" width="9.46484375" style="128" bestFit="1" customWidth="1"/>
    <col min="104" max="104" width="14.46484375" style="444" bestFit="1" customWidth="1"/>
    <col min="105" max="105" width="16" style="128" bestFit="1" customWidth="1"/>
  </cols>
  <sheetData>
    <row r="1" spans="1:105" ht="15" customHeight="1" thickBot="1">
      <c r="A1" s="531" t="s">
        <v>155</v>
      </c>
      <c r="B1" s="531"/>
      <c r="C1" s="532"/>
      <c r="D1" s="545" t="s">
        <v>16</v>
      </c>
      <c r="E1" s="546"/>
      <c r="F1" s="546"/>
      <c r="G1" s="546"/>
      <c r="H1" s="546"/>
      <c r="I1" s="547"/>
      <c r="J1" s="548" t="s">
        <v>22</v>
      </c>
      <c r="K1" s="549"/>
      <c r="L1" s="549"/>
      <c r="M1" s="549"/>
      <c r="N1" s="549"/>
      <c r="O1" s="550"/>
      <c r="P1" s="545" t="s">
        <v>23</v>
      </c>
      <c r="Q1" s="546"/>
      <c r="R1" s="546"/>
      <c r="S1" s="546"/>
      <c r="T1" s="546"/>
      <c r="U1" s="547"/>
      <c r="V1" s="551" t="s">
        <v>24</v>
      </c>
      <c r="W1" s="552"/>
      <c r="X1" s="552"/>
      <c r="Y1" s="552"/>
      <c r="Z1" s="552"/>
      <c r="AA1" s="553"/>
      <c r="AB1" s="545" t="s">
        <v>10</v>
      </c>
      <c r="AC1" s="546"/>
      <c r="AD1" s="546"/>
      <c r="AE1" s="546"/>
      <c r="AF1" s="546"/>
      <c r="AG1" s="547"/>
      <c r="AH1" s="498" t="s">
        <v>9</v>
      </c>
      <c r="AI1" s="499"/>
      <c r="AJ1" s="499"/>
      <c r="AK1" s="499"/>
      <c r="AL1" s="499"/>
      <c r="AM1" s="500"/>
      <c r="AN1" s="542" t="s">
        <v>15</v>
      </c>
      <c r="AO1" s="543"/>
      <c r="AP1" s="543"/>
      <c r="AQ1" s="543"/>
      <c r="AR1" s="543"/>
      <c r="AS1" s="544"/>
      <c r="AT1" s="537" t="s">
        <v>25</v>
      </c>
      <c r="AU1" s="538"/>
      <c r="AV1" s="538"/>
      <c r="AW1" s="538"/>
      <c r="AX1" s="538"/>
      <c r="AY1" s="539"/>
      <c r="AZ1" s="542" t="s">
        <v>8</v>
      </c>
      <c r="BA1" s="543"/>
      <c r="BB1" s="543"/>
      <c r="BC1" s="543"/>
      <c r="BD1" s="543"/>
      <c r="BE1" s="544"/>
      <c r="BF1" s="498" t="s">
        <v>12</v>
      </c>
      <c r="BG1" s="499"/>
      <c r="BH1" s="499"/>
      <c r="BI1" s="499"/>
      <c r="BJ1" s="499"/>
      <c r="BK1" s="500"/>
      <c r="BL1" s="542" t="s">
        <v>14</v>
      </c>
      <c r="BM1" s="543"/>
      <c r="BN1" s="543"/>
      <c r="BO1" s="543"/>
      <c r="BP1" s="543"/>
      <c r="BQ1" s="544"/>
      <c r="BR1" s="537" t="s">
        <v>26</v>
      </c>
      <c r="BS1" s="538"/>
      <c r="BT1" s="538"/>
      <c r="BU1" s="538"/>
      <c r="BV1" s="538"/>
      <c r="BW1" s="539"/>
      <c r="BX1" s="542" t="s">
        <v>27</v>
      </c>
      <c r="BY1" s="543"/>
      <c r="BZ1" s="543"/>
      <c r="CA1" s="543"/>
      <c r="CB1" s="543"/>
      <c r="CC1" s="544"/>
      <c r="CD1" s="498" t="s">
        <v>17</v>
      </c>
      <c r="CE1" s="499"/>
      <c r="CF1" s="499"/>
      <c r="CG1" s="499"/>
      <c r="CH1" s="499"/>
      <c r="CI1" s="500"/>
      <c r="CJ1" s="542" t="s">
        <v>28</v>
      </c>
      <c r="CK1" s="543"/>
      <c r="CL1" s="543"/>
      <c r="CM1" s="543"/>
      <c r="CN1" s="543"/>
      <c r="CO1" s="544"/>
      <c r="CP1" s="537" t="s">
        <v>29</v>
      </c>
      <c r="CQ1" s="538"/>
      <c r="CR1" s="538"/>
      <c r="CS1" s="538"/>
      <c r="CT1" s="538"/>
      <c r="CU1" s="539"/>
      <c r="CV1" s="540">
        <v>2021</v>
      </c>
      <c r="CW1" s="541"/>
      <c r="CX1" s="541"/>
      <c r="CY1" s="541"/>
      <c r="CZ1" s="541"/>
      <c r="DA1" s="541"/>
    </row>
    <row r="2" spans="1:105" ht="26.25">
      <c r="A2" s="66"/>
      <c r="B2" s="66" t="s">
        <v>149</v>
      </c>
      <c r="C2" s="66" t="s">
        <v>138</v>
      </c>
      <c r="D2" s="288" t="s">
        <v>168</v>
      </c>
      <c r="E2" s="288" t="s">
        <v>169</v>
      </c>
      <c r="F2" s="289" t="s">
        <v>136</v>
      </c>
      <c r="G2" s="166" t="s">
        <v>57</v>
      </c>
      <c r="H2" s="437" t="s">
        <v>34</v>
      </c>
      <c r="I2" s="133" t="s">
        <v>58</v>
      </c>
      <c r="J2" s="288" t="s">
        <v>168</v>
      </c>
      <c r="K2" s="288" t="s">
        <v>169</v>
      </c>
      <c r="L2" s="289" t="s">
        <v>136</v>
      </c>
      <c r="M2" s="166" t="s">
        <v>57</v>
      </c>
      <c r="N2" s="437" t="s">
        <v>34</v>
      </c>
      <c r="O2" s="133" t="s">
        <v>58</v>
      </c>
      <c r="P2" s="288" t="s">
        <v>168</v>
      </c>
      <c r="Q2" s="288" t="s">
        <v>169</v>
      </c>
      <c r="R2" s="289" t="s">
        <v>136</v>
      </c>
      <c r="S2" s="166" t="s">
        <v>57</v>
      </c>
      <c r="T2" s="431" t="s">
        <v>34</v>
      </c>
      <c r="U2" s="133" t="s">
        <v>58</v>
      </c>
      <c r="V2" s="288" t="s">
        <v>168</v>
      </c>
      <c r="W2" s="288" t="s">
        <v>169</v>
      </c>
      <c r="X2" s="289" t="s">
        <v>136</v>
      </c>
      <c r="Y2" s="166" t="s">
        <v>57</v>
      </c>
      <c r="Z2" s="437" t="s">
        <v>34</v>
      </c>
      <c r="AA2" s="133" t="s">
        <v>58</v>
      </c>
      <c r="AB2" s="288" t="s">
        <v>168</v>
      </c>
      <c r="AC2" s="288" t="s">
        <v>169</v>
      </c>
      <c r="AD2" s="289" t="s">
        <v>136</v>
      </c>
      <c r="AE2" s="166" t="s">
        <v>57</v>
      </c>
      <c r="AF2" s="437" t="s">
        <v>34</v>
      </c>
      <c r="AG2" s="133" t="s">
        <v>58</v>
      </c>
      <c r="AH2" s="288" t="s">
        <v>168</v>
      </c>
      <c r="AI2" s="288" t="s">
        <v>169</v>
      </c>
      <c r="AJ2" s="289" t="s">
        <v>136</v>
      </c>
      <c r="AK2" s="166" t="s">
        <v>57</v>
      </c>
      <c r="AL2" s="437" t="s">
        <v>34</v>
      </c>
      <c r="AM2" s="133" t="s">
        <v>58</v>
      </c>
      <c r="AN2" s="288" t="s">
        <v>168</v>
      </c>
      <c r="AO2" s="288" t="s">
        <v>169</v>
      </c>
      <c r="AP2" s="289" t="s">
        <v>136</v>
      </c>
      <c r="AQ2" s="166" t="s">
        <v>57</v>
      </c>
      <c r="AR2" s="437" t="s">
        <v>34</v>
      </c>
      <c r="AS2" s="133" t="s">
        <v>58</v>
      </c>
      <c r="AT2" s="288" t="s">
        <v>168</v>
      </c>
      <c r="AU2" s="288" t="s">
        <v>169</v>
      </c>
      <c r="AV2" s="289" t="s">
        <v>136</v>
      </c>
      <c r="AW2" s="166" t="s">
        <v>57</v>
      </c>
      <c r="AX2" s="437" t="s">
        <v>34</v>
      </c>
      <c r="AY2" s="133" t="s">
        <v>58</v>
      </c>
      <c r="AZ2" s="288" t="s">
        <v>168</v>
      </c>
      <c r="BA2" s="288" t="s">
        <v>169</v>
      </c>
      <c r="BB2" s="289" t="s">
        <v>136</v>
      </c>
      <c r="BC2" s="166" t="s">
        <v>57</v>
      </c>
      <c r="BD2" s="437" t="s">
        <v>34</v>
      </c>
      <c r="BE2" s="133" t="s">
        <v>58</v>
      </c>
      <c r="BF2" s="288" t="s">
        <v>168</v>
      </c>
      <c r="BG2" s="288" t="s">
        <v>169</v>
      </c>
      <c r="BH2" s="289" t="s">
        <v>136</v>
      </c>
      <c r="BI2" s="166" t="s">
        <v>57</v>
      </c>
      <c r="BJ2" s="437" t="s">
        <v>34</v>
      </c>
      <c r="BK2" s="133" t="s">
        <v>58</v>
      </c>
      <c r="BL2" s="288" t="s">
        <v>168</v>
      </c>
      <c r="BM2" s="288" t="s">
        <v>169</v>
      </c>
      <c r="BN2" s="289" t="s">
        <v>136</v>
      </c>
      <c r="BO2" s="166" t="s">
        <v>57</v>
      </c>
      <c r="BP2" s="437" t="s">
        <v>34</v>
      </c>
      <c r="BQ2" s="133" t="s">
        <v>58</v>
      </c>
      <c r="BR2" s="288" t="s">
        <v>168</v>
      </c>
      <c r="BS2" s="288" t="s">
        <v>169</v>
      </c>
      <c r="BT2" s="289" t="s">
        <v>136</v>
      </c>
      <c r="BU2" s="166" t="s">
        <v>57</v>
      </c>
      <c r="BV2" s="437" t="s">
        <v>34</v>
      </c>
      <c r="BW2" s="133" t="s">
        <v>58</v>
      </c>
      <c r="BX2" s="288" t="s">
        <v>168</v>
      </c>
      <c r="BY2" s="288" t="s">
        <v>169</v>
      </c>
      <c r="BZ2" s="289" t="s">
        <v>136</v>
      </c>
      <c r="CA2" s="166" t="s">
        <v>57</v>
      </c>
      <c r="CB2" s="437" t="s">
        <v>34</v>
      </c>
      <c r="CC2" s="133" t="s">
        <v>58</v>
      </c>
      <c r="CD2" s="288" t="s">
        <v>168</v>
      </c>
      <c r="CE2" s="288" t="s">
        <v>169</v>
      </c>
      <c r="CF2" s="289" t="s">
        <v>136</v>
      </c>
      <c r="CG2" s="166" t="s">
        <v>57</v>
      </c>
      <c r="CH2" s="437" t="s">
        <v>34</v>
      </c>
      <c r="CI2" s="133" t="s">
        <v>58</v>
      </c>
      <c r="CJ2" s="288" t="s">
        <v>168</v>
      </c>
      <c r="CK2" s="288" t="s">
        <v>169</v>
      </c>
      <c r="CL2" s="289" t="s">
        <v>136</v>
      </c>
      <c r="CM2" s="166" t="s">
        <v>57</v>
      </c>
      <c r="CN2" s="437" t="s">
        <v>34</v>
      </c>
      <c r="CO2" s="133" t="s">
        <v>58</v>
      </c>
      <c r="CP2" s="288" t="s">
        <v>168</v>
      </c>
      <c r="CQ2" s="288" t="s">
        <v>169</v>
      </c>
      <c r="CR2" s="289" t="s">
        <v>136</v>
      </c>
      <c r="CS2" s="166" t="s">
        <v>57</v>
      </c>
      <c r="CT2" s="437" t="s">
        <v>34</v>
      </c>
      <c r="CU2" s="133" t="s">
        <v>58</v>
      </c>
      <c r="CV2" s="288" t="s">
        <v>168</v>
      </c>
      <c r="CW2" s="288" t="s">
        <v>169</v>
      </c>
      <c r="CX2" s="289" t="s">
        <v>136</v>
      </c>
      <c r="CY2" s="166" t="s">
        <v>57</v>
      </c>
      <c r="CZ2" s="437" t="s">
        <v>34</v>
      </c>
      <c r="DA2" s="133" t="s">
        <v>58</v>
      </c>
    </row>
    <row r="3" spans="1:105">
      <c r="A3" s="67" t="s">
        <v>99</v>
      </c>
      <c r="B3" s="68" t="s">
        <v>139</v>
      </c>
      <c r="C3" s="300" t="s">
        <v>137</v>
      </c>
      <c r="D3" s="353">
        <v>78122</v>
      </c>
      <c r="E3" s="353">
        <v>84789</v>
      </c>
      <c r="F3" s="293"/>
      <c r="G3" s="402">
        <f>IFERROR(D3/F3,0)</f>
        <v>0</v>
      </c>
      <c r="H3" s="230">
        <f ca="1">E3+D3+RANDBETWEEN(5000,50000)</f>
        <v>200223</v>
      </c>
      <c r="I3" s="402">
        <f ca="1">IFERROR(H3/F3,0)</f>
        <v>0</v>
      </c>
      <c r="J3" s="353">
        <v>54838</v>
      </c>
      <c r="K3" s="353">
        <v>70236</v>
      </c>
      <c r="L3" s="293"/>
      <c r="M3" s="402">
        <f>IFERROR(J3/L3,0)</f>
        <v>0</v>
      </c>
      <c r="N3" s="230">
        <f ca="1">K3+J3+RANDBETWEEN(5000,50000)</f>
        <v>131277</v>
      </c>
      <c r="O3" s="402">
        <f ca="1">IFERROR(N3/L3,0)</f>
        <v>0</v>
      </c>
      <c r="P3" s="353">
        <v>69013</v>
      </c>
      <c r="Q3" s="353">
        <v>75145</v>
      </c>
      <c r="R3" s="293"/>
      <c r="S3" s="402">
        <f>IFERROR(P3/R3,0)</f>
        <v>0</v>
      </c>
      <c r="T3" s="230">
        <f ca="1">Q3+P3+RANDBETWEEN(5000,50000)</f>
        <v>188140</v>
      </c>
      <c r="U3" s="402">
        <f ca="1">IFERROR(T3/R3,0)</f>
        <v>0</v>
      </c>
      <c r="V3" s="361">
        <v>60434</v>
      </c>
      <c r="W3" s="361">
        <v>65106</v>
      </c>
      <c r="X3" s="294">
        <f>F3+L3+R3</f>
        <v>0</v>
      </c>
      <c r="Y3" s="410">
        <f>IFERROR(V3/X3,0)</f>
        <v>0</v>
      </c>
      <c r="Z3" s="445">
        <f ca="1">H3+N3+T3</f>
        <v>519640</v>
      </c>
      <c r="AA3" s="410">
        <f ca="1">IFERROR(Z3/X3,0)</f>
        <v>0</v>
      </c>
      <c r="AB3" s="353">
        <v>47776</v>
      </c>
      <c r="AC3" s="353">
        <v>70550</v>
      </c>
      <c r="AD3" s="293"/>
      <c r="AE3" s="402">
        <f>IFERROR(AB3/AD3,0)</f>
        <v>0</v>
      </c>
      <c r="AF3" s="230">
        <f ca="1">AC3+AB3+RANDBETWEEN(5000,50000)</f>
        <v>167953</v>
      </c>
      <c r="AG3" s="402">
        <f ca="1">IFERROR(AF3/AD3,0)</f>
        <v>0</v>
      </c>
      <c r="AH3" s="353">
        <v>47008</v>
      </c>
      <c r="AI3" s="353">
        <v>83824</v>
      </c>
      <c r="AJ3" s="293"/>
      <c r="AK3" s="402">
        <f>IFERROR(AH3/AJ3,0)</f>
        <v>0</v>
      </c>
      <c r="AL3" s="230">
        <f ca="1">AI3+AH3+RANDBETWEEN(5000,50000)</f>
        <v>147945</v>
      </c>
      <c r="AM3" s="402">
        <f ca="1">IFERROR(AL3/AJ3,0)</f>
        <v>0</v>
      </c>
      <c r="AN3" s="353">
        <v>66282</v>
      </c>
      <c r="AO3" s="353">
        <v>69224</v>
      </c>
      <c r="AP3" s="293"/>
      <c r="AQ3" s="402">
        <f>IFERROR(AN3/AP3,0)</f>
        <v>0</v>
      </c>
      <c r="AR3" s="230">
        <f ca="1">AO3+AN3+RANDBETWEEN(5000,50000)</f>
        <v>160767</v>
      </c>
      <c r="AS3" s="402">
        <f ca="1">IFERROR(AR3/AP3,0)</f>
        <v>0</v>
      </c>
      <c r="AT3" s="361">
        <v>29945</v>
      </c>
      <c r="AU3" s="361">
        <v>41045</v>
      </c>
      <c r="AV3" s="294">
        <f>AD3+AJ3+AP3</f>
        <v>0</v>
      </c>
      <c r="AW3" s="410">
        <f>IFERROR(AT3/AV3,0)</f>
        <v>0</v>
      </c>
      <c r="AX3" s="445">
        <f ca="1">AF3+AL3+AR3</f>
        <v>476665</v>
      </c>
      <c r="AY3" s="410">
        <f ca="1">IFERROR(AX3/AV3,0)</f>
        <v>0</v>
      </c>
      <c r="AZ3" s="353">
        <v>83087</v>
      </c>
      <c r="BA3" s="353">
        <v>58225</v>
      </c>
      <c r="BB3" s="293"/>
      <c r="BC3" s="402">
        <f>IFERROR(AZ3/BB3,0)</f>
        <v>0</v>
      </c>
      <c r="BD3" s="230">
        <f ca="1">BA3+AZ3+RANDBETWEEN(5000,50000)</f>
        <v>174741</v>
      </c>
      <c r="BE3" s="402">
        <f ca="1">IFERROR(BD3/BB3,0)</f>
        <v>0</v>
      </c>
      <c r="BF3" s="353">
        <v>11556</v>
      </c>
      <c r="BG3" s="353">
        <v>72798</v>
      </c>
      <c r="BH3" s="293"/>
      <c r="BI3" s="402">
        <f>IFERROR(BF3/BH3,0)</f>
        <v>0</v>
      </c>
      <c r="BJ3" s="230">
        <f ca="1">BG3+BF3+RANDBETWEEN(5000,50000)</f>
        <v>103980</v>
      </c>
      <c r="BK3" s="402">
        <f ca="1">IFERROR(BJ3/BH3,0)</f>
        <v>0</v>
      </c>
      <c r="BL3" s="353">
        <v>52318</v>
      </c>
      <c r="BM3" s="353">
        <v>70259</v>
      </c>
      <c r="BN3" s="293"/>
      <c r="BO3" s="402">
        <f>IFERROR(BL3/BN3,0)</f>
        <v>0</v>
      </c>
      <c r="BP3" s="230">
        <f ca="1">BM3+BL3+RANDBETWEEN(5000,50000)</f>
        <v>164576</v>
      </c>
      <c r="BQ3" s="402">
        <f ca="1">IFERROR(BP3/BN3,0)</f>
        <v>0</v>
      </c>
      <c r="BR3" s="361"/>
      <c r="BS3" s="361">
        <v>0</v>
      </c>
      <c r="BT3" s="294">
        <f>BB3+BH3+BN3</f>
        <v>0</v>
      </c>
      <c r="BU3" s="410">
        <f>IFERROR(BR3/BT3,0)</f>
        <v>0</v>
      </c>
      <c r="BV3" s="445">
        <f ca="1">BD3+BJ3+BP3</f>
        <v>443297</v>
      </c>
      <c r="BW3" s="410">
        <f ca="1">IFERROR(BV3/BT3,0)</f>
        <v>0</v>
      </c>
      <c r="BX3" s="353">
        <v>11285</v>
      </c>
      <c r="BY3" s="353">
        <v>23124</v>
      </c>
      <c r="BZ3" s="293"/>
      <c r="CA3" s="402">
        <f>IFERROR(BX3/BZ3,0)</f>
        <v>0</v>
      </c>
      <c r="CB3" s="230">
        <f ca="1">BY3+BX3+RANDBETWEEN(5000,50000)</f>
        <v>53933</v>
      </c>
      <c r="CC3" s="402">
        <f ca="1">IFERROR(CB3/BZ3,0)</f>
        <v>0</v>
      </c>
      <c r="CD3" s="353">
        <v>86610</v>
      </c>
      <c r="CE3" s="353">
        <v>22307</v>
      </c>
      <c r="CF3" s="293"/>
      <c r="CG3" s="402">
        <f>IFERROR(CD3/CF3,0)</f>
        <v>0</v>
      </c>
      <c r="CH3" s="230">
        <f ca="1">CE3+CD3+RANDBETWEEN(5000,50000)</f>
        <v>138300</v>
      </c>
      <c r="CI3" s="402">
        <f ca="1">IFERROR(CH3/CF3,0)</f>
        <v>0</v>
      </c>
      <c r="CJ3" s="353">
        <v>81139</v>
      </c>
      <c r="CK3" s="353">
        <v>21470</v>
      </c>
      <c r="CL3" s="293"/>
      <c r="CM3" s="402">
        <f>IFERROR(CJ3/CL3,0)</f>
        <v>0</v>
      </c>
      <c r="CN3" s="230">
        <f ca="1">CK3+CJ3+RANDBETWEEN(5000,50000)</f>
        <v>113638</v>
      </c>
      <c r="CO3" s="402">
        <f ca="1">IFERROR(CN3/CL3,0)</f>
        <v>0</v>
      </c>
      <c r="CP3" s="294"/>
      <c r="CQ3" s="313">
        <f t="shared" ref="CQ3" si="0">BY3+CE3+CK3</f>
        <v>66901</v>
      </c>
      <c r="CR3" s="294">
        <f>BZ3+CF3+CL3</f>
        <v>0</v>
      </c>
      <c r="CS3" s="410">
        <f>IFERROR(CP3/CR3,0)</f>
        <v>0</v>
      </c>
      <c r="CT3" s="445">
        <f ca="1">CB3+CH3+CN3</f>
        <v>305871</v>
      </c>
      <c r="CU3" s="410">
        <f ca="1">IFERROR(CT3/CR3,0)</f>
        <v>0</v>
      </c>
      <c r="CV3" s="355">
        <v>37769</v>
      </c>
      <c r="CW3" s="362">
        <v>47538</v>
      </c>
      <c r="CX3" s="297">
        <f t="shared" ref="CX3:CX12" si="1">X3+AV3+BT3+CR3</f>
        <v>0</v>
      </c>
      <c r="CY3" s="417">
        <f>IFERROR(CV3/CX3,0)</f>
        <v>0</v>
      </c>
      <c r="CZ3" s="438">
        <f t="shared" ref="CZ3:CZ12" ca="1" si="2">Z3+AX3+BV3+CT3</f>
        <v>1745473</v>
      </c>
      <c r="DA3" s="420">
        <f ca="1">IFERROR(CZ3/CX3,0)</f>
        <v>0</v>
      </c>
    </row>
    <row r="4" spans="1:105">
      <c r="A4" s="67"/>
      <c r="B4" s="68" t="s">
        <v>178</v>
      </c>
      <c r="C4" s="300"/>
      <c r="D4" s="292"/>
      <c r="E4" s="292"/>
      <c r="F4" s="293"/>
      <c r="G4" s="402">
        <f t="shared" ref="G4:G12" si="3">IFERROR(D4/F4,0)</f>
        <v>0</v>
      </c>
      <c r="H4" s="456"/>
      <c r="I4" s="402">
        <f t="shared" ref="I4:I12" si="4">IFERROR(H4/F4,0)</f>
        <v>0</v>
      </c>
      <c r="J4" s="292"/>
      <c r="K4" s="292"/>
      <c r="L4" s="293"/>
      <c r="M4" s="402">
        <f t="shared" ref="M4:M12" si="5">IFERROR(J4/L4,0)</f>
        <v>0</v>
      </c>
      <c r="N4" s="456"/>
      <c r="O4" s="402">
        <f t="shared" ref="O4:O12" si="6">IFERROR(N4/L4,0)</f>
        <v>0</v>
      </c>
      <c r="P4" s="292"/>
      <c r="Q4" s="292"/>
      <c r="R4" s="293"/>
      <c r="S4" s="402">
        <f t="shared" ref="S4:S12" si="7">IFERROR(P4/R4,0)</f>
        <v>0</v>
      </c>
      <c r="T4" s="451"/>
      <c r="U4" s="402">
        <f t="shared" ref="U4:U12" si="8">IFERROR(T4/R4,0)</f>
        <v>0</v>
      </c>
      <c r="V4" s="294"/>
      <c r="W4" s="294"/>
      <c r="X4" s="294">
        <f t="shared" ref="X4:X12" si="9">F4+L4+R4</f>
        <v>0</v>
      </c>
      <c r="Y4" s="410">
        <f t="shared" ref="Y4:Y12" si="10">IFERROR(V4/X4,0)</f>
        <v>0</v>
      </c>
      <c r="Z4" s="445">
        <f t="shared" ref="Z4:Z11" si="11">H4+N4+T4</f>
        <v>0</v>
      </c>
      <c r="AA4" s="410">
        <f t="shared" ref="AA4:AA12" si="12">IFERROR(Z4/X4,0)</f>
        <v>0</v>
      </c>
      <c r="AB4" s="292"/>
      <c r="AC4" s="292"/>
      <c r="AD4" s="293"/>
      <c r="AE4" s="402">
        <f t="shared" ref="AE4:AE12" si="13">IFERROR(AB4/AD4,0)</f>
        <v>0</v>
      </c>
      <c r="AF4" s="456"/>
      <c r="AG4" s="402">
        <f t="shared" ref="AG4:AG12" si="14">IFERROR(AF4/AD4,0)</f>
        <v>0</v>
      </c>
      <c r="AH4" s="292"/>
      <c r="AI4" s="292"/>
      <c r="AJ4" s="293"/>
      <c r="AK4" s="402">
        <f t="shared" ref="AK4:AK12" si="15">IFERROR(AH4/AJ4,0)</f>
        <v>0</v>
      </c>
      <c r="AL4" s="456"/>
      <c r="AM4" s="402">
        <f t="shared" ref="AM4:AM12" si="16">IFERROR(AL4/AJ4,0)</f>
        <v>0</v>
      </c>
      <c r="AN4" s="292"/>
      <c r="AO4" s="292"/>
      <c r="AP4" s="293"/>
      <c r="AQ4" s="402">
        <f t="shared" ref="AQ4:AQ12" si="17">IFERROR(AN4/AP4,0)</f>
        <v>0</v>
      </c>
      <c r="AR4" s="456"/>
      <c r="AS4" s="402">
        <f t="shared" ref="AS4:AS12" si="18">IFERROR(AR4/AP4,0)</f>
        <v>0</v>
      </c>
      <c r="AT4" s="294"/>
      <c r="AU4" s="294"/>
      <c r="AV4" s="294">
        <f t="shared" ref="AV4:AV12" si="19">AD4+AJ4+AP4</f>
        <v>0</v>
      </c>
      <c r="AW4" s="410">
        <f t="shared" ref="AW4:AW12" si="20">IFERROR(AT4/AV4,0)</f>
        <v>0</v>
      </c>
      <c r="AX4" s="445">
        <f t="shared" ref="AX4:AX10" si="21">AF4+AL4+AR4</f>
        <v>0</v>
      </c>
      <c r="AY4" s="410">
        <f t="shared" ref="AY4:AY12" si="22">IFERROR(AX4/AV4,0)</f>
        <v>0</v>
      </c>
      <c r="AZ4" s="292"/>
      <c r="BA4" s="292"/>
      <c r="BB4" s="293"/>
      <c r="BC4" s="402">
        <f t="shared" ref="BC4:BC12" si="23">IFERROR(AZ4/BB4,0)</f>
        <v>0</v>
      </c>
      <c r="BD4" s="456"/>
      <c r="BE4" s="402">
        <f t="shared" ref="BE4:BE12" si="24">IFERROR(BD4/BB4,0)</f>
        <v>0</v>
      </c>
      <c r="BF4" s="292"/>
      <c r="BG4" s="292"/>
      <c r="BH4" s="293"/>
      <c r="BI4" s="402">
        <f t="shared" ref="BI4:BI12" si="25">IFERROR(BF4/BH4,0)</f>
        <v>0</v>
      </c>
      <c r="BJ4" s="456"/>
      <c r="BK4" s="402">
        <f t="shared" ref="BK4:BK12" si="26">IFERROR(BJ4/BH4,0)</f>
        <v>0</v>
      </c>
      <c r="BL4" s="292"/>
      <c r="BM4" s="292"/>
      <c r="BN4" s="293"/>
      <c r="BO4" s="402">
        <f t="shared" ref="BO4:BO12" si="27">IFERROR(BL4/BN4,0)</f>
        <v>0</v>
      </c>
      <c r="BP4" s="456"/>
      <c r="BQ4" s="402">
        <f t="shared" ref="BQ4:BQ12" si="28">IFERROR(BP4/BN4,0)</f>
        <v>0</v>
      </c>
      <c r="BR4" s="294"/>
      <c r="BS4" s="294"/>
      <c r="BT4" s="294">
        <f t="shared" ref="BT4:BT11" si="29">BB4+BH4+BN4</f>
        <v>0</v>
      </c>
      <c r="BU4" s="410">
        <f t="shared" ref="BU4:BU12" si="30">IFERROR(BR4/BT4,0)</f>
        <v>0</v>
      </c>
      <c r="BV4" s="445">
        <f t="shared" ref="BV4:BV11" si="31">BD4+BJ4+BP4</f>
        <v>0</v>
      </c>
      <c r="BW4" s="410">
        <f t="shared" ref="BW4:BW12" si="32">IFERROR(BV4/BT4,0)</f>
        <v>0</v>
      </c>
      <c r="BX4" s="292"/>
      <c r="BY4" s="292"/>
      <c r="BZ4" s="293"/>
      <c r="CA4" s="402">
        <f t="shared" ref="CA4:CA12" si="33">IFERROR(BX4/BZ4,0)</f>
        <v>0</v>
      </c>
      <c r="CB4" s="456"/>
      <c r="CC4" s="402">
        <f t="shared" ref="CC4:CC12" si="34">IFERROR(CB4/BZ4,0)</f>
        <v>0</v>
      </c>
      <c r="CD4" s="292"/>
      <c r="CE4" s="292"/>
      <c r="CF4" s="293"/>
      <c r="CG4" s="402">
        <f t="shared" ref="CG4:CG12" si="35">IFERROR(CD4/CF4,0)</f>
        <v>0</v>
      </c>
      <c r="CH4" s="456"/>
      <c r="CI4" s="402">
        <f t="shared" ref="CI4:CI12" si="36">IFERROR(CH4/CF4,0)</f>
        <v>0</v>
      </c>
      <c r="CJ4" s="292"/>
      <c r="CK4" s="292"/>
      <c r="CL4" s="293"/>
      <c r="CM4" s="402">
        <f t="shared" ref="CM4:CM11" si="37">IFERROR(CJ4/CL4,0)</f>
        <v>0</v>
      </c>
      <c r="CN4" s="456"/>
      <c r="CO4" s="402">
        <f t="shared" ref="CO4:CO12" si="38">IFERROR(CN4/CL4,0)</f>
        <v>0</v>
      </c>
      <c r="CP4" s="294"/>
      <c r="CQ4" s="294"/>
      <c r="CR4" s="294">
        <f t="shared" ref="CR4:CR11" si="39">BZ4+CF4+CL4</f>
        <v>0</v>
      </c>
      <c r="CS4" s="410">
        <f t="shared" ref="CS4:CS12" si="40">IFERROR(CP4/CR4,0)</f>
        <v>0</v>
      </c>
      <c r="CT4" s="445">
        <f t="shared" ref="CT4:CT11" si="41">CB4+CH4+CN4</f>
        <v>0</v>
      </c>
      <c r="CU4" s="410">
        <f t="shared" ref="CU4:CU12" si="42">IFERROR(CT4/CR4,0)</f>
        <v>0</v>
      </c>
      <c r="CV4" s="297"/>
      <c r="CW4" s="297"/>
      <c r="CX4" s="297">
        <f t="shared" si="1"/>
        <v>0</v>
      </c>
      <c r="CY4" s="417">
        <f t="shared" ref="CY4:CY12" si="43">IFERROR(CV4/CX4,0)</f>
        <v>0</v>
      </c>
      <c r="CZ4" s="438">
        <f t="shared" si="2"/>
        <v>0</v>
      </c>
      <c r="DA4" s="420">
        <f t="shared" ref="DA4:DA12" si="44">IFERROR(CZ4/CX4,0)</f>
        <v>0</v>
      </c>
    </row>
    <row r="5" spans="1:105">
      <c r="A5" s="67"/>
      <c r="B5" s="68" t="s">
        <v>178</v>
      </c>
      <c r="C5" s="300"/>
      <c r="D5" s="292"/>
      <c r="E5" s="292"/>
      <c r="F5" s="293"/>
      <c r="G5" s="402">
        <f t="shared" si="3"/>
        <v>0</v>
      </c>
      <c r="H5" s="456"/>
      <c r="I5" s="402">
        <f t="shared" si="4"/>
        <v>0</v>
      </c>
      <c r="J5" s="292"/>
      <c r="K5" s="292"/>
      <c r="L5" s="293"/>
      <c r="M5" s="402">
        <f t="shared" si="5"/>
        <v>0</v>
      </c>
      <c r="N5" s="456"/>
      <c r="O5" s="402">
        <f t="shared" si="6"/>
        <v>0</v>
      </c>
      <c r="P5" s="292"/>
      <c r="Q5" s="292"/>
      <c r="R5" s="293"/>
      <c r="S5" s="402">
        <f t="shared" si="7"/>
        <v>0</v>
      </c>
      <c r="T5" s="451"/>
      <c r="U5" s="402">
        <f t="shared" si="8"/>
        <v>0</v>
      </c>
      <c r="V5" s="294"/>
      <c r="W5" s="294"/>
      <c r="X5" s="294">
        <f t="shared" si="9"/>
        <v>0</v>
      </c>
      <c r="Y5" s="410">
        <f t="shared" si="10"/>
        <v>0</v>
      </c>
      <c r="Z5" s="445">
        <f t="shared" si="11"/>
        <v>0</v>
      </c>
      <c r="AA5" s="410">
        <f t="shared" si="12"/>
        <v>0</v>
      </c>
      <c r="AB5" s="292"/>
      <c r="AC5" s="292"/>
      <c r="AD5" s="293"/>
      <c r="AE5" s="402">
        <f t="shared" si="13"/>
        <v>0</v>
      </c>
      <c r="AF5" s="456"/>
      <c r="AG5" s="402">
        <f t="shared" si="14"/>
        <v>0</v>
      </c>
      <c r="AH5" s="292"/>
      <c r="AI5" s="292"/>
      <c r="AJ5" s="293"/>
      <c r="AK5" s="402">
        <f t="shared" si="15"/>
        <v>0</v>
      </c>
      <c r="AL5" s="456"/>
      <c r="AM5" s="402">
        <f t="shared" si="16"/>
        <v>0</v>
      </c>
      <c r="AN5" s="292"/>
      <c r="AO5" s="292"/>
      <c r="AP5" s="293"/>
      <c r="AQ5" s="402">
        <f t="shared" si="17"/>
        <v>0</v>
      </c>
      <c r="AR5" s="456"/>
      <c r="AS5" s="402">
        <f t="shared" si="18"/>
        <v>0</v>
      </c>
      <c r="AT5" s="294"/>
      <c r="AU5" s="294"/>
      <c r="AV5" s="294">
        <f t="shared" si="19"/>
        <v>0</v>
      </c>
      <c r="AW5" s="410">
        <f t="shared" si="20"/>
        <v>0</v>
      </c>
      <c r="AX5" s="445">
        <f t="shared" si="21"/>
        <v>0</v>
      </c>
      <c r="AY5" s="410">
        <f t="shared" si="22"/>
        <v>0</v>
      </c>
      <c r="AZ5" s="292"/>
      <c r="BA5" s="292"/>
      <c r="BB5" s="293"/>
      <c r="BC5" s="402">
        <f t="shared" si="23"/>
        <v>0</v>
      </c>
      <c r="BD5" s="456"/>
      <c r="BE5" s="402">
        <f t="shared" si="24"/>
        <v>0</v>
      </c>
      <c r="BF5" s="292"/>
      <c r="BG5" s="292"/>
      <c r="BH5" s="293"/>
      <c r="BI5" s="402">
        <f t="shared" si="25"/>
        <v>0</v>
      </c>
      <c r="BJ5" s="456"/>
      <c r="BK5" s="402">
        <f t="shared" si="26"/>
        <v>0</v>
      </c>
      <c r="BL5" s="292"/>
      <c r="BM5" s="292"/>
      <c r="BN5" s="293"/>
      <c r="BO5" s="402">
        <f t="shared" si="27"/>
        <v>0</v>
      </c>
      <c r="BP5" s="456"/>
      <c r="BQ5" s="402">
        <f t="shared" si="28"/>
        <v>0</v>
      </c>
      <c r="BR5" s="294"/>
      <c r="BS5" s="294"/>
      <c r="BT5" s="294">
        <f t="shared" si="29"/>
        <v>0</v>
      </c>
      <c r="BU5" s="410">
        <f t="shared" si="30"/>
        <v>0</v>
      </c>
      <c r="BV5" s="445">
        <f t="shared" si="31"/>
        <v>0</v>
      </c>
      <c r="BW5" s="410">
        <f t="shared" si="32"/>
        <v>0</v>
      </c>
      <c r="BX5" s="292"/>
      <c r="BY5" s="292"/>
      <c r="BZ5" s="293"/>
      <c r="CA5" s="402">
        <f t="shared" si="33"/>
        <v>0</v>
      </c>
      <c r="CB5" s="456"/>
      <c r="CC5" s="402">
        <f t="shared" si="34"/>
        <v>0</v>
      </c>
      <c r="CD5" s="292"/>
      <c r="CE5" s="292"/>
      <c r="CF5" s="293"/>
      <c r="CG5" s="402">
        <f t="shared" si="35"/>
        <v>0</v>
      </c>
      <c r="CH5" s="456"/>
      <c r="CI5" s="402">
        <f t="shared" si="36"/>
        <v>0</v>
      </c>
      <c r="CJ5" s="292"/>
      <c r="CK5" s="292"/>
      <c r="CL5" s="293"/>
      <c r="CM5" s="402">
        <f t="shared" si="37"/>
        <v>0</v>
      </c>
      <c r="CN5" s="456"/>
      <c r="CO5" s="402">
        <f t="shared" si="38"/>
        <v>0</v>
      </c>
      <c r="CP5" s="294"/>
      <c r="CQ5" s="294"/>
      <c r="CR5" s="294">
        <f t="shared" si="39"/>
        <v>0</v>
      </c>
      <c r="CS5" s="410">
        <f t="shared" si="40"/>
        <v>0</v>
      </c>
      <c r="CT5" s="445">
        <f t="shared" si="41"/>
        <v>0</v>
      </c>
      <c r="CU5" s="410">
        <f t="shared" si="42"/>
        <v>0</v>
      </c>
      <c r="CV5" s="297"/>
      <c r="CW5" s="297"/>
      <c r="CX5" s="297">
        <f t="shared" si="1"/>
        <v>0</v>
      </c>
      <c r="CY5" s="417">
        <f t="shared" si="43"/>
        <v>0</v>
      </c>
      <c r="CZ5" s="438">
        <f t="shared" si="2"/>
        <v>0</v>
      </c>
      <c r="DA5" s="420">
        <f t="shared" si="44"/>
        <v>0</v>
      </c>
    </row>
    <row r="6" spans="1:105">
      <c r="A6" s="67"/>
      <c r="B6" s="69" t="s">
        <v>178</v>
      </c>
      <c r="C6" s="301"/>
      <c r="D6" s="302"/>
      <c r="E6" s="302"/>
      <c r="F6" s="303"/>
      <c r="G6" s="403">
        <f t="shared" si="3"/>
        <v>0</v>
      </c>
      <c r="H6" s="457"/>
      <c r="I6" s="403">
        <f t="shared" si="4"/>
        <v>0</v>
      </c>
      <c r="J6" s="302"/>
      <c r="K6" s="302"/>
      <c r="L6" s="303"/>
      <c r="M6" s="403">
        <f t="shared" si="5"/>
        <v>0</v>
      </c>
      <c r="N6" s="457"/>
      <c r="O6" s="403">
        <f t="shared" si="6"/>
        <v>0</v>
      </c>
      <c r="P6" s="302"/>
      <c r="Q6" s="302"/>
      <c r="R6" s="303"/>
      <c r="S6" s="403">
        <f t="shared" si="7"/>
        <v>0</v>
      </c>
      <c r="T6" s="452"/>
      <c r="U6" s="403">
        <f t="shared" si="8"/>
        <v>0</v>
      </c>
      <c r="V6" s="304"/>
      <c r="W6" s="304"/>
      <c r="X6" s="304">
        <f t="shared" si="9"/>
        <v>0</v>
      </c>
      <c r="Y6" s="411">
        <f t="shared" si="10"/>
        <v>0</v>
      </c>
      <c r="Z6" s="448">
        <f t="shared" si="11"/>
        <v>0</v>
      </c>
      <c r="AA6" s="411">
        <f t="shared" si="12"/>
        <v>0</v>
      </c>
      <c r="AB6" s="292"/>
      <c r="AC6" s="292"/>
      <c r="AD6" s="303"/>
      <c r="AE6" s="403">
        <f t="shared" si="13"/>
        <v>0</v>
      </c>
      <c r="AF6" s="457"/>
      <c r="AG6" s="403">
        <f t="shared" si="14"/>
        <v>0</v>
      </c>
      <c r="AH6" s="292"/>
      <c r="AI6" s="292"/>
      <c r="AJ6" s="303"/>
      <c r="AK6" s="403">
        <f t="shared" si="15"/>
        <v>0</v>
      </c>
      <c r="AL6" s="457"/>
      <c r="AM6" s="403">
        <f t="shared" si="16"/>
        <v>0</v>
      </c>
      <c r="AN6" s="292"/>
      <c r="AO6" s="292"/>
      <c r="AP6" s="303"/>
      <c r="AQ6" s="403">
        <f t="shared" si="17"/>
        <v>0</v>
      </c>
      <c r="AR6" s="457"/>
      <c r="AS6" s="403">
        <f t="shared" si="18"/>
        <v>0</v>
      </c>
      <c r="AT6" s="304"/>
      <c r="AU6" s="304"/>
      <c r="AV6" s="304">
        <f t="shared" si="19"/>
        <v>0</v>
      </c>
      <c r="AW6" s="411">
        <f t="shared" si="20"/>
        <v>0</v>
      </c>
      <c r="AX6" s="448">
        <f t="shared" si="21"/>
        <v>0</v>
      </c>
      <c r="AY6" s="411">
        <f t="shared" si="22"/>
        <v>0</v>
      </c>
      <c r="AZ6" s="292"/>
      <c r="BA6" s="292"/>
      <c r="BB6" s="303"/>
      <c r="BC6" s="403">
        <f t="shared" si="23"/>
        <v>0</v>
      </c>
      <c r="BD6" s="457"/>
      <c r="BE6" s="403">
        <f t="shared" si="24"/>
        <v>0</v>
      </c>
      <c r="BF6" s="292"/>
      <c r="BG6" s="292"/>
      <c r="BH6" s="303"/>
      <c r="BI6" s="403">
        <f t="shared" si="25"/>
        <v>0</v>
      </c>
      <c r="BJ6" s="457"/>
      <c r="BK6" s="403">
        <f t="shared" si="26"/>
        <v>0</v>
      </c>
      <c r="BL6" s="292"/>
      <c r="BM6" s="292"/>
      <c r="BN6" s="303"/>
      <c r="BO6" s="403">
        <f t="shared" si="27"/>
        <v>0</v>
      </c>
      <c r="BP6" s="457"/>
      <c r="BQ6" s="403">
        <f t="shared" si="28"/>
        <v>0</v>
      </c>
      <c r="BR6" s="304"/>
      <c r="BS6" s="304"/>
      <c r="BT6" s="304">
        <f t="shared" si="29"/>
        <v>0</v>
      </c>
      <c r="BU6" s="411">
        <f t="shared" si="30"/>
        <v>0</v>
      </c>
      <c r="BV6" s="448">
        <f t="shared" si="31"/>
        <v>0</v>
      </c>
      <c r="BW6" s="411">
        <f t="shared" si="32"/>
        <v>0</v>
      </c>
      <c r="BX6" s="292"/>
      <c r="BY6" s="292"/>
      <c r="BZ6" s="303"/>
      <c r="CA6" s="403">
        <f t="shared" si="33"/>
        <v>0</v>
      </c>
      <c r="CB6" s="457"/>
      <c r="CC6" s="403">
        <f t="shared" si="34"/>
        <v>0</v>
      </c>
      <c r="CD6" s="292"/>
      <c r="CE6" s="292"/>
      <c r="CF6" s="303"/>
      <c r="CG6" s="403">
        <f t="shared" si="35"/>
        <v>0</v>
      </c>
      <c r="CH6" s="457"/>
      <c r="CI6" s="403">
        <f t="shared" si="36"/>
        <v>0</v>
      </c>
      <c r="CJ6" s="292"/>
      <c r="CK6" s="292"/>
      <c r="CL6" s="303"/>
      <c r="CM6" s="403">
        <f t="shared" si="37"/>
        <v>0</v>
      </c>
      <c r="CN6" s="457"/>
      <c r="CO6" s="403">
        <f t="shared" si="38"/>
        <v>0</v>
      </c>
      <c r="CP6" s="304"/>
      <c r="CQ6" s="304"/>
      <c r="CR6" s="304">
        <f t="shared" si="39"/>
        <v>0</v>
      </c>
      <c r="CS6" s="411">
        <f t="shared" si="40"/>
        <v>0</v>
      </c>
      <c r="CT6" s="448">
        <f t="shared" si="41"/>
        <v>0</v>
      </c>
      <c r="CU6" s="411">
        <f t="shared" si="42"/>
        <v>0</v>
      </c>
      <c r="CV6" s="307"/>
      <c r="CW6" s="307"/>
      <c r="CX6" s="307">
        <f t="shared" si="1"/>
        <v>0</v>
      </c>
      <c r="CY6" s="418">
        <f t="shared" si="43"/>
        <v>0</v>
      </c>
      <c r="CZ6" s="439">
        <f t="shared" si="2"/>
        <v>0</v>
      </c>
      <c r="DA6" s="421">
        <f t="shared" si="44"/>
        <v>0</v>
      </c>
    </row>
    <row r="7" spans="1:105" ht="4.05" customHeight="1">
      <c r="A7" s="253"/>
      <c r="B7" s="254"/>
      <c r="C7" s="255"/>
      <c r="D7" s="359"/>
      <c r="E7" s="359"/>
      <c r="F7" s="255"/>
      <c r="G7" s="404"/>
      <c r="H7" s="462"/>
      <c r="I7" s="404"/>
      <c r="J7" s="256"/>
      <c r="K7" s="256"/>
      <c r="L7" s="257"/>
      <c r="M7" s="404"/>
      <c r="N7" s="462"/>
      <c r="O7" s="404"/>
      <c r="P7" s="255"/>
      <c r="Q7" s="255"/>
      <c r="R7" s="255"/>
      <c r="S7" s="404"/>
      <c r="T7" s="463"/>
      <c r="U7" s="409"/>
      <c r="V7" s="255"/>
      <c r="W7" s="255"/>
      <c r="X7" s="255"/>
      <c r="Y7" s="404"/>
      <c r="Z7" s="462"/>
      <c r="AA7" s="404"/>
      <c r="AB7" s="255"/>
      <c r="AC7" s="255"/>
      <c r="AD7" s="256"/>
      <c r="AE7" s="409"/>
      <c r="AF7" s="462"/>
      <c r="AG7" s="404"/>
      <c r="AH7" s="255"/>
      <c r="AI7" s="255"/>
      <c r="AJ7" s="255"/>
      <c r="AK7" s="404"/>
      <c r="AL7" s="462"/>
      <c r="AM7" s="414"/>
      <c r="AN7" s="257"/>
      <c r="AO7" s="257"/>
      <c r="AP7" s="255"/>
      <c r="AQ7" s="415"/>
      <c r="AR7" s="440"/>
      <c r="AS7" s="415"/>
      <c r="AT7" s="255"/>
      <c r="AU7" s="255"/>
      <c r="AV7" s="258"/>
      <c r="AW7" s="415"/>
      <c r="AX7" s="440"/>
      <c r="AY7" s="415"/>
      <c r="AZ7" s="258"/>
      <c r="BA7" s="258"/>
      <c r="BB7" s="258"/>
      <c r="BC7" s="415"/>
      <c r="BD7" s="440"/>
      <c r="BE7" s="415"/>
      <c r="BF7" s="258"/>
      <c r="BG7" s="258"/>
      <c r="BH7" s="258"/>
      <c r="BI7" s="415"/>
      <c r="BJ7" s="440"/>
      <c r="BK7" s="415"/>
      <c r="BL7" s="258"/>
      <c r="BM7" s="258"/>
      <c r="BN7" s="258"/>
      <c r="BO7" s="415"/>
      <c r="BP7" s="440"/>
      <c r="BQ7" s="415"/>
      <c r="BR7" s="255"/>
      <c r="BS7" s="255"/>
      <c r="BT7" s="258"/>
      <c r="BU7" s="415"/>
      <c r="BV7" s="440"/>
      <c r="BW7" s="415"/>
      <c r="BX7" s="258"/>
      <c r="BY7" s="258"/>
      <c r="BZ7" s="258"/>
      <c r="CA7" s="415"/>
      <c r="CB7" s="440"/>
      <c r="CC7" s="415"/>
      <c r="CD7" s="258"/>
      <c r="CE7" s="258"/>
      <c r="CF7" s="258"/>
      <c r="CG7" s="415"/>
      <c r="CH7" s="440"/>
      <c r="CI7" s="415"/>
      <c r="CJ7" s="258"/>
      <c r="CK7" s="258"/>
      <c r="CL7" s="258"/>
      <c r="CM7" s="415"/>
      <c r="CN7" s="440"/>
      <c r="CO7" s="415"/>
      <c r="CP7" s="255"/>
      <c r="CQ7" s="255"/>
      <c r="CR7" s="258"/>
      <c r="CS7" s="415"/>
      <c r="CT7" s="440"/>
      <c r="CU7" s="415"/>
      <c r="CV7" s="258"/>
      <c r="CW7" s="258"/>
      <c r="CX7" s="258"/>
      <c r="CY7" s="415"/>
      <c r="CZ7" s="440"/>
      <c r="DA7" s="415"/>
    </row>
    <row r="8" spans="1:105">
      <c r="A8" s="70" t="s">
        <v>89</v>
      </c>
      <c r="B8" s="71" t="s">
        <v>90</v>
      </c>
      <c r="C8" s="310"/>
      <c r="D8" s="360">
        <f>D22</f>
        <v>0</v>
      </c>
      <c r="E8" s="360">
        <f>E22</f>
        <v>0</v>
      </c>
      <c r="F8" s="312">
        <f>F22</f>
        <v>0</v>
      </c>
      <c r="G8" s="405">
        <f t="shared" si="3"/>
        <v>0</v>
      </c>
      <c r="H8" s="458">
        <f>H22</f>
        <v>0</v>
      </c>
      <c r="I8" s="405">
        <f t="shared" si="4"/>
        <v>0</v>
      </c>
      <c r="J8" s="360">
        <f>J22</f>
        <v>0</v>
      </c>
      <c r="K8" s="360">
        <f>K22</f>
        <v>0</v>
      </c>
      <c r="L8" s="312">
        <f>L22</f>
        <v>0</v>
      </c>
      <c r="M8" s="405">
        <f t="shared" si="5"/>
        <v>0</v>
      </c>
      <c r="N8" s="458">
        <f>N22</f>
        <v>0</v>
      </c>
      <c r="O8" s="405">
        <f t="shared" si="6"/>
        <v>0</v>
      </c>
      <c r="P8" s="360">
        <f>P22</f>
        <v>0</v>
      </c>
      <c r="Q8" s="360">
        <f>Q22</f>
        <v>0</v>
      </c>
      <c r="R8" s="312">
        <f>R22</f>
        <v>0</v>
      </c>
      <c r="S8" s="405">
        <f t="shared" si="7"/>
        <v>0</v>
      </c>
      <c r="T8" s="453">
        <f>T22</f>
        <v>0</v>
      </c>
      <c r="U8" s="405">
        <f t="shared" si="8"/>
        <v>0</v>
      </c>
      <c r="V8" s="294">
        <f t="shared" ref="V8:W11" si="45">D8+J8+P8</f>
        <v>0</v>
      </c>
      <c r="W8" s="313">
        <f t="shared" si="45"/>
        <v>0</v>
      </c>
      <c r="X8" s="313">
        <f t="shared" si="9"/>
        <v>0</v>
      </c>
      <c r="Y8" s="412">
        <f t="shared" si="10"/>
        <v>0</v>
      </c>
      <c r="Z8" s="449">
        <f t="shared" si="11"/>
        <v>0</v>
      </c>
      <c r="AA8" s="412">
        <f t="shared" si="12"/>
        <v>0</v>
      </c>
      <c r="AB8" s="360">
        <f>AB22</f>
        <v>0</v>
      </c>
      <c r="AC8" s="360">
        <f>AC22</f>
        <v>0</v>
      </c>
      <c r="AD8" s="312">
        <f>AD22</f>
        <v>0</v>
      </c>
      <c r="AE8" s="405">
        <f t="shared" si="13"/>
        <v>0</v>
      </c>
      <c r="AF8" s="458">
        <f>AF22</f>
        <v>0</v>
      </c>
      <c r="AG8" s="405">
        <f t="shared" si="14"/>
        <v>0</v>
      </c>
      <c r="AH8" s="360">
        <f>AH22</f>
        <v>0</v>
      </c>
      <c r="AI8" s="360">
        <f>AI22</f>
        <v>0</v>
      </c>
      <c r="AJ8" s="312">
        <f>AJ22</f>
        <v>0</v>
      </c>
      <c r="AK8" s="405">
        <f t="shared" si="15"/>
        <v>0</v>
      </c>
      <c r="AL8" s="458">
        <f>AL22</f>
        <v>0</v>
      </c>
      <c r="AM8" s="405">
        <f t="shared" si="16"/>
        <v>0</v>
      </c>
      <c r="AN8" s="360">
        <f>AN22</f>
        <v>0</v>
      </c>
      <c r="AO8" s="360">
        <f>AO22</f>
        <v>0</v>
      </c>
      <c r="AP8" s="312">
        <f>AP22</f>
        <v>0</v>
      </c>
      <c r="AQ8" s="405">
        <f t="shared" si="17"/>
        <v>0</v>
      </c>
      <c r="AR8" s="458">
        <f>AR22</f>
        <v>0</v>
      </c>
      <c r="AS8" s="405">
        <f t="shared" si="18"/>
        <v>0</v>
      </c>
      <c r="AT8" s="294">
        <f t="shared" ref="AT8:AU11" si="46">AB8+AH8+AN8</f>
        <v>0</v>
      </c>
      <c r="AU8" s="313">
        <f t="shared" si="46"/>
        <v>0</v>
      </c>
      <c r="AV8" s="313">
        <f t="shared" si="19"/>
        <v>0</v>
      </c>
      <c r="AW8" s="412">
        <f t="shared" si="20"/>
        <v>0</v>
      </c>
      <c r="AX8" s="449">
        <f t="shared" si="21"/>
        <v>0</v>
      </c>
      <c r="AY8" s="412">
        <f t="shared" si="22"/>
        <v>0</v>
      </c>
      <c r="AZ8" s="360">
        <f>AZ22</f>
        <v>0</v>
      </c>
      <c r="BA8" s="360">
        <f>BA22</f>
        <v>0</v>
      </c>
      <c r="BB8" s="312">
        <f>BB22</f>
        <v>0</v>
      </c>
      <c r="BC8" s="405">
        <f t="shared" si="23"/>
        <v>0</v>
      </c>
      <c r="BD8" s="458">
        <f>BD22</f>
        <v>0</v>
      </c>
      <c r="BE8" s="405">
        <f t="shared" si="24"/>
        <v>0</v>
      </c>
      <c r="BF8" s="360">
        <f>BF22</f>
        <v>0</v>
      </c>
      <c r="BG8" s="360">
        <f>BG22</f>
        <v>0</v>
      </c>
      <c r="BH8" s="312">
        <f>BH22</f>
        <v>0</v>
      </c>
      <c r="BI8" s="405">
        <f t="shared" si="25"/>
        <v>0</v>
      </c>
      <c r="BJ8" s="458">
        <f>BJ22</f>
        <v>0</v>
      </c>
      <c r="BK8" s="405">
        <f t="shared" si="26"/>
        <v>0</v>
      </c>
      <c r="BL8" s="360">
        <f>BL22</f>
        <v>0</v>
      </c>
      <c r="BM8" s="360">
        <f>BM22</f>
        <v>0</v>
      </c>
      <c r="BN8" s="312">
        <f>BN22</f>
        <v>0</v>
      </c>
      <c r="BO8" s="405">
        <f t="shared" si="27"/>
        <v>0</v>
      </c>
      <c r="BP8" s="458">
        <f>BP22</f>
        <v>0</v>
      </c>
      <c r="BQ8" s="405">
        <f t="shared" si="28"/>
        <v>0</v>
      </c>
      <c r="BR8" s="294">
        <f t="shared" ref="BR8:BS11" si="47">AZ8+BF8+BL8</f>
        <v>0</v>
      </c>
      <c r="BS8" s="313">
        <f t="shared" si="47"/>
        <v>0</v>
      </c>
      <c r="BT8" s="313">
        <f t="shared" si="29"/>
        <v>0</v>
      </c>
      <c r="BU8" s="412">
        <f t="shared" si="30"/>
        <v>0</v>
      </c>
      <c r="BV8" s="449">
        <f t="shared" si="31"/>
        <v>0</v>
      </c>
      <c r="BW8" s="412">
        <f t="shared" si="32"/>
        <v>0</v>
      </c>
      <c r="BX8" s="360">
        <f>BX22</f>
        <v>0</v>
      </c>
      <c r="BY8" s="360">
        <f>BY22</f>
        <v>0</v>
      </c>
      <c r="BZ8" s="312">
        <f>BZ22</f>
        <v>0</v>
      </c>
      <c r="CA8" s="405">
        <f t="shared" si="33"/>
        <v>0</v>
      </c>
      <c r="CB8" s="458">
        <f>CB22</f>
        <v>0</v>
      </c>
      <c r="CC8" s="405">
        <f t="shared" si="34"/>
        <v>0</v>
      </c>
      <c r="CD8" s="360">
        <f>CD22</f>
        <v>0</v>
      </c>
      <c r="CE8" s="360">
        <f>CE22</f>
        <v>0</v>
      </c>
      <c r="CF8" s="312">
        <f>CF22</f>
        <v>0</v>
      </c>
      <c r="CG8" s="405">
        <f t="shared" si="35"/>
        <v>0</v>
      </c>
      <c r="CH8" s="458">
        <f>CH22</f>
        <v>0</v>
      </c>
      <c r="CI8" s="405">
        <f t="shared" si="36"/>
        <v>0</v>
      </c>
      <c r="CJ8" s="360">
        <f>CJ22</f>
        <v>0</v>
      </c>
      <c r="CK8" s="360">
        <f>CK22</f>
        <v>0</v>
      </c>
      <c r="CL8" s="312">
        <f>CL22</f>
        <v>0</v>
      </c>
      <c r="CM8" s="405">
        <f t="shared" si="37"/>
        <v>0</v>
      </c>
      <c r="CN8" s="458">
        <f>CN22</f>
        <v>0</v>
      </c>
      <c r="CO8" s="405">
        <f t="shared" si="38"/>
        <v>0</v>
      </c>
      <c r="CP8" s="294">
        <f t="shared" ref="CP8:CQ11" si="48">BX8+CD8+CJ8</f>
        <v>0</v>
      </c>
      <c r="CQ8" s="313">
        <f t="shared" si="48"/>
        <v>0</v>
      </c>
      <c r="CR8" s="313">
        <f t="shared" si="39"/>
        <v>0</v>
      </c>
      <c r="CS8" s="412">
        <f t="shared" si="40"/>
        <v>0</v>
      </c>
      <c r="CT8" s="449">
        <f t="shared" si="41"/>
        <v>0</v>
      </c>
      <c r="CU8" s="412">
        <f t="shared" si="42"/>
        <v>0</v>
      </c>
      <c r="CV8" s="297">
        <f t="shared" ref="CV8:CW12" si="49">V8+AT8+BR8+CP8</f>
        <v>0</v>
      </c>
      <c r="CW8" s="316">
        <f t="shared" si="49"/>
        <v>0</v>
      </c>
      <c r="CX8" s="316">
        <f t="shared" si="1"/>
        <v>0</v>
      </c>
      <c r="CY8" s="419">
        <f t="shared" si="43"/>
        <v>0</v>
      </c>
      <c r="CZ8" s="441">
        <f t="shared" si="2"/>
        <v>0</v>
      </c>
      <c r="DA8" s="422">
        <f t="shared" si="44"/>
        <v>0</v>
      </c>
    </row>
    <row r="9" spans="1:105">
      <c r="A9" s="67" t="s">
        <v>91</v>
      </c>
      <c r="B9" s="68" t="s">
        <v>90</v>
      </c>
      <c r="C9" s="300"/>
      <c r="D9" s="360">
        <f>D30</f>
        <v>0</v>
      </c>
      <c r="E9" s="360">
        <f>E30</f>
        <v>0</v>
      </c>
      <c r="F9" s="319">
        <f>F30</f>
        <v>0</v>
      </c>
      <c r="G9" s="402">
        <f t="shared" si="3"/>
        <v>0</v>
      </c>
      <c r="H9" s="459">
        <f>H30</f>
        <v>0</v>
      </c>
      <c r="I9" s="402">
        <f t="shared" si="4"/>
        <v>0</v>
      </c>
      <c r="J9" s="360">
        <f>J30</f>
        <v>0</v>
      </c>
      <c r="K9" s="360">
        <f>K30</f>
        <v>0</v>
      </c>
      <c r="L9" s="319">
        <f>L30</f>
        <v>0</v>
      </c>
      <c r="M9" s="402">
        <f t="shared" si="5"/>
        <v>0</v>
      </c>
      <c r="N9" s="459">
        <f>N30</f>
        <v>0</v>
      </c>
      <c r="O9" s="402">
        <f t="shared" si="6"/>
        <v>0</v>
      </c>
      <c r="P9" s="360">
        <f>P30</f>
        <v>0</v>
      </c>
      <c r="Q9" s="360">
        <f>Q30</f>
        <v>0</v>
      </c>
      <c r="R9" s="319">
        <f>R30</f>
        <v>0</v>
      </c>
      <c r="S9" s="402">
        <f t="shared" si="7"/>
        <v>0</v>
      </c>
      <c r="T9" s="454">
        <f>T30</f>
        <v>0</v>
      </c>
      <c r="U9" s="402">
        <f t="shared" si="8"/>
        <v>0</v>
      </c>
      <c r="V9" s="294">
        <f t="shared" si="45"/>
        <v>0</v>
      </c>
      <c r="W9" s="294">
        <f t="shared" si="45"/>
        <v>0</v>
      </c>
      <c r="X9" s="294">
        <f t="shared" si="9"/>
        <v>0</v>
      </c>
      <c r="Y9" s="410">
        <f t="shared" si="10"/>
        <v>0</v>
      </c>
      <c r="Z9" s="445">
        <f t="shared" si="11"/>
        <v>0</v>
      </c>
      <c r="AA9" s="410">
        <f t="shared" si="12"/>
        <v>0</v>
      </c>
      <c r="AB9" s="360">
        <f>AB30</f>
        <v>0</v>
      </c>
      <c r="AC9" s="360">
        <f>AC30</f>
        <v>0</v>
      </c>
      <c r="AD9" s="319">
        <f>AD30</f>
        <v>0</v>
      </c>
      <c r="AE9" s="402">
        <f t="shared" si="13"/>
        <v>0</v>
      </c>
      <c r="AF9" s="459">
        <f>AF30</f>
        <v>0</v>
      </c>
      <c r="AG9" s="402">
        <f t="shared" si="14"/>
        <v>0</v>
      </c>
      <c r="AH9" s="360">
        <f>AH30</f>
        <v>0</v>
      </c>
      <c r="AI9" s="360">
        <f>AI30</f>
        <v>0</v>
      </c>
      <c r="AJ9" s="319">
        <f>AJ30</f>
        <v>0</v>
      </c>
      <c r="AK9" s="402">
        <f t="shared" si="15"/>
        <v>0</v>
      </c>
      <c r="AL9" s="459">
        <f>AL30</f>
        <v>0</v>
      </c>
      <c r="AM9" s="402">
        <f t="shared" si="16"/>
        <v>0</v>
      </c>
      <c r="AN9" s="360">
        <f>AN30</f>
        <v>0</v>
      </c>
      <c r="AO9" s="360">
        <f>AO30</f>
        <v>0</v>
      </c>
      <c r="AP9" s="319">
        <f>AP30</f>
        <v>0</v>
      </c>
      <c r="AQ9" s="402">
        <f t="shared" si="17"/>
        <v>0</v>
      </c>
      <c r="AR9" s="459">
        <f>AR30</f>
        <v>0</v>
      </c>
      <c r="AS9" s="402">
        <f t="shared" si="18"/>
        <v>0</v>
      </c>
      <c r="AT9" s="294">
        <f t="shared" si="46"/>
        <v>0</v>
      </c>
      <c r="AU9" s="294">
        <f t="shared" si="46"/>
        <v>0</v>
      </c>
      <c r="AV9" s="294">
        <f t="shared" si="19"/>
        <v>0</v>
      </c>
      <c r="AW9" s="410">
        <f t="shared" si="20"/>
        <v>0</v>
      </c>
      <c r="AX9" s="445">
        <f t="shared" si="21"/>
        <v>0</v>
      </c>
      <c r="AY9" s="410">
        <f t="shared" si="22"/>
        <v>0</v>
      </c>
      <c r="AZ9" s="360">
        <f>AZ30</f>
        <v>0</v>
      </c>
      <c r="BA9" s="360">
        <f>BA30</f>
        <v>0</v>
      </c>
      <c r="BB9" s="319">
        <f>BB30</f>
        <v>0</v>
      </c>
      <c r="BC9" s="402">
        <f t="shared" si="23"/>
        <v>0</v>
      </c>
      <c r="BD9" s="459">
        <f>BD30</f>
        <v>0</v>
      </c>
      <c r="BE9" s="402">
        <f t="shared" si="24"/>
        <v>0</v>
      </c>
      <c r="BF9" s="360">
        <f>BF30</f>
        <v>0</v>
      </c>
      <c r="BG9" s="360">
        <f>BG30</f>
        <v>0</v>
      </c>
      <c r="BH9" s="319">
        <f>BH30</f>
        <v>0</v>
      </c>
      <c r="BI9" s="402">
        <f t="shared" si="25"/>
        <v>0</v>
      </c>
      <c r="BJ9" s="459">
        <f>BJ30</f>
        <v>0</v>
      </c>
      <c r="BK9" s="402">
        <f t="shared" si="26"/>
        <v>0</v>
      </c>
      <c r="BL9" s="360">
        <f>BL30</f>
        <v>0</v>
      </c>
      <c r="BM9" s="360">
        <f>BM30</f>
        <v>0</v>
      </c>
      <c r="BN9" s="319">
        <f>BN30</f>
        <v>0</v>
      </c>
      <c r="BO9" s="402">
        <f t="shared" si="27"/>
        <v>0</v>
      </c>
      <c r="BP9" s="459">
        <f>BP30</f>
        <v>0</v>
      </c>
      <c r="BQ9" s="402">
        <f t="shared" si="28"/>
        <v>0</v>
      </c>
      <c r="BR9" s="294">
        <f t="shared" si="47"/>
        <v>0</v>
      </c>
      <c r="BS9" s="294">
        <f t="shared" si="47"/>
        <v>0</v>
      </c>
      <c r="BT9" s="294">
        <f t="shared" si="29"/>
        <v>0</v>
      </c>
      <c r="BU9" s="410">
        <f t="shared" si="30"/>
        <v>0</v>
      </c>
      <c r="BV9" s="445">
        <f t="shared" si="31"/>
        <v>0</v>
      </c>
      <c r="BW9" s="410">
        <f t="shared" si="32"/>
        <v>0</v>
      </c>
      <c r="BX9" s="360">
        <f>BX30</f>
        <v>0</v>
      </c>
      <c r="BY9" s="360">
        <f>BY30</f>
        <v>0</v>
      </c>
      <c r="BZ9" s="319">
        <f>BZ30</f>
        <v>0</v>
      </c>
      <c r="CA9" s="402">
        <f t="shared" si="33"/>
        <v>0</v>
      </c>
      <c r="CB9" s="459">
        <f>CB30</f>
        <v>0</v>
      </c>
      <c r="CC9" s="402">
        <f t="shared" si="34"/>
        <v>0</v>
      </c>
      <c r="CD9" s="360">
        <f>CD30</f>
        <v>0</v>
      </c>
      <c r="CE9" s="360">
        <f>CE30</f>
        <v>0</v>
      </c>
      <c r="CF9" s="319">
        <f>CF30</f>
        <v>0</v>
      </c>
      <c r="CG9" s="402">
        <f t="shared" si="35"/>
        <v>0</v>
      </c>
      <c r="CH9" s="459">
        <f>CH30</f>
        <v>0</v>
      </c>
      <c r="CI9" s="402">
        <f t="shared" si="36"/>
        <v>0</v>
      </c>
      <c r="CJ9" s="360">
        <f>CJ30</f>
        <v>0</v>
      </c>
      <c r="CK9" s="360">
        <f>CK30</f>
        <v>0</v>
      </c>
      <c r="CL9" s="319">
        <f>CL30</f>
        <v>0</v>
      </c>
      <c r="CM9" s="402">
        <f t="shared" si="37"/>
        <v>0</v>
      </c>
      <c r="CN9" s="459">
        <f>CN30</f>
        <v>0</v>
      </c>
      <c r="CO9" s="402">
        <f t="shared" si="38"/>
        <v>0</v>
      </c>
      <c r="CP9" s="294">
        <f t="shared" si="48"/>
        <v>0</v>
      </c>
      <c r="CQ9" s="294">
        <f t="shared" si="48"/>
        <v>0</v>
      </c>
      <c r="CR9" s="294">
        <f t="shared" si="39"/>
        <v>0</v>
      </c>
      <c r="CS9" s="410">
        <f t="shared" si="40"/>
        <v>0</v>
      </c>
      <c r="CT9" s="445">
        <f t="shared" si="41"/>
        <v>0</v>
      </c>
      <c r="CU9" s="410">
        <f t="shared" si="42"/>
        <v>0</v>
      </c>
      <c r="CV9" s="297">
        <f t="shared" si="49"/>
        <v>0</v>
      </c>
      <c r="CW9" s="297">
        <f t="shared" si="49"/>
        <v>0</v>
      </c>
      <c r="CX9" s="297">
        <f t="shared" si="1"/>
        <v>0</v>
      </c>
      <c r="CY9" s="417">
        <f t="shared" si="43"/>
        <v>0</v>
      </c>
      <c r="CZ9" s="438">
        <f t="shared" si="2"/>
        <v>0</v>
      </c>
      <c r="DA9" s="420">
        <f t="shared" si="44"/>
        <v>0</v>
      </c>
    </row>
    <row r="10" spans="1:105">
      <c r="A10" s="67" t="s">
        <v>92</v>
      </c>
      <c r="B10" s="68" t="s">
        <v>90</v>
      </c>
      <c r="C10" s="300"/>
      <c r="D10" s="358">
        <f>D39</f>
        <v>68506</v>
      </c>
      <c r="E10" s="358">
        <f>E39</f>
        <v>17659</v>
      </c>
      <c r="F10" s="319">
        <f>F39</f>
        <v>0</v>
      </c>
      <c r="G10" s="402">
        <f t="shared" si="3"/>
        <v>0</v>
      </c>
      <c r="H10" s="459">
        <f ca="1">H39</f>
        <v>95915</v>
      </c>
      <c r="I10" s="402">
        <f t="shared" ca="1" si="4"/>
        <v>0</v>
      </c>
      <c r="J10" s="358">
        <f>J39</f>
        <v>84390</v>
      </c>
      <c r="K10" s="358">
        <f>K39</f>
        <v>94015</v>
      </c>
      <c r="L10" s="319">
        <f>L39</f>
        <v>0</v>
      </c>
      <c r="M10" s="402">
        <f t="shared" si="5"/>
        <v>0</v>
      </c>
      <c r="N10" s="459">
        <f ca="1">N39</f>
        <v>191196</v>
      </c>
      <c r="O10" s="402">
        <f t="shared" ca="1" si="6"/>
        <v>0</v>
      </c>
      <c r="P10" s="358">
        <f>P39</f>
        <v>34300</v>
      </c>
      <c r="Q10" s="358">
        <f>Q39</f>
        <v>69089</v>
      </c>
      <c r="R10" s="319">
        <f>R39</f>
        <v>0</v>
      </c>
      <c r="S10" s="402">
        <f t="shared" si="7"/>
        <v>0</v>
      </c>
      <c r="T10" s="454">
        <f ca="1">T39</f>
        <v>112754</v>
      </c>
      <c r="U10" s="402">
        <f t="shared" ca="1" si="8"/>
        <v>0</v>
      </c>
      <c r="V10" s="294">
        <f t="shared" si="45"/>
        <v>187196</v>
      </c>
      <c r="W10" s="294">
        <f t="shared" si="45"/>
        <v>180763</v>
      </c>
      <c r="X10" s="294">
        <f t="shared" si="9"/>
        <v>0</v>
      </c>
      <c r="Y10" s="410">
        <f t="shared" si="10"/>
        <v>0</v>
      </c>
      <c r="Z10" s="445">
        <f t="shared" ca="1" si="11"/>
        <v>399865</v>
      </c>
      <c r="AA10" s="410">
        <f t="shared" ca="1" si="12"/>
        <v>0</v>
      </c>
      <c r="AB10" s="358">
        <f>AB39</f>
        <v>61816</v>
      </c>
      <c r="AC10" s="358">
        <f>AC39</f>
        <v>86354</v>
      </c>
      <c r="AD10" s="319">
        <f>AD39</f>
        <v>0</v>
      </c>
      <c r="AE10" s="402">
        <f t="shared" si="13"/>
        <v>0</v>
      </c>
      <c r="AF10" s="459">
        <f ca="1">AF39</f>
        <v>173562</v>
      </c>
      <c r="AG10" s="402">
        <f t="shared" ca="1" si="14"/>
        <v>0</v>
      </c>
      <c r="AH10" s="358">
        <f>AH39</f>
        <v>88433</v>
      </c>
      <c r="AI10" s="358">
        <f>AI39</f>
        <v>41930</v>
      </c>
      <c r="AJ10" s="319">
        <f>AJ39</f>
        <v>0</v>
      </c>
      <c r="AK10" s="402">
        <f t="shared" si="15"/>
        <v>0</v>
      </c>
      <c r="AL10" s="459">
        <f ca="1">AL39</f>
        <v>138706</v>
      </c>
      <c r="AM10" s="402">
        <f t="shared" ca="1" si="16"/>
        <v>0</v>
      </c>
      <c r="AN10" s="358">
        <f>AN39</f>
        <v>56962</v>
      </c>
      <c r="AO10" s="358">
        <f>AO39</f>
        <v>72336</v>
      </c>
      <c r="AP10" s="319">
        <f>AP39</f>
        <v>0</v>
      </c>
      <c r="AQ10" s="402">
        <f t="shared" si="17"/>
        <v>0</v>
      </c>
      <c r="AR10" s="459">
        <f ca="1">AR39</f>
        <v>138891</v>
      </c>
      <c r="AS10" s="402">
        <f t="shared" ca="1" si="18"/>
        <v>0</v>
      </c>
      <c r="AT10" s="294">
        <f t="shared" si="46"/>
        <v>207211</v>
      </c>
      <c r="AU10" s="294">
        <f t="shared" si="46"/>
        <v>200620</v>
      </c>
      <c r="AV10" s="294">
        <f t="shared" si="19"/>
        <v>0</v>
      </c>
      <c r="AW10" s="410">
        <f t="shared" si="20"/>
        <v>0</v>
      </c>
      <c r="AX10" s="445">
        <f t="shared" ca="1" si="21"/>
        <v>451159</v>
      </c>
      <c r="AY10" s="410">
        <f t="shared" ca="1" si="22"/>
        <v>0</v>
      </c>
      <c r="AZ10" s="358">
        <f>AZ39</f>
        <v>81450</v>
      </c>
      <c r="BA10" s="358">
        <f>BA39</f>
        <v>25030</v>
      </c>
      <c r="BB10" s="319">
        <f>BB39</f>
        <v>0</v>
      </c>
      <c r="BC10" s="402">
        <f t="shared" si="23"/>
        <v>0</v>
      </c>
      <c r="BD10" s="459">
        <f ca="1">BD39</f>
        <v>124002</v>
      </c>
      <c r="BE10" s="402">
        <f t="shared" ca="1" si="24"/>
        <v>0</v>
      </c>
      <c r="BF10" s="358">
        <f>BF39</f>
        <v>60910</v>
      </c>
      <c r="BG10" s="358">
        <f>BG39</f>
        <v>48228</v>
      </c>
      <c r="BH10" s="319">
        <f>BH39</f>
        <v>0</v>
      </c>
      <c r="BI10" s="402">
        <f t="shared" si="25"/>
        <v>0</v>
      </c>
      <c r="BJ10" s="459">
        <f ca="1">BJ39</f>
        <v>116192</v>
      </c>
      <c r="BK10" s="402">
        <f t="shared" ca="1" si="26"/>
        <v>0</v>
      </c>
      <c r="BL10" s="358">
        <f>BL39</f>
        <v>55797</v>
      </c>
      <c r="BM10" s="358">
        <f>BM39</f>
        <v>53749</v>
      </c>
      <c r="BN10" s="319">
        <f>BN39</f>
        <v>0</v>
      </c>
      <c r="BO10" s="402">
        <f t="shared" si="27"/>
        <v>0</v>
      </c>
      <c r="BP10" s="459">
        <f ca="1">BP39</f>
        <v>134912</v>
      </c>
      <c r="BQ10" s="402">
        <f t="shared" ca="1" si="28"/>
        <v>0</v>
      </c>
      <c r="BR10" s="294">
        <f t="shared" si="47"/>
        <v>198157</v>
      </c>
      <c r="BS10" s="294">
        <f t="shared" si="47"/>
        <v>127007</v>
      </c>
      <c r="BT10" s="294">
        <f t="shared" si="29"/>
        <v>0</v>
      </c>
      <c r="BU10" s="410">
        <f t="shared" si="30"/>
        <v>0</v>
      </c>
      <c r="BV10" s="445">
        <f t="shared" ca="1" si="31"/>
        <v>375106</v>
      </c>
      <c r="BW10" s="410">
        <f t="shared" ca="1" si="32"/>
        <v>0</v>
      </c>
      <c r="BX10" s="358">
        <f>BX39</f>
        <v>38793</v>
      </c>
      <c r="BY10" s="358">
        <f>BY39</f>
        <v>40582</v>
      </c>
      <c r="BZ10" s="319">
        <f>BZ39</f>
        <v>0</v>
      </c>
      <c r="CA10" s="402">
        <f t="shared" si="33"/>
        <v>0</v>
      </c>
      <c r="CB10" s="459">
        <f ca="1">CB39</f>
        <v>112051</v>
      </c>
      <c r="CC10" s="402">
        <f t="shared" ca="1" si="34"/>
        <v>0</v>
      </c>
      <c r="CD10" s="358">
        <f>CD39</f>
        <v>23036</v>
      </c>
      <c r="CE10" s="358">
        <f>CE39</f>
        <v>44892</v>
      </c>
      <c r="CF10" s="319">
        <f>CF39</f>
        <v>0</v>
      </c>
      <c r="CG10" s="402">
        <f t="shared" si="35"/>
        <v>0</v>
      </c>
      <c r="CH10" s="459">
        <f ca="1">CH39</f>
        <v>76943</v>
      </c>
      <c r="CI10" s="402">
        <f t="shared" ca="1" si="36"/>
        <v>0</v>
      </c>
      <c r="CJ10" s="358">
        <f>CJ39</f>
        <v>80404</v>
      </c>
      <c r="CK10" s="358">
        <f>CK39</f>
        <v>32254</v>
      </c>
      <c r="CL10" s="319">
        <f>CL39</f>
        <v>0</v>
      </c>
      <c r="CM10" s="402">
        <f t="shared" si="37"/>
        <v>0</v>
      </c>
      <c r="CN10" s="459">
        <f ca="1">CN39</f>
        <v>133280</v>
      </c>
      <c r="CO10" s="402">
        <f t="shared" ca="1" si="38"/>
        <v>0</v>
      </c>
      <c r="CP10" s="294">
        <f t="shared" si="48"/>
        <v>142233</v>
      </c>
      <c r="CQ10" s="294">
        <f t="shared" si="48"/>
        <v>117728</v>
      </c>
      <c r="CR10" s="294">
        <f t="shared" si="39"/>
        <v>0</v>
      </c>
      <c r="CS10" s="410">
        <f t="shared" si="40"/>
        <v>0</v>
      </c>
      <c r="CT10" s="445">
        <f t="shared" ca="1" si="41"/>
        <v>322274</v>
      </c>
      <c r="CU10" s="410">
        <f t="shared" ca="1" si="42"/>
        <v>0</v>
      </c>
      <c r="CV10" s="297">
        <f t="shared" si="49"/>
        <v>734797</v>
      </c>
      <c r="CW10" s="297">
        <f t="shared" si="49"/>
        <v>626118</v>
      </c>
      <c r="CX10" s="297">
        <f t="shared" si="1"/>
        <v>0</v>
      </c>
      <c r="CY10" s="417">
        <f t="shared" si="43"/>
        <v>0</v>
      </c>
      <c r="CZ10" s="438">
        <f t="shared" ca="1" si="2"/>
        <v>1548404</v>
      </c>
      <c r="DA10" s="420">
        <f t="shared" ca="1" si="44"/>
        <v>0</v>
      </c>
    </row>
    <row r="11" spans="1:105">
      <c r="A11" s="67" t="s">
        <v>93</v>
      </c>
      <c r="B11" s="68" t="s">
        <v>90</v>
      </c>
      <c r="C11" s="300"/>
      <c r="D11" s="292">
        <f>D51</f>
        <v>168529</v>
      </c>
      <c r="E11" s="292">
        <f>E51</f>
        <v>234591</v>
      </c>
      <c r="F11" s="319">
        <f>F51</f>
        <v>0</v>
      </c>
      <c r="G11" s="402">
        <f t="shared" si="3"/>
        <v>0</v>
      </c>
      <c r="H11" s="459">
        <f ca="1">H51</f>
        <v>481737</v>
      </c>
      <c r="I11" s="402">
        <f t="shared" ca="1" si="4"/>
        <v>0</v>
      </c>
      <c r="J11" s="292">
        <f>J51</f>
        <v>201497</v>
      </c>
      <c r="K11" s="292">
        <f>K51</f>
        <v>121120</v>
      </c>
      <c r="L11" s="319">
        <f>L51</f>
        <v>0</v>
      </c>
      <c r="M11" s="402">
        <f t="shared" si="5"/>
        <v>0</v>
      </c>
      <c r="N11" s="459">
        <f ca="1">N51</f>
        <v>422355</v>
      </c>
      <c r="O11" s="402">
        <f t="shared" ca="1" si="6"/>
        <v>0</v>
      </c>
      <c r="P11" s="292">
        <f>P51</f>
        <v>207337</v>
      </c>
      <c r="Q11" s="292">
        <f>Q51</f>
        <v>221875</v>
      </c>
      <c r="R11" s="319">
        <f>R51</f>
        <v>0</v>
      </c>
      <c r="S11" s="402">
        <f t="shared" si="7"/>
        <v>0</v>
      </c>
      <c r="T11" s="454">
        <f ca="1">T51</f>
        <v>493959</v>
      </c>
      <c r="U11" s="402">
        <f t="shared" ca="1" si="8"/>
        <v>0</v>
      </c>
      <c r="V11" s="294">
        <f t="shared" si="45"/>
        <v>577363</v>
      </c>
      <c r="W11" s="294">
        <f t="shared" si="45"/>
        <v>577586</v>
      </c>
      <c r="X11" s="294">
        <f t="shared" si="9"/>
        <v>0</v>
      </c>
      <c r="Y11" s="410">
        <f t="shared" si="10"/>
        <v>0</v>
      </c>
      <c r="Z11" s="445">
        <f t="shared" ca="1" si="11"/>
        <v>1398051</v>
      </c>
      <c r="AA11" s="410">
        <f t="shared" ca="1" si="12"/>
        <v>0</v>
      </c>
      <c r="AB11" s="292">
        <f>AB51</f>
        <v>155938</v>
      </c>
      <c r="AC11" s="292">
        <f>AC51</f>
        <v>243442</v>
      </c>
      <c r="AD11" s="319">
        <f>AD51</f>
        <v>0</v>
      </c>
      <c r="AE11" s="402">
        <f t="shared" si="13"/>
        <v>0</v>
      </c>
      <c r="AF11" s="459">
        <f ca="1">AF51</f>
        <v>507613</v>
      </c>
      <c r="AG11" s="402">
        <f t="shared" ca="1" si="14"/>
        <v>0</v>
      </c>
      <c r="AH11" s="292">
        <f>AH51</f>
        <v>172010</v>
      </c>
      <c r="AI11" s="292">
        <f>AI51</f>
        <v>137315</v>
      </c>
      <c r="AJ11" s="319">
        <f>AJ51</f>
        <v>0</v>
      </c>
      <c r="AK11" s="402">
        <f t="shared" si="15"/>
        <v>0</v>
      </c>
      <c r="AL11" s="459">
        <f ca="1">AL51</f>
        <v>435778</v>
      </c>
      <c r="AM11" s="402">
        <f t="shared" ca="1" si="16"/>
        <v>0</v>
      </c>
      <c r="AN11" s="292">
        <f>AN51</f>
        <v>137219</v>
      </c>
      <c r="AO11" s="292">
        <f>AO51</f>
        <v>240224</v>
      </c>
      <c r="AP11" s="319">
        <f>AP51</f>
        <v>0</v>
      </c>
      <c r="AQ11" s="402">
        <f t="shared" si="17"/>
        <v>0</v>
      </c>
      <c r="AR11" s="459">
        <f ca="1">AR51</f>
        <v>523399</v>
      </c>
      <c r="AS11" s="402">
        <f t="shared" ca="1" si="18"/>
        <v>0</v>
      </c>
      <c r="AT11" s="294">
        <f t="shared" si="46"/>
        <v>465167</v>
      </c>
      <c r="AU11" s="294">
        <f t="shared" si="46"/>
        <v>620981</v>
      </c>
      <c r="AV11" s="294">
        <f t="shared" si="19"/>
        <v>0</v>
      </c>
      <c r="AW11" s="410">
        <f t="shared" si="20"/>
        <v>0</v>
      </c>
      <c r="AX11" s="445">
        <f ca="1">AF11+AL11+AR11</f>
        <v>1466790</v>
      </c>
      <c r="AY11" s="410">
        <f t="shared" ca="1" si="22"/>
        <v>0</v>
      </c>
      <c r="AZ11" s="292">
        <f>AZ51</f>
        <v>249559</v>
      </c>
      <c r="BA11" s="292">
        <f>BA51</f>
        <v>187324</v>
      </c>
      <c r="BB11" s="319">
        <f>BB51</f>
        <v>0</v>
      </c>
      <c r="BC11" s="402">
        <f t="shared" si="23"/>
        <v>0</v>
      </c>
      <c r="BD11" s="459">
        <f ca="1">BD51</f>
        <v>437888</v>
      </c>
      <c r="BE11" s="402">
        <f t="shared" ca="1" si="24"/>
        <v>0</v>
      </c>
      <c r="BF11" s="292">
        <f>BF51</f>
        <v>303837</v>
      </c>
      <c r="BG11" s="292">
        <f>BG51</f>
        <v>259712</v>
      </c>
      <c r="BH11" s="319">
        <f>BH51</f>
        <v>0</v>
      </c>
      <c r="BI11" s="402">
        <f t="shared" si="25"/>
        <v>0</v>
      </c>
      <c r="BJ11" s="459">
        <f ca="1">BJ51</f>
        <v>546483</v>
      </c>
      <c r="BK11" s="402">
        <f t="shared" ca="1" si="26"/>
        <v>0</v>
      </c>
      <c r="BL11" s="292">
        <f>BL51</f>
        <v>144862</v>
      </c>
      <c r="BM11" s="292">
        <f>BM51</f>
        <v>247694</v>
      </c>
      <c r="BN11" s="319">
        <f>BN51</f>
        <v>0</v>
      </c>
      <c r="BO11" s="402">
        <f t="shared" si="27"/>
        <v>0</v>
      </c>
      <c r="BP11" s="459">
        <f ca="1">BP51</f>
        <v>345290</v>
      </c>
      <c r="BQ11" s="402">
        <f t="shared" ca="1" si="28"/>
        <v>0</v>
      </c>
      <c r="BR11" s="294">
        <f t="shared" si="47"/>
        <v>698258</v>
      </c>
      <c r="BS11" s="294">
        <f t="shared" si="47"/>
        <v>694730</v>
      </c>
      <c r="BT11" s="294">
        <f t="shared" si="29"/>
        <v>0</v>
      </c>
      <c r="BU11" s="410">
        <f t="shared" si="30"/>
        <v>0</v>
      </c>
      <c r="BV11" s="445">
        <f t="shared" ca="1" si="31"/>
        <v>1329661</v>
      </c>
      <c r="BW11" s="410">
        <f t="shared" ca="1" si="32"/>
        <v>0</v>
      </c>
      <c r="BX11" s="292">
        <f>BX51</f>
        <v>307419</v>
      </c>
      <c r="BY11" s="292">
        <f>BY51</f>
        <v>305008</v>
      </c>
      <c r="BZ11" s="319">
        <f>BZ51</f>
        <v>0</v>
      </c>
      <c r="CA11" s="402">
        <f t="shared" si="33"/>
        <v>0</v>
      </c>
      <c r="CB11" s="459">
        <f ca="1">CB51</f>
        <v>510015</v>
      </c>
      <c r="CC11" s="402">
        <f t="shared" ca="1" si="34"/>
        <v>0</v>
      </c>
      <c r="CD11" s="292">
        <f>CD51</f>
        <v>212619</v>
      </c>
      <c r="CE11" s="292">
        <f>CE51</f>
        <v>271106</v>
      </c>
      <c r="CF11" s="319">
        <f>CF51</f>
        <v>0</v>
      </c>
      <c r="CG11" s="402">
        <f t="shared" si="35"/>
        <v>0</v>
      </c>
      <c r="CH11" s="459">
        <f ca="1">CH51</f>
        <v>382911</v>
      </c>
      <c r="CI11" s="402">
        <f t="shared" ca="1" si="36"/>
        <v>0</v>
      </c>
      <c r="CJ11" s="292">
        <f>CJ51</f>
        <v>167926</v>
      </c>
      <c r="CK11" s="292">
        <f>CK51</f>
        <v>188448</v>
      </c>
      <c r="CL11" s="319">
        <f>CL51</f>
        <v>0</v>
      </c>
      <c r="CM11" s="402">
        <f t="shared" si="37"/>
        <v>0</v>
      </c>
      <c r="CN11" s="459">
        <f ca="1">CN51</f>
        <v>355918</v>
      </c>
      <c r="CO11" s="402">
        <f t="shared" ca="1" si="38"/>
        <v>0</v>
      </c>
      <c r="CP11" s="294">
        <f t="shared" si="48"/>
        <v>687964</v>
      </c>
      <c r="CQ11" s="294">
        <f t="shared" si="48"/>
        <v>764562</v>
      </c>
      <c r="CR11" s="294">
        <f t="shared" si="39"/>
        <v>0</v>
      </c>
      <c r="CS11" s="410">
        <f t="shared" si="40"/>
        <v>0</v>
      </c>
      <c r="CT11" s="445">
        <f t="shared" ca="1" si="41"/>
        <v>1248844</v>
      </c>
      <c r="CU11" s="410">
        <f t="shared" ca="1" si="42"/>
        <v>0</v>
      </c>
      <c r="CV11" s="297">
        <f t="shared" si="49"/>
        <v>2428752</v>
      </c>
      <c r="CW11" s="297">
        <f t="shared" si="49"/>
        <v>2657859</v>
      </c>
      <c r="CX11" s="297">
        <f t="shared" si="1"/>
        <v>0</v>
      </c>
      <c r="CY11" s="417">
        <f t="shared" si="43"/>
        <v>0</v>
      </c>
      <c r="CZ11" s="438">
        <f t="shared" ca="1" si="2"/>
        <v>5443346</v>
      </c>
      <c r="DA11" s="420">
        <f t="shared" ca="1" si="44"/>
        <v>0</v>
      </c>
    </row>
    <row r="12" spans="1:105" s="74" customFormat="1" ht="26.25">
      <c r="A12" s="64"/>
      <c r="B12" s="66" t="s">
        <v>154</v>
      </c>
      <c r="C12" s="66"/>
      <c r="D12" s="356">
        <f>SUM(D3:D11)</f>
        <v>315157</v>
      </c>
      <c r="E12" s="356">
        <f>SUM(E3:E11)</f>
        <v>337039</v>
      </c>
      <c r="F12" s="357">
        <v>300000</v>
      </c>
      <c r="G12" s="406">
        <f t="shared" si="3"/>
        <v>1.0505233333333333</v>
      </c>
      <c r="H12" s="442">
        <f ca="1">SUM(H3:H11)</f>
        <v>777875</v>
      </c>
      <c r="I12" s="406">
        <f t="shared" ca="1" si="4"/>
        <v>2.5929166666666665</v>
      </c>
      <c r="J12" s="356">
        <f>SUM(J3:J11)</f>
        <v>340725</v>
      </c>
      <c r="K12" s="356">
        <f>SUM(K3:K11)</f>
        <v>285371</v>
      </c>
      <c r="L12" s="356">
        <v>300000</v>
      </c>
      <c r="M12" s="406">
        <f t="shared" si="5"/>
        <v>1.13575</v>
      </c>
      <c r="N12" s="442">
        <f ca="1">SUM(N3:N11)</f>
        <v>744828</v>
      </c>
      <c r="O12" s="406">
        <f t="shared" ca="1" si="6"/>
        <v>2.4827599999999999</v>
      </c>
      <c r="P12" s="356">
        <f>SUM(P3:P11)</f>
        <v>310650</v>
      </c>
      <c r="Q12" s="356">
        <f>SUM(Q3:Q11)</f>
        <v>366109</v>
      </c>
      <c r="R12" s="356">
        <v>375000</v>
      </c>
      <c r="S12" s="406">
        <f t="shared" si="7"/>
        <v>0.82840000000000003</v>
      </c>
      <c r="T12" s="432">
        <f ca="1">SUM(T3:T11)</f>
        <v>794853</v>
      </c>
      <c r="U12" s="406">
        <f t="shared" ca="1" si="8"/>
        <v>2.1196079999999999</v>
      </c>
      <c r="V12" s="356">
        <f>SUM(V3:V11)</f>
        <v>824993</v>
      </c>
      <c r="W12" s="356">
        <f>SUM(W3:W11)</f>
        <v>823455</v>
      </c>
      <c r="X12" s="323">
        <f t="shared" si="9"/>
        <v>975000</v>
      </c>
      <c r="Y12" s="406">
        <f t="shared" si="10"/>
        <v>0.84614666666666671</v>
      </c>
      <c r="Z12" s="442">
        <f ca="1">SUM(Z3:Z11)</f>
        <v>2317556</v>
      </c>
      <c r="AA12" s="406">
        <f t="shared" ca="1" si="12"/>
        <v>2.3769805128205128</v>
      </c>
      <c r="AB12" s="356">
        <f>SUM(AB3:AB11)</f>
        <v>265530</v>
      </c>
      <c r="AC12" s="356">
        <f>SUM(AC3:AC11)</f>
        <v>400346</v>
      </c>
      <c r="AD12" s="356">
        <v>600000</v>
      </c>
      <c r="AE12" s="406">
        <f t="shared" si="13"/>
        <v>0.44255</v>
      </c>
      <c r="AF12" s="442">
        <f ca="1">SUM(AF3:AF11)</f>
        <v>849128</v>
      </c>
      <c r="AG12" s="406">
        <f t="shared" ca="1" si="14"/>
        <v>1.4152133333333334</v>
      </c>
      <c r="AH12" s="356">
        <f>SUM(AH3:AH11)</f>
        <v>307451</v>
      </c>
      <c r="AI12" s="356">
        <f>SUM(AI3:AI11)</f>
        <v>263069</v>
      </c>
      <c r="AJ12" s="356">
        <v>900000</v>
      </c>
      <c r="AK12" s="406">
        <f t="shared" si="15"/>
        <v>0.34161222222222221</v>
      </c>
      <c r="AL12" s="442">
        <f ca="1">SUM(AL3:AL11)</f>
        <v>722429</v>
      </c>
      <c r="AM12" s="406">
        <f t="shared" ca="1" si="16"/>
        <v>0.80269888888888885</v>
      </c>
      <c r="AN12" s="356">
        <f>SUM(AN3:AN11)</f>
        <v>260463</v>
      </c>
      <c r="AO12" s="356">
        <f>SUM(AO3:AO11)</f>
        <v>381784</v>
      </c>
      <c r="AP12" s="356">
        <v>1125000</v>
      </c>
      <c r="AQ12" s="406">
        <f t="shared" si="17"/>
        <v>0.23152266666666665</v>
      </c>
      <c r="AR12" s="442">
        <f ca="1">SUM(AR3:AR11)</f>
        <v>823057</v>
      </c>
      <c r="AS12" s="406">
        <f t="shared" ca="1" si="18"/>
        <v>0.73160622222222227</v>
      </c>
      <c r="AT12" s="356">
        <f>SUM(AT3:AT11)</f>
        <v>702323</v>
      </c>
      <c r="AU12" s="356">
        <f>SUM(AU3:AU11)</f>
        <v>862646</v>
      </c>
      <c r="AV12" s="323">
        <f t="shared" si="19"/>
        <v>2625000</v>
      </c>
      <c r="AW12" s="406">
        <f t="shared" si="20"/>
        <v>0.26755161904761904</v>
      </c>
      <c r="AX12" s="461">
        <f ca="1">AF12+AL12+AR12</f>
        <v>2394614</v>
      </c>
      <c r="AY12" s="406">
        <f t="shared" ca="1" si="22"/>
        <v>0.9122339047619048</v>
      </c>
      <c r="AZ12" s="356">
        <f>SUM(AZ3:AZ11)</f>
        <v>414096</v>
      </c>
      <c r="BA12" s="356">
        <f>SUM(BA3:BA11)</f>
        <v>270579</v>
      </c>
      <c r="BB12" s="356">
        <v>1275000</v>
      </c>
      <c r="BC12" s="406">
        <f t="shared" si="23"/>
        <v>0.32478117647058824</v>
      </c>
      <c r="BD12" s="442">
        <f ca="1">SUM(BD3:BD11)</f>
        <v>736631</v>
      </c>
      <c r="BE12" s="406">
        <f t="shared" ca="1" si="24"/>
        <v>0.57774980392156861</v>
      </c>
      <c r="BF12" s="356">
        <f>SUM(BF3:BF11)</f>
        <v>376303</v>
      </c>
      <c r="BG12" s="356">
        <f>SUM(BG3:BG11)</f>
        <v>380738</v>
      </c>
      <c r="BH12" s="356">
        <v>1425000</v>
      </c>
      <c r="BI12" s="406">
        <f t="shared" si="25"/>
        <v>0.26407228070175437</v>
      </c>
      <c r="BJ12" s="442">
        <f ca="1">SUM(BJ3:BJ11)</f>
        <v>766655</v>
      </c>
      <c r="BK12" s="406">
        <f t="shared" ca="1" si="26"/>
        <v>0.53800350877192982</v>
      </c>
      <c r="BL12" s="356">
        <f>SUM(BL3:BL11)</f>
        <v>252977</v>
      </c>
      <c r="BM12" s="356">
        <f>SUM(BM3:BM11)</f>
        <v>371702</v>
      </c>
      <c r="BN12" s="356">
        <v>1725000</v>
      </c>
      <c r="BO12" s="406">
        <f t="shared" si="27"/>
        <v>0.14665333333333333</v>
      </c>
      <c r="BP12" s="442">
        <f ca="1">SUM(BP3:BP11)</f>
        <v>644778</v>
      </c>
      <c r="BQ12" s="406">
        <f t="shared" ca="1" si="28"/>
        <v>0.37378434782608694</v>
      </c>
      <c r="BR12" s="356">
        <f>SUM(BR3:BR11)</f>
        <v>896415</v>
      </c>
      <c r="BS12" s="356">
        <f>SUM(BS3:BS11)</f>
        <v>821737</v>
      </c>
      <c r="BT12" s="356">
        <f>BB12+BH12+BN12</f>
        <v>4425000</v>
      </c>
      <c r="BU12" s="406">
        <f t="shared" si="30"/>
        <v>0.20257966101694916</v>
      </c>
      <c r="BV12" s="461">
        <f ca="1">BD12+BJ12+BP12</f>
        <v>2148064</v>
      </c>
      <c r="BW12" s="406">
        <f t="shared" ca="1" si="32"/>
        <v>0.48543819209039546</v>
      </c>
      <c r="BX12" s="356">
        <f>SUM(BX3:BX11)</f>
        <v>357497</v>
      </c>
      <c r="BY12" s="356">
        <f>SUM(BY3:BY11)</f>
        <v>368714</v>
      </c>
      <c r="BZ12" s="356">
        <v>2100000</v>
      </c>
      <c r="CA12" s="406">
        <f t="shared" si="33"/>
        <v>0.17023666666666668</v>
      </c>
      <c r="CB12" s="442">
        <f ca="1">SUM(CB3:CB11)</f>
        <v>675999</v>
      </c>
      <c r="CC12" s="406">
        <f t="shared" ca="1" si="34"/>
        <v>0.3219042857142857</v>
      </c>
      <c r="CD12" s="356">
        <f>SUM(CD3:CD11)</f>
        <v>322265</v>
      </c>
      <c r="CE12" s="356">
        <f>SUM(CE3:CE11)</f>
        <v>338305</v>
      </c>
      <c r="CF12" s="356">
        <v>2475000</v>
      </c>
      <c r="CG12" s="406">
        <f t="shared" si="35"/>
        <v>0.1302080808080808</v>
      </c>
      <c r="CH12" s="442">
        <f ca="1">SUM(CH3:CH11)</f>
        <v>598154</v>
      </c>
      <c r="CI12" s="406">
        <f t="shared" ca="1" si="36"/>
        <v>0.24167838383838383</v>
      </c>
      <c r="CJ12" s="356">
        <f>SUM(CJ3:CJ11)</f>
        <v>329469</v>
      </c>
      <c r="CK12" s="356">
        <f>SUM(CK3:CK11)</f>
        <v>242172</v>
      </c>
      <c r="CL12" s="356">
        <v>2550000</v>
      </c>
      <c r="CM12" s="406"/>
      <c r="CN12" s="442">
        <f ca="1">SUM(CN3:CN11)</f>
        <v>602836</v>
      </c>
      <c r="CO12" s="406">
        <f t="shared" ca="1" si="38"/>
        <v>0.23640627450980392</v>
      </c>
      <c r="CP12" s="356">
        <f>SUM(CP3:CP11)</f>
        <v>830197</v>
      </c>
      <c r="CQ12" s="356">
        <f>SUM(CQ3:CQ11)</f>
        <v>949191</v>
      </c>
      <c r="CR12" s="323">
        <f>BZ12+CF12+CL12</f>
        <v>7125000</v>
      </c>
      <c r="CS12" s="406">
        <f t="shared" si="40"/>
        <v>0.11651887719298246</v>
      </c>
      <c r="CT12" s="442">
        <f ca="1">SUM(CT3:CT11)</f>
        <v>1876989</v>
      </c>
      <c r="CU12" s="406">
        <f t="shared" ca="1" si="42"/>
        <v>0.26343705263157896</v>
      </c>
      <c r="CV12" s="356">
        <f t="shared" si="49"/>
        <v>3253928</v>
      </c>
      <c r="CW12" s="356">
        <f t="shared" si="49"/>
        <v>3457029</v>
      </c>
      <c r="CX12" s="356">
        <f t="shared" si="1"/>
        <v>15150000</v>
      </c>
      <c r="CY12" s="406">
        <f t="shared" si="43"/>
        <v>0.21478072607260726</v>
      </c>
      <c r="CZ12" s="442">
        <f t="shared" ca="1" si="2"/>
        <v>8737223</v>
      </c>
      <c r="DA12" s="423">
        <f t="shared" ca="1" si="44"/>
        <v>0.57671438943894393</v>
      </c>
    </row>
    <row r="13" spans="1:105" ht="15.4">
      <c r="A13" s="7"/>
      <c r="B13" s="325"/>
      <c r="C13" s="325"/>
      <c r="D13" s="7"/>
      <c r="E13" s="7"/>
      <c r="H13" s="443"/>
      <c r="I13" s="172"/>
      <c r="J13" s="7"/>
      <c r="K13" s="7"/>
      <c r="N13" s="443"/>
      <c r="O13" s="172"/>
      <c r="T13" s="433"/>
      <c r="U13" s="172"/>
      <c r="X13" s="7"/>
      <c r="Y13" s="172"/>
      <c r="Z13" s="443"/>
      <c r="AA13" s="172"/>
      <c r="AF13" s="443"/>
      <c r="AG13" s="172"/>
      <c r="AH13" s="7"/>
      <c r="AI13" s="7"/>
      <c r="AJ13" s="7"/>
      <c r="AK13" s="172"/>
      <c r="AL13" s="443"/>
      <c r="AM13" s="172"/>
      <c r="AN13" s="7"/>
      <c r="AO13" s="7"/>
      <c r="AP13" s="7"/>
      <c r="AQ13" s="172"/>
      <c r="AR13" s="443"/>
      <c r="AS13" s="172"/>
      <c r="AT13" s="7"/>
      <c r="AU13" s="7"/>
      <c r="AV13" s="7"/>
      <c r="AW13" s="172"/>
      <c r="AX13" s="443"/>
      <c r="AY13" s="172"/>
      <c r="AZ13" s="7"/>
      <c r="BA13" s="7"/>
      <c r="BB13" s="7"/>
      <c r="BC13" s="172"/>
      <c r="BD13" s="443"/>
      <c r="BE13" s="172"/>
      <c r="BF13" s="7"/>
      <c r="BG13" s="7"/>
      <c r="BH13" s="7"/>
      <c r="BI13" s="172"/>
      <c r="BJ13" s="443"/>
      <c r="BK13" s="172"/>
      <c r="BL13" s="7"/>
      <c r="BM13" s="7"/>
      <c r="BN13" s="7"/>
      <c r="BO13" s="172"/>
      <c r="BP13" s="443"/>
      <c r="BQ13" s="172"/>
      <c r="BR13" s="7"/>
      <c r="BS13" s="7"/>
      <c r="BT13" s="7"/>
      <c r="BU13" s="172"/>
      <c r="BV13" s="443"/>
      <c r="BW13" s="172"/>
      <c r="BX13" s="7"/>
      <c r="BY13" s="7"/>
      <c r="BZ13" s="7"/>
      <c r="CA13" s="172"/>
      <c r="CB13" s="443"/>
      <c r="CC13" s="172"/>
      <c r="CD13" s="7"/>
      <c r="CE13" s="7"/>
      <c r="CF13" s="7"/>
      <c r="CG13" s="172"/>
      <c r="CH13" s="443"/>
      <c r="CI13" s="172"/>
      <c r="CJ13" s="7"/>
      <c r="CK13" s="7"/>
      <c r="CL13" s="7"/>
      <c r="CM13" s="172"/>
      <c r="CN13" s="443"/>
      <c r="CO13" s="172"/>
      <c r="CP13" s="7"/>
      <c r="CQ13" s="7"/>
      <c r="CR13" s="7"/>
      <c r="CS13" s="172"/>
      <c r="CT13" s="443"/>
      <c r="CU13" s="172"/>
      <c r="CV13" s="7"/>
      <c r="CW13" s="7"/>
      <c r="CX13" s="7"/>
      <c r="CY13" s="172"/>
      <c r="CZ13" s="443"/>
      <c r="DA13" s="172"/>
    </row>
    <row r="14" spans="1:105" ht="14.65" thickBot="1"/>
    <row r="15" spans="1:105" ht="26.25">
      <c r="A15" s="66" t="s">
        <v>94</v>
      </c>
      <c r="B15" s="66" t="s">
        <v>149</v>
      </c>
      <c r="C15" s="66" t="s">
        <v>138</v>
      </c>
      <c r="D15" s="288" t="s">
        <v>168</v>
      </c>
      <c r="E15" s="288" t="s">
        <v>169</v>
      </c>
      <c r="F15" s="289" t="s">
        <v>136</v>
      </c>
      <c r="G15" s="166" t="s">
        <v>57</v>
      </c>
      <c r="H15" s="437" t="s">
        <v>34</v>
      </c>
      <c r="I15" s="133" t="s">
        <v>58</v>
      </c>
      <c r="J15" s="288" t="s">
        <v>168</v>
      </c>
      <c r="K15" s="288" t="s">
        <v>169</v>
      </c>
      <c r="L15" s="289" t="s">
        <v>136</v>
      </c>
      <c r="M15" s="166" t="s">
        <v>57</v>
      </c>
      <c r="N15" s="437" t="s">
        <v>34</v>
      </c>
      <c r="O15" s="133" t="s">
        <v>58</v>
      </c>
      <c r="P15" s="288" t="s">
        <v>168</v>
      </c>
      <c r="Q15" s="288" t="s">
        <v>169</v>
      </c>
      <c r="R15" s="289" t="s">
        <v>136</v>
      </c>
      <c r="S15" s="166" t="s">
        <v>57</v>
      </c>
      <c r="T15" s="431" t="s">
        <v>34</v>
      </c>
      <c r="U15" s="133" t="s">
        <v>58</v>
      </c>
      <c r="V15" s="288" t="s">
        <v>168</v>
      </c>
      <c r="W15" s="288" t="s">
        <v>169</v>
      </c>
      <c r="X15" s="289" t="s">
        <v>136</v>
      </c>
      <c r="Y15" s="166" t="s">
        <v>57</v>
      </c>
      <c r="Z15" s="437" t="s">
        <v>34</v>
      </c>
      <c r="AA15" s="133" t="s">
        <v>58</v>
      </c>
      <c r="AB15" s="288" t="s">
        <v>168</v>
      </c>
      <c r="AC15" s="288" t="s">
        <v>169</v>
      </c>
      <c r="AD15" s="289" t="s">
        <v>136</v>
      </c>
      <c r="AE15" s="166" t="s">
        <v>57</v>
      </c>
      <c r="AF15" s="437" t="s">
        <v>34</v>
      </c>
      <c r="AG15" s="133" t="s">
        <v>58</v>
      </c>
      <c r="AH15" s="288" t="s">
        <v>168</v>
      </c>
      <c r="AI15" s="288" t="s">
        <v>169</v>
      </c>
      <c r="AJ15" s="289" t="s">
        <v>136</v>
      </c>
      <c r="AK15" s="166" t="s">
        <v>57</v>
      </c>
      <c r="AL15" s="437" t="s">
        <v>34</v>
      </c>
      <c r="AM15" s="133" t="s">
        <v>58</v>
      </c>
      <c r="AN15" s="288" t="s">
        <v>168</v>
      </c>
      <c r="AO15" s="288" t="s">
        <v>169</v>
      </c>
      <c r="AP15" s="289" t="s">
        <v>136</v>
      </c>
      <c r="AQ15" s="166" t="s">
        <v>57</v>
      </c>
      <c r="AR15" s="437" t="s">
        <v>34</v>
      </c>
      <c r="AS15" s="133" t="s">
        <v>58</v>
      </c>
      <c r="AT15" s="288" t="s">
        <v>168</v>
      </c>
      <c r="AU15" s="288" t="s">
        <v>169</v>
      </c>
      <c r="AV15" s="289" t="s">
        <v>136</v>
      </c>
      <c r="AW15" s="166" t="s">
        <v>57</v>
      </c>
      <c r="AX15" s="437" t="s">
        <v>34</v>
      </c>
      <c r="AY15" s="133" t="s">
        <v>58</v>
      </c>
      <c r="AZ15" s="288" t="s">
        <v>168</v>
      </c>
      <c r="BA15" s="288" t="s">
        <v>169</v>
      </c>
      <c r="BB15" s="289" t="s">
        <v>136</v>
      </c>
      <c r="BC15" s="166" t="s">
        <v>57</v>
      </c>
      <c r="BD15" s="437" t="s">
        <v>34</v>
      </c>
      <c r="BE15" s="133" t="s">
        <v>58</v>
      </c>
      <c r="BF15" s="288" t="s">
        <v>168</v>
      </c>
      <c r="BG15" s="288" t="s">
        <v>169</v>
      </c>
      <c r="BH15" s="289" t="s">
        <v>136</v>
      </c>
      <c r="BI15" s="166" t="s">
        <v>57</v>
      </c>
      <c r="BJ15" s="437" t="s">
        <v>34</v>
      </c>
      <c r="BK15" s="133" t="s">
        <v>58</v>
      </c>
      <c r="BL15" s="288" t="s">
        <v>168</v>
      </c>
      <c r="BM15" s="288" t="s">
        <v>169</v>
      </c>
      <c r="BN15" s="289" t="s">
        <v>136</v>
      </c>
      <c r="BO15" s="166" t="s">
        <v>57</v>
      </c>
      <c r="BP15" s="437" t="s">
        <v>34</v>
      </c>
      <c r="BQ15" s="133" t="s">
        <v>58</v>
      </c>
      <c r="BR15" s="288" t="s">
        <v>168</v>
      </c>
      <c r="BS15" s="288" t="s">
        <v>169</v>
      </c>
      <c r="BT15" s="289" t="s">
        <v>136</v>
      </c>
      <c r="BU15" s="166" t="s">
        <v>57</v>
      </c>
      <c r="BV15" s="437" t="s">
        <v>34</v>
      </c>
      <c r="BW15" s="133" t="s">
        <v>58</v>
      </c>
      <c r="BX15" s="288" t="s">
        <v>168</v>
      </c>
      <c r="BY15" s="288" t="s">
        <v>169</v>
      </c>
      <c r="BZ15" s="289" t="s">
        <v>136</v>
      </c>
      <c r="CA15" s="166" t="s">
        <v>57</v>
      </c>
      <c r="CB15" s="437" t="s">
        <v>34</v>
      </c>
      <c r="CC15" s="133" t="s">
        <v>58</v>
      </c>
      <c r="CD15" s="288" t="s">
        <v>168</v>
      </c>
      <c r="CE15" s="288" t="s">
        <v>169</v>
      </c>
      <c r="CF15" s="289" t="s">
        <v>136</v>
      </c>
      <c r="CG15" s="166" t="s">
        <v>57</v>
      </c>
      <c r="CH15" s="437" t="s">
        <v>34</v>
      </c>
      <c r="CI15" s="133" t="s">
        <v>58</v>
      </c>
      <c r="CJ15" s="288" t="s">
        <v>168</v>
      </c>
      <c r="CK15" s="288" t="s">
        <v>169</v>
      </c>
      <c r="CL15" s="289" t="s">
        <v>136</v>
      </c>
      <c r="CM15" s="166" t="s">
        <v>57</v>
      </c>
      <c r="CN15" s="437" t="s">
        <v>34</v>
      </c>
      <c r="CO15" s="133" t="s">
        <v>58</v>
      </c>
      <c r="CP15" s="288" t="s">
        <v>168</v>
      </c>
      <c r="CQ15" s="288" t="s">
        <v>169</v>
      </c>
      <c r="CR15" s="289" t="s">
        <v>136</v>
      </c>
      <c r="CS15" s="166" t="s">
        <v>57</v>
      </c>
      <c r="CT15" s="437" t="s">
        <v>34</v>
      </c>
      <c r="CU15" s="133" t="s">
        <v>58</v>
      </c>
      <c r="CV15" s="288" t="s">
        <v>168</v>
      </c>
      <c r="CW15" s="288" t="s">
        <v>169</v>
      </c>
      <c r="CX15" s="289" t="s">
        <v>136</v>
      </c>
      <c r="CY15" s="166" t="s">
        <v>57</v>
      </c>
      <c r="CZ15" s="437" t="s">
        <v>34</v>
      </c>
      <c r="DA15" s="133" t="s">
        <v>58</v>
      </c>
    </row>
    <row r="16" spans="1:105">
      <c r="A16" s="67" t="s">
        <v>125</v>
      </c>
      <c r="B16" s="68" t="s">
        <v>165</v>
      </c>
      <c r="C16" s="401"/>
      <c r="D16" s="292"/>
      <c r="E16" s="292"/>
      <c r="F16" s="326"/>
      <c r="G16" s="402"/>
      <c r="H16" s="460"/>
      <c r="I16" s="402"/>
      <c r="J16" s="292"/>
      <c r="K16" s="292"/>
      <c r="L16" s="326"/>
      <c r="M16" s="402"/>
      <c r="N16" s="460"/>
      <c r="O16" s="402"/>
      <c r="P16" s="292"/>
      <c r="Q16" s="292"/>
      <c r="R16" s="326"/>
      <c r="S16" s="402"/>
      <c r="T16" s="455"/>
      <c r="U16" s="402"/>
      <c r="V16" s="328"/>
      <c r="W16" s="328"/>
      <c r="X16" s="328"/>
      <c r="Y16" s="410"/>
      <c r="Z16" s="445"/>
      <c r="AA16" s="410"/>
      <c r="AB16" s="292"/>
      <c r="AC16" s="292"/>
      <c r="AD16" s="326"/>
      <c r="AE16" s="402"/>
      <c r="AF16" s="460">
        <v>0</v>
      </c>
      <c r="AG16" s="402">
        <v>0</v>
      </c>
      <c r="AH16" s="292"/>
      <c r="AI16" s="292"/>
      <c r="AJ16" s="326"/>
      <c r="AK16" s="402"/>
      <c r="AL16" s="460"/>
      <c r="AM16" s="402">
        <v>0</v>
      </c>
      <c r="AN16" s="292"/>
      <c r="AO16" s="292"/>
      <c r="AP16" s="326"/>
      <c r="AQ16" s="402"/>
      <c r="AR16" s="460"/>
      <c r="AS16" s="402">
        <v>0</v>
      </c>
      <c r="AT16" s="328"/>
      <c r="AU16" s="328"/>
      <c r="AV16" s="328"/>
      <c r="AW16" s="410"/>
      <c r="AX16" s="445"/>
      <c r="AY16" s="410"/>
      <c r="AZ16" s="292"/>
      <c r="BA16" s="292"/>
      <c r="BB16" s="326"/>
      <c r="BC16" s="402"/>
      <c r="BD16" s="460"/>
      <c r="BE16" s="402"/>
      <c r="BF16" s="292"/>
      <c r="BG16" s="292"/>
      <c r="BH16" s="326"/>
      <c r="BI16" s="402"/>
      <c r="BJ16" s="460"/>
      <c r="BK16" s="402"/>
      <c r="BL16" s="292"/>
      <c r="BM16" s="292"/>
      <c r="BN16" s="326"/>
      <c r="BO16" s="402"/>
      <c r="BP16" s="460"/>
      <c r="BQ16" s="402"/>
      <c r="BR16" s="328"/>
      <c r="BS16" s="328"/>
      <c r="BT16" s="328"/>
      <c r="BU16" s="410"/>
      <c r="BV16" s="445"/>
      <c r="BW16" s="410"/>
      <c r="BX16" s="292"/>
      <c r="BY16" s="292"/>
      <c r="BZ16" s="326"/>
      <c r="CA16" s="402"/>
      <c r="CB16" s="460"/>
      <c r="CC16" s="402"/>
      <c r="CD16" s="292"/>
      <c r="CE16" s="292"/>
      <c r="CF16" s="326"/>
      <c r="CG16" s="402"/>
      <c r="CH16" s="460"/>
      <c r="CI16" s="402"/>
      <c r="CJ16" s="292"/>
      <c r="CK16" s="292"/>
      <c r="CL16" s="326"/>
      <c r="CM16" s="402"/>
      <c r="CN16" s="460"/>
      <c r="CO16" s="402"/>
      <c r="CP16" s="328"/>
      <c r="CQ16" s="328"/>
      <c r="CR16" s="328"/>
      <c r="CS16" s="410"/>
      <c r="CT16" s="445"/>
      <c r="CU16" s="410"/>
      <c r="CV16" s="297"/>
      <c r="CW16" s="297"/>
      <c r="CX16" s="297"/>
      <c r="CY16" s="417"/>
      <c r="CZ16" s="445"/>
      <c r="DA16" s="420"/>
    </row>
    <row r="17" spans="1:105">
      <c r="A17" s="67"/>
      <c r="B17" s="68"/>
      <c r="C17" s="300"/>
      <c r="D17" s="292"/>
      <c r="E17" s="292"/>
      <c r="F17" s="326"/>
      <c r="G17" s="407">
        <f t="shared" ref="G17:G22" si="50">IFERROR(D17/F17,0)</f>
        <v>0</v>
      </c>
      <c r="H17" s="460"/>
      <c r="I17" s="407">
        <f t="shared" ref="I17:I22" si="51">IFERROR(H17/F17,0)</f>
        <v>0</v>
      </c>
      <c r="J17" s="292"/>
      <c r="K17" s="292"/>
      <c r="L17" s="326"/>
      <c r="M17" s="407">
        <f t="shared" ref="M17:M22" si="52">IFERROR(J17/L17,0)</f>
        <v>0</v>
      </c>
      <c r="N17" s="460"/>
      <c r="O17" s="407">
        <f t="shared" ref="O17:O22" si="53">IFERROR(N17/L17,0)</f>
        <v>0</v>
      </c>
      <c r="P17" s="292"/>
      <c r="Q17" s="292"/>
      <c r="R17" s="326"/>
      <c r="S17" s="407">
        <f t="shared" ref="S17:S22" si="54">IFERROR(P17/R17,0)</f>
        <v>0</v>
      </c>
      <c r="T17" s="455"/>
      <c r="U17" s="407">
        <f t="shared" ref="U17:U22" si="55">IFERROR(T17/R17,0)</f>
        <v>0</v>
      </c>
      <c r="V17" s="328"/>
      <c r="W17" s="328"/>
      <c r="X17" s="328">
        <f t="shared" ref="X17:X21" si="56">F17+L17+R17</f>
        <v>0</v>
      </c>
      <c r="Y17" s="413">
        <f t="shared" ref="Y17:Y22" si="57">IFERROR(V17/X17,0)</f>
        <v>0</v>
      </c>
      <c r="Z17" s="445">
        <f t="shared" ref="Z17:Z21" si="58">H17+N17+T17</f>
        <v>0</v>
      </c>
      <c r="AA17" s="413">
        <f t="shared" ref="AA17:AA22" si="59">IFERROR(Z17/X17,0)</f>
        <v>0</v>
      </c>
      <c r="AB17" s="292"/>
      <c r="AC17" s="292"/>
      <c r="AD17" s="326"/>
      <c r="AE17" s="407">
        <f t="shared" ref="AE17:AE22" si="60">IFERROR(AB17/AD17,0)</f>
        <v>0</v>
      </c>
      <c r="AF17" s="460"/>
      <c r="AG17" s="407">
        <f t="shared" ref="AG17:AG22" si="61">IFERROR(AF17/AD17,0)</f>
        <v>0</v>
      </c>
      <c r="AH17" s="292"/>
      <c r="AI17" s="292"/>
      <c r="AJ17" s="326"/>
      <c r="AK17" s="407">
        <f t="shared" ref="AK17:AK22" si="62">IFERROR(AH17/AJ17,0)</f>
        <v>0</v>
      </c>
      <c r="AL17" s="460"/>
      <c r="AM17" s="407">
        <f t="shared" ref="AM17:AM22" si="63">IFERROR(AL17/AJ17,0)</f>
        <v>0</v>
      </c>
      <c r="AN17" s="292"/>
      <c r="AO17" s="292"/>
      <c r="AP17" s="326"/>
      <c r="AQ17" s="407">
        <f t="shared" ref="AQ17:AQ22" si="64">IFERROR(AN17/AP17,0)</f>
        <v>0</v>
      </c>
      <c r="AR17" s="460"/>
      <c r="AS17" s="407">
        <f t="shared" ref="AS17:AS22" si="65">IFERROR(AR17/AP17,0)</f>
        <v>0</v>
      </c>
      <c r="AT17" s="328"/>
      <c r="AU17" s="328"/>
      <c r="AV17" s="328">
        <f t="shared" ref="AV17:AV21" si="66">AD17+AJ17+AP17</f>
        <v>0</v>
      </c>
      <c r="AW17" s="413">
        <f t="shared" ref="AW17:AW22" si="67">IFERROR(AT17/AV17,0)</f>
        <v>0</v>
      </c>
      <c r="AX17" s="445">
        <f t="shared" ref="AX17:AX21" si="68">AF17+AL17+AR17</f>
        <v>0</v>
      </c>
      <c r="AY17" s="413">
        <f t="shared" ref="AY17:AY22" si="69">IFERROR(AX17/AV17,0)</f>
        <v>0</v>
      </c>
      <c r="AZ17" s="292"/>
      <c r="BA17" s="292"/>
      <c r="BB17" s="326"/>
      <c r="BC17" s="407">
        <f t="shared" ref="BC17:BC22" si="70">IFERROR(AZ17/BB17,0)</f>
        <v>0</v>
      </c>
      <c r="BD17" s="460"/>
      <c r="BE17" s="407">
        <f t="shared" ref="BE17:BE22" si="71">IFERROR(BD17/BB17,0)</f>
        <v>0</v>
      </c>
      <c r="BF17" s="292"/>
      <c r="BG17" s="292"/>
      <c r="BH17" s="326"/>
      <c r="BI17" s="407">
        <f t="shared" ref="BI17:BI22" si="72">IFERROR(BF17/BH17,0)</f>
        <v>0</v>
      </c>
      <c r="BJ17" s="460"/>
      <c r="BK17" s="407">
        <f t="shared" ref="BK17:BK22" si="73">IFERROR(BJ17/BH17,0)</f>
        <v>0</v>
      </c>
      <c r="BL17" s="292"/>
      <c r="BM17" s="292"/>
      <c r="BN17" s="326"/>
      <c r="BO17" s="407">
        <f t="shared" ref="BO17:BO22" si="74">IFERROR(BL17/BN17,0)</f>
        <v>0</v>
      </c>
      <c r="BP17" s="460"/>
      <c r="BQ17" s="407">
        <f t="shared" ref="BQ17:BQ22" si="75">IFERROR(BP17/BN17,0)</f>
        <v>0</v>
      </c>
      <c r="BR17" s="328"/>
      <c r="BS17" s="328"/>
      <c r="BT17" s="328">
        <f t="shared" ref="BT17:BT21" si="76">BB17+BH17+BN17</f>
        <v>0</v>
      </c>
      <c r="BU17" s="413">
        <f t="shared" ref="BU17:BU22" si="77">IFERROR(BR17/BT17,0)</f>
        <v>0</v>
      </c>
      <c r="BV17" s="445">
        <f t="shared" ref="BV17:BV21" si="78">BD17+BJ17+BP17</f>
        <v>0</v>
      </c>
      <c r="BW17" s="413">
        <f t="shared" ref="BW17:BW22" si="79">IFERROR(BV17/BT17,0)</f>
        <v>0</v>
      </c>
      <c r="BX17" s="292"/>
      <c r="BY17" s="292"/>
      <c r="BZ17" s="326"/>
      <c r="CA17" s="407">
        <f t="shared" ref="CA17:CA22" si="80">IFERROR(BX17/BZ17,0)</f>
        <v>0</v>
      </c>
      <c r="CB17" s="460"/>
      <c r="CC17" s="407">
        <f t="shared" ref="CC17:CC22" si="81">IFERROR(CB17/BZ17,0)</f>
        <v>0</v>
      </c>
      <c r="CD17" s="292"/>
      <c r="CE17" s="292"/>
      <c r="CF17" s="326"/>
      <c r="CG17" s="407">
        <f t="shared" ref="CG17:CG22" si="82">IFERROR(CD17/CF17,0)</f>
        <v>0</v>
      </c>
      <c r="CH17" s="460"/>
      <c r="CI17" s="407">
        <f t="shared" ref="CI17:CI22" si="83">IFERROR(CH17/CF17,0)</f>
        <v>0</v>
      </c>
      <c r="CJ17" s="292"/>
      <c r="CK17" s="292"/>
      <c r="CL17" s="326"/>
      <c r="CM17" s="407">
        <f t="shared" ref="CM17:CM22" si="84">IFERROR(CJ17/CL17,0)</f>
        <v>0</v>
      </c>
      <c r="CN17" s="460"/>
      <c r="CO17" s="407">
        <f t="shared" ref="CO17:CO22" si="85">IFERROR(CN17/CL17,0)</f>
        <v>0</v>
      </c>
      <c r="CP17" s="328"/>
      <c r="CQ17" s="328"/>
      <c r="CR17" s="328">
        <f t="shared" ref="CR17:CR21" si="86">BZ17+CF17+CL17</f>
        <v>0</v>
      </c>
      <c r="CS17" s="413">
        <f t="shared" ref="CS17:CS22" si="87">IFERROR(CP17/CR17,0)</f>
        <v>0</v>
      </c>
      <c r="CT17" s="445">
        <f t="shared" ref="CT17:CT21" si="88">CB17+CH17+CN17</f>
        <v>0</v>
      </c>
      <c r="CU17" s="413">
        <f t="shared" ref="CU17:CU22" si="89">IFERROR(CT17/CR17,0)</f>
        <v>0</v>
      </c>
      <c r="CV17" s="297"/>
      <c r="CW17" s="297"/>
      <c r="CX17" s="297">
        <f t="shared" ref="CX17:CX21" si="90">AV17+BT17+CR17</f>
        <v>0</v>
      </c>
      <c r="CY17" s="424">
        <f t="shared" ref="CY17:CY22" si="91">IFERROR(CV17/CX17,0)</f>
        <v>0</v>
      </c>
      <c r="CZ17" s="445">
        <f t="shared" ref="CZ17:CZ22" si="92">AX17+BV17+CT17</f>
        <v>0</v>
      </c>
      <c r="DA17" s="425">
        <f t="shared" ref="DA17:DA22" si="93">IFERROR(CZ17/CX17,0)</f>
        <v>0</v>
      </c>
    </row>
    <row r="18" spans="1:105">
      <c r="A18" s="67"/>
      <c r="B18" s="68"/>
      <c r="C18" s="300"/>
      <c r="D18" s="292"/>
      <c r="E18" s="292"/>
      <c r="F18" s="326"/>
      <c r="G18" s="407">
        <f t="shared" si="50"/>
        <v>0</v>
      </c>
      <c r="H18" s="460"/>
      <c r="I18" s="407">
        <f t="shared" si="51"/>
        <v>0</v>
      </c>
      <c r="J18" s="292"/>
      <c r="K18" s="292"/>
      <c r="L18" s="326"/>
      <c r="M18" s="407">
        <f t="shared" si="52"/>
        <v>0</v>
      </c>
      <c r="N18" s="460"/>
      <c r="O18" s="407">
        <f t="shared" si="53"/>
        <v>0</v>
      </c>
      <c r="P18" s="292"/>
      <c r="Q18" s="292"/>
      <c r="R18" s="326"/>
      <c r="S18" s="407">
        <f t="shared" si="54"/>
        <v>0</v>
      </c>
      <c r="T18" s="455"/>
      <c r="U18" s="407">
        <f t="shared" si="55"/>
        <v>0</v>
      </c>
      <c r="V18" s="328"/>
      <c r="W18" s="328"/>
      <c r="X18" s="328">
        <f t="shared" si="56"/>
        <v>0</v>
      </c>
      <c r="Y18" s="413">
        <f t="shared" si="57"/>
        <v>0</v>
      </c>
      <c r="Z18" s="445">
        <f t="shared" si="58"/>
        <v>0</v>
      </c>
      <c r="AA18" s="413">
        <f t="shared" si="59"/>
        <v>0</v>
      </c>
      <c r="AB18" s="292"/>
      <c r="AC18" s="292"/>
      <c r="AD18" s="326"/>
      <c r="AE18" s="407">
        <f t="shared" si="60"/>
        <v>0</v>
      </c>
      <c r="AF18" s="460"/>
      <c r="AG18" s="407">
        <f t="shared" si="61"/>
        <v>0</v>
      </c>
      <c r="AH18" s="292"/>
      <c r="AI18" s="292"/>
      <c r="AJ18" s="326"/>
      <c r="AK18" s="407">
        <f t="shared" si="62"/>
        <v>0</v>
      </c>
      <c r="AL18" s="460"/>
      <c r="AM18" s="407">
        <f t="shared" si="63"/>
        <v>0</v>
      </c>
      <c r="AN18" s="292"/>
      <c r="AO18" s="292"/>
      <c r="AP18" s="326"/>
      <c r="AQ18" s="407">
        <f t="shared" si="64"/>
        <v>0</v>
      </c>
      <c r="AR18" s="460"/>
      <c r="AS18" s="407">
        <f t="shared" si="65"/>
        <v>0</v>
      </c>
      <c r="AT18" s="328"/>
      <c r="AU18" s="328"/>
      <c r="AV18" s="328">
        <f t="shared" si="66"/>
        <v>0</v>
      </c>
      <c r="AW18" s="413">
        <f t="shared" si="67"/>
        <v>0</v>
      </c>
      <c r="AX18" s="445">
        <f t="shared" si="68"/>
        <v>0</v>
      </c>
      <c r="AY18" s="413">
        <f t="shared" si="69"/>
        <v>0</v>
      </c>
      <c r="AZ18" s="292"/>
      <c r="BA18" s="292"/>
      <c r="BB18" s="326"/>
      <c r="BC18" s="407">
        <f t="shared" si="70"/>
        <v>0</v>
      </c>
      <c r="BD18" s="460"/>
      <c r="BE18" s="407">
        <f t="shared" si="71"/>
        <v>0</v>
      </c>
      <c r="BF18" s="292"/>
      <c r="BG18" s="292"/>
      <c r="BH18" s="326"/>
      <c r="BI18" s="407">
        <f t="shared" si="72"/>
        <v>0</v>
      </c>
      <c r="BJ18" s="460"/>
      <c r="BK18" s="407">
        <f t="shared" si="73"/>
        <v>0</v>
      </c>
      <c r="BL18" s="292"/>
      <c r="BM18" s="292"/>
      <c r="BN18" s="326"/>
      <c r="BO18" s="407">
        <f t="shared" si="74"/>
        <v>0</v>
      </c>
      <c r="BP18" s="460"/>
      <c r="BQ18" s="407">
        <f t="shared" si="75"/>
        <v>0</v>
      </c>
      <c r="BR18" s="328"/>
      <c r="BS18" s="328"/>
      <c r="BT18" s="328">
        <f t="shared" si="76"/>
        <v>0</v>
      </c>
      <c r="BU18" s="413">
        <f t="shared" si="77"/>
        <v>0</v>
      </c>
      <c r="BV18" s="445">
        <f t="shared" si="78"/>
        <v>0</v>
      </c>
      <c r="BW18" s="413">
        <f t="shared" si="79"/>
        <v>0</v>
      </c>
      <c r="BX18" s="292"/>
      <c r="BY18" s="292"/>
      <c r="BZ18" s="326"/>
      <c r="CA18" s="407">
        <f t="shared" si="80"/>
        <v>0</v>
      </c>
      <c r="CB18" s="460"/>
      <c r="CC18" s="407">
        <f t="shared" si="81"/>
        <v>0</v>
      </c>
      <c r="CD18" s="292"/>
      <c r="CE18" s="292"/>
      <c r="CF18" s="326"/>
      <c r="CG18" s="407">
        <f t="shared" si="82"/>
        <v>0</v>
      </c>
      <c r="CH18" s="460"/>
      <c r="CI18" s="407">
        <f t="shared" si="83"/>
        <v>0</v>
      </c>
      <c r="CJ18" s="292"/>
      <c r="CK18" s="292"/>
      <c r="CL18" s="326"/>
      <c r="CM18" s="407">
        <f t="shared" si="84"/>
        <v>0</v>
      </c>
      <c r="CN18" s="460"/>
      <c r="CO18" s="407">
        <f t="shared" si="85"/>
        <v>0</v>
      </c>
      <c r="CP18" s="328"/>
      <c r="CQ18" s="328"/>
      <c r="CR18" s="328">
        <f t="shared" si="86"/>
        <v>0</v>
      </c>
      <c r="CS18" s="413">
        <f t="shared" si="87"/>
        <v>0</v>
      </c>
      <c r="CT18" s="445">
        <f t="shared" si="88"/>
        <v>0</v>
      </c>
      <c r="CU18" s="413">
        <f t="shared" si="89"/>
        <v>0</v>
      </c>
      <c r="CV18" s="297"/>
      <c r="CW18" s="297"/>
      <c r="CX18" s="297">
        <f t="shared" si="90"/>
        <v>0</v>
      </c>
      <c r="CY18" s="424">
        <f t="shared" si="91"/>
        <v>0</v>
      </c>
      <c r="CZ18" s="445">
        <f t="shared" si="92"/>
        <v>0</v>
      </c>
      <c r="DA18" s="425">
        <f t="shared" si="93"/>
        <v>0</v>
      </c>
    </row>
    <row r="19" spans="1:105">
      <c r="A19" s="67"/>
      <c r="B19" s="68"/>
      <c r="C19" s="300"/>
      <c r="D19" s="292"/>
      <c r="E19" s="292"/>
      <c r="F19" s="326"/>
      <c r="G19" s="407">
        <f t="shared" si="50"/>
        <v>0</v>
      </c>
      <c r="H19" s="460"/>
      <c r="I19" s="407">
        <f t="shared" si="51"/>
        <v>0</v>
      </c>
      <c r="J19" s="292"/>
      <c r="K19" s="292"/>
      <c r="L19" s="326"/>
      <c r="M19" s="407">
        <f t="shared" si="52"/>
        <v>0</v>
      </c>
      <c r="N19" s="460"/>
      <c r="O19" s="407">
        <f t="shared" si="53"/>
        <v>0</v>
      </c>
      <c r="P19" s="292"/>
      <c r="Q19" s="292"/>
      <c r="R19" s="326"/>
      <c r="S19" s="407">
        <f t="shared" si="54"/>
        <v>0</v>
      </c>
      <c r="T19" s="455"/>
      <c r="U19" s="407">
        <f t="shared" si="55"/>
        <v>0</v>
      </c>
      <c r="V19" s="328"/>
      <c r="W19" s="328"/>
      <c r="X19" s="328">
        <f t="shared" si="56"/>
        <v>0</v>
      </c>
      <c r="Y19" s="413">
        <f t="shared" si="57"/>
        <v>0</v>
      </c>
      <c r="Z19" s="445">
        <f t="shared" si="58"/>
        <v>0</v>
      </c>
      <c r="AA19" s="413">
        <f t="shared" si="59"/>
        <v>0</v>
      </c>
      <c r="AB19" s="292"/>
      <c r="AC19" s="292"/>
      <c r="AD19" s="326"/>
      <c r="AE19" s="407">
        <f t="shared" si="60"/>
        <v>0</v>
      </c>
      <c r="AF19" s="460"/>
      <c r="AG19" s="407">
        <f t="shared" si="61"/>
        <v>0</v>
      </c>
      <c r="AH19" s="292"/>
      <c r="AI19" s="292"/>
      <c r="AJ19" s="326"/>
      <c r="AK19" s="407">
        <f t="shared" si="62"/>
        <v>0</v>
      </c>
      <c r="AL19" s="460"/>
      <c r="AM19" s="407">
        <f t="shared" si="63"/>
        <v>0</v>
      </c>
      <c r="AN19" s="292"/>
      <c r="AO19" s="292"/>
      <c r="AP19" s="326"/>
      <c r="AQ19" s="407">
        <f t="shared" si="64"/>
        <v>0</v>
      </c>
      <c r="AR19" s="460"/>
      <c r="AS19" s="407">
        <f t="shared" si="65"/>
        <v>0</v>
      </c>
      <c r="AT19" s="328"/>
      <c r="AU19" s="328"/>
      <c r="AV19" s="328">
        <f t="shared" si="66"/>
        <v>0</v>
      </c>
      <c r="AW19" s="413">
        <f t="shared" si="67"/>
        <v>0</v>
      </c>
      <c r="AX19" s="445">
        <f t="shared" si="68"/>
        <v>0</v>
      </c>
      <c r="AY19" s="413">
        <f t="shared" si="69"/>
        <v>0</v>
      </c>
      <c r="AZ19" s="292"/>
      <c r="BA19" s="292"/>
      <c r="BB19" s="326"/>
      <c r="BC19" s="407">
        <f t="shared" si="70"/>
        <v>0</v>
      </c>
      <c r="BD19" s="460"/>
      <c r="BE19" s="407">
        <f t="shared" si="71"/>
        <v>0</v>
      </c>
      <c r="BF19" s="292"/>
      <c r="BG19" s="292"/>
      <c r="BH19" s="326"/>
      <c r="BI19" s="407">
        <f t="shared" si="72"/>
        <v>0</v>
      </c>
      <c r="BJ19" s="460"/>
      <c r="BK19" s="407">
        <f t="shared" si="73"/>
        <v>0</v>
      </c>
      <c r="BL19" s="292"/>
      <c r="BM19" s="292"/>
      <c r="BN19" s="326"/>
      <c r="BO19" s="407">
        <f t="shared" si="74"/>
        <v>0</v>
      </c>
      <c r="BP19" s="460"/>
      <c r="BQ19" s="407">
        <f t="shared" si="75"/>
        <v>0</v>
      </c>
      <c r="BR19" s="328"/>
      <c r="BS19" s="328"/>
      <c r="BT19" s="328">
        <f t="shared" si="76"/>
        <v>0</v>
      </c>
      <c r="BU19" s="413">
        <f t="shared" si="77"/>
        <v>0</v>
      </c>
      <c r="BV19" s="445">
        <f t="shared" si="78"/>
        <v>0</v>
      </c>
      <c r="BW19" s="413">
        <f t="shared" si="79"/>
        <v>0</v>
      </c>
      <c r="BX19" s="292"/>
      <c r="BY19" s="292"/>
      <c r="BZ19" s="326"/>
      <c r="CA19" s="407">
        <f t="shared" si="80"/>
        <v>0</v>
      </c>
      <c r="CB19" s="460"/>
      <c r="CC19" s="407">
        <f t="shared" si="81"/>
        <v>0</v>
      </c>
      <c r="CD19" s="292"/>
      <c r="CE19" s="292"/>
      <c r="CF19" s="326"/>
      <c r="CG19" s="407">
        <f t="shared" si="82"/>
        <v>0</v>
      </c>
      <c r="CH19" s="460"/>
      <c r="CI19" s="407">
        <f t="shared" si="83"/>
        <v>0</v>
      </c>
      <c r="CJ19" s="292"/>
      <c r="CK19" s="292"/>
      <c r="CL19" s="326"/>
      <c r="CM19" s="407">
        <f t="shared" si="84"/>
        <v>0</v>
      </c>
      <c r="CN19" s="460"/>
      <c r="CO19" s="407">
        <f t="shared" si="85"/>
        <v>0</v>
      </c>
      <c r="CP19" s="328"/>
      <c r="CQ19" s="328"/>
      <c r="CR19" s="328">
        <f t="shared" si="86"/>
        <v>0</v>
      </c>
      <c r="CS19" s="413">
        <f t="shared" si="87"/>
        <v>0</v>
      </c>
      <c r="CT19" s="445">
        <f t="shared" si="88"/>
        <v>0</v>
      </c>
      <c r="CU19" s="413">
        <f t="shared" si="89"/>
        <v>0</v>
      </c>
      <c r="CV19" s="297"/>
      <c r="CW19" s="297"/>
      <c r="CX19" s="297">
        <f t="shared" si="90"/>
        <v>0</v>
      </c>
      <c r="CY19" s="424">
        <f t="shared" si="91"/>
        <v>0</v>
      </c>
      <c r="CZ19" s="445">
        <f t="shared" si="92"/>
        <v>0</v>
      </c>
      <c r="DA19" s="425">
        <f t="shared" si="93"/>
        <v>0</v>
      </c>
    </row>
    <row r="20" spans="1:105">
      <c r="A20" s="67"/>
      <c r="B20" s="68"/>
      <c r="C20" s="300"/>
      <c r="D20" s="292"/>
      <c r="E20" s="292"/>
      <c r="F20" s="326"/>
      <c r="G20" s="407">
        <f t="shared" si="50"/>
        <v>0</v>
      </c>
      <c r="H20" s="460"/>
      <c r="I20" s="407">
        <f t="shared" si="51"/>
        <v>0</v>
      </c>
      <c r="J20" s="292"/>
      <c r="K20" s="292"/>
      <c r="L20" s="326"/>
      <c r="M20" s="407">
        <f t="shared" si="52"/>
        <v>0</v>
      </c>
      <c r="N20" s="460"/>
      <c r="O20" s="407">
        <f t="shared" si="53"/>
        <v>0</v>
      </c>
      <c r="P20" s="292"/>
      <c r="Q20" s="292"/>
      <c r="R20" s="326"/>
      <c r="S20" s="407">
        <f t="shared" si="54"/>
        <v>0</v>
      </c>
      <c r="T20" s="455"/>
      <c r="U20" s="407">
        <f t="shared" si="55"/>
        <v>0</v>
      </c>
      <c r="V20" s="328"/>
      <c r="W20" s="328"/>
      <c r="X20" s="328">
        <f t="shared" si="56"/>
        <v>0</v>
      </c>
      <c r="Y20" s="413">
        <f t="shared" si="57"/>
        <v>0</v>
      </c>
      <c r="Z20" s="445">
        <f t="shared" si="58"/>
        <v>0</v>
      </c>
      <c r="AA20" s="413">
        <f t="shared" si="59"/>
        <v>0</v>
      </c>
      <c r="AB20" s="292"/>
      <c r="AC20" s="292"/>
      <c r="AD20" s="326"/>
      <c r="AE20" s="407">
        <f t="shared" si="60"/>
        <v>0</v>
      </c>
      <c r="AF20" s="460"/>
      <c r="AG20" s="407">
        <f t="shared" si="61"/>
        <v>0</v>
      </c>
      <c r="AH20" s="292"/>
      <c r="AI20" s="292"/>
      <c r="AJ20" s="326"/>
      <c r="AK20" s="407">
        <f t="shared" si="62"/>
        <v>0</v>
      </c>
      <c r="AL20" s="460"/>
      <c r="AM20" s="407">
        <f t="shared" si="63"/>
        <v>0</v>
      </c>
      <c r="AN20" s="292"/>
      <c r="AO20" s="292"/>
      <c r="AP20" s="326"/>
      <c r="AQ20" s="407">
        <f t="shared" si="64"/>
        <v>0</v>
      </c>
      <c r="AR20" s="460"/>
      <c r="AS20" s="407">
        <f t="shared" si="65"/>
        <v>0</v>
      </c>
      <c r="AT20" s="328"/>
      <c r="AU20" s="328"/>
      <c r="AV20" s="328">
        <f t="shared" si="66"/>
        <v>0</v>
      </c>
      <c r="AW20" s="413">
        <f t="shared" si="67"/>
        <v>0</v>
      </c>
      <c r="AX20" s="445">
        <f t="shared" si="68"/>
        <v>0</v>
      </c>
      <c r="AY20" s="413">
        <f t="shared" si="69"/>
        <v>0</v>
      </c>
      <c r="AZ20" s="292"/>
      <c r="BA20" s="292"/>
      <c r="BB20" s="326"/>
      <c r="BC20" s="407">
        <f t="shared" si="70"/>
        <v>0</v>
      </c>
      <c r="BD20" s="460"/>
      <c r="BE20" s="407">
        <f t="shared" si="71"/>
        <v>0</v>
      </c>
      <c r="BF20" s="292"/>
      <c r="BG20" s="292"/>
      <c r="BH20" s="326"/>
      <c r="BI20" s="407">
        <f t="shared" si="72"/>
        <v>0</v>
      </c>
      <c r="BJ20" s="460"/>
      <c r="BK20" s="407">
        <f t="shared" si="73"/>
        <v>0</v>
      </c>
      <c r="BL20" s="292"/>
      <c r="BM20" s="292"/>
      <c r="BN20" s="326"/>
      <c r="BO20" s="407">
        <f t="shared" si="74"/>
        <v>0</v>
      </c>
      <c r="BP20" s="460"/>
      <c r="BQ20" s="407">
        <f t="shared" si="75"/>
        <v>0</v>
      </c>
      <c r="BR20" s="328"/>
      <c r="BS20" s="328"/>
      <c r="BT20" s="328">
        <f t="shared" si="76"/>
        <v>0</v>
      </c>
      <c r="BU20" s="413">
        <f t="shared" si="77"/>
        <v>0</v>
      </c>
      <c r="BV20" s="445">
        <f t="shared" si="78"/>
        <v>0</v>
      </c>
      <c r="BW20" s="413">
        <f t="shared" si="79"/>
        <v>0</v>
      </c>
      <c r="BX20" s="292"/>
      <c r="BY20" s="292"/>
      <c r="BZ20" s="326"/>
      <c r="CA20" s="407">
        <f t="shared" si="80"/>
        <v>0</v>
      </c>
      <c r="CB20" s="460"/>
      <c r="CC20" s="407">
        <f t="shared" si="81"/>
        <v>0</v>
      </c>
      <c r="CD20" s="292"/>
      <c r="CE20" s="292"/>
      <c r="CF20" s="326"/>
      <c r="CG20" s="407">
        <f t="shared" si="82"/>
        <v>0</v>
      </c>
      <c r="CH20" s="460"/>
      <c r="CI20" s="407">
        <f t="shared" si="83"/>
        <v>0</v>
      </c>
      <c r="CJ20" s="292"/>
      <c r="CK20" s="292"/>
      <c r="CL20" s="326"/>
      <c r="CM20" s="407">
        <f t="shared" si="84"/>
        <v>0</v>
      </c>
      <c r="CN20" s="460"/>
      <c r="CO20" s="407">
        <f t="shared" si="85"/>
        <v>0</v>
      </c>
      <c r="CP20" s="328"/>
      <c r="CQ20" s="328"/>
      <c r="CR20" s="328">
        <f t="shared" si="86"/>
        <v>0</v>
      </c>
      <c r="CS20" s="413">
        <f t="shared" si="87"/>
        <v>0</v>
      </c>
      <c r="CT20" s="445">
        <f t="shared" si="88"/>
        <v>0</v>
      </c>
      <c r="CU20" s="413">
        <f t="shared" si="89"/>
        <v>0</v>
      </c>
      <c r="CV20" s="297"/>
      <c r="CW20" s="297"/>
      <c r="CX20" s="297">
        <f t="shared" si="90"/>
        <v>0</v>
      </c>
      <c r="CY20" s="424">
        <f t="shared" si="91"/>
        <v>0</v>
      </c>
      <c r="CZ20" s="445">
        <f t="shared" si="92"/>
        <v>0</v>
      </c>
      <c r="DA20" s="425">
        <f t="shared" si="93"/>
        <v>0</v>
      </c>
    </row>
    <row r="21" spans="1:105">
      <c r="A21" s="67"/>
      <c r="B21" s="68"/>
      <c r="C21" s="300"/>
      <c r="D21" s="292"/>
      <c r="E21" s="292"/>
      <c r="F21" s="326"/>
      <c r="G21" s="407">
        <f t="shared" si="50"/>
        <v>0</v>
      </c>
      <c r="H21" s="460"/>
      <c r="I21" s="407">
        <f t="shared" si="51"/>
        <v>0</v>
      </c>
      <c r="J21" s="292"/>
      <c r="K21" s="292"/>
      <c r="L21" s="326"/>
      <c r="M21" s="407">
        <f t="shared" si="52"/>
        <v>0</v>
      </c>
      <c r="N21" s="460"/>
      <c r="O21" s="407">
        <f t="shared" si="53"/>
        <v>0</v>
      </c>
      <c r="P21" s="292"/>
      <c r="Q21" s="292"/>
      <c r="R21" s="326"/>
      <c r="S21" s="407">
        <f t="shared" si="54"/>
        <v>0</v>
      </c>
      <c r="T21" s="455"/>
      <c r="U21" s="407">
        <f t="shared" si="55"/>
        <v>0</v>
      </c>
      <c r="V21" s="328"/>
      <c r="W21" s="328"/>
      <c r="X21" s="328">
        <f t="shared" si="56"/>
        <v>0</v>
      </c>
      <c r="Y21" s="413">
        <f t="shared" si="57"/>
        <v>0</v>
      </c>
      <c r="Z21" s="445">
        <f t="shared" si="58"/>
        <v>0</v>
      </c>
      <c r="AA21" s="413">
        <f t="shared" si="59"/>
        <v>0</v>
      </c>
      <c r="AB21" s="292"/>
      <c r="AC21" s="292"/>
      <c r="AD21" s="326"/>
      <c r="AE21" s="407">
        <f t="shared" si="60"/>
        <v>0</v>
      </c>
      <c r="AF21" s="460"/>
      <c r="AG21" s="407">
        <f t="shared" si="61"/>
        <v>0</v>
      </c>
      <c r="AH21" s="292"/>
      <c r="AI21" s="292"/>
      <c r="AJ21" s="326"/>
      <c r="AK21" s="407">
        <f t="shared" si="62"/>
        <v>0</v>
      </c>
      <c r="AL21" s="460"/>
      <c r="AM21" s="407">
        <f t="shared" si="63"/>
        <v>0</v>
      </c>
      <c r="AN21" s="292"/>
      <c r="AO21" s="292"/>
      <c r="AP21" s="326"/>
      <c r="AQ21" s="407">
        <f t="shared" si="64"/>
        <v>0</v>
      </c>
      <c r="AR21" s="460"/>
      <c r="AS21" s="407">
        <f t="shared" si="65"/>
        <v>0</v>
      </c>
      <c r="AT21" s="328"/>
      <c r="AU21" s="328"/>
      <c r="AV21" s="328">
        <f t="shared" si="66"/>
        <v>0</v>
      </c>
      <c r="AW21" s="413">
        <f t="shared" si="67"/>
        <v>0</v>
      </c>
      <c r="AX21" s="445">
        <f t="shared" si="68"/>
        <v>0</v>
      </c>
      <c r="AY21" s="413">
        <f t="shared" si="69"/>
        <v>0</v>
      </c>
      <c r="AZ21" s="292"/>
      <c r="BA21" s="292"/>
      <c r="BB21" s="326"/>
      <c r="BC21" s="407">
        <f t="shared" si="70"/>
        <v>0</v>
      </c>
      <c r="BD21" s="460"/>
      <c r="BE21" s="407">
        <f t="shared" si="71"/>
        <v>0</v>
      </c>
      <c r="BF21" s="292"/>
      <c r="BG21" s="292"/>
      <c r="BH21" s="326"/>
      <c r="BI21" s="407">
        <f t="shared" si="72"/>
        <v>0</v>
      </c>
      <c r="BJ21" s="460"/>
      <c r="BK21" s="407">
        <f t="shared" si="73"/>
        <v>0</v>
      </c>
      <c r="BL21" s="292"/>
      <c r="BM21" s="292"/>
      <c r="BN21" s="326"/>
      <c r="BO21" s="407">
        <f t="shared" si="74"/>
        <v>0</v>
      </c>
      <c r="BP21" s="460"/>
      <c r="BQ21" s="407">
        <f t="shared" si="75"/>
        <v>0</v>
      </c>
      <c r="BR21" s="328"/>
      <c r="BS21" s="328"/>
      <c r="BT21" s="328">
        <f t="shared" si="76"/>
        <v>0</v>
      </c>
      <c r="BU21" s="413">
        <f t="shared" si="77"/>
        <v>0</v>
      </c>
      <c r="BV21" s="445">
        <f t="shared" si="78"/>
        <v>0</v>
      </c>
      <c r="BW21" s="413">
        <f t="shared" si="79"/>
        <v>0</v>
      </c>
      <c r="BX21" s="292"/>
      <c r="BY21" s="292"/>
      <c r="BZ21" s="326"/>
      <c r="CA21" s="407">
        <f t="shared" si="80"/>
        <v>0</v>
      </c>
      <c r="CB21" s="460"/>
      <c r="CC21" s="407">
        <f t="shared" si="81"/>
        <v>0</v>
      </c>
      <c r="CD21" s="292"/>
      <c r="CE21" s="292"/>
      <c r="CF21" s="326"/>
      <c r="CG21" s="407">
        <f t="shared" si="82"/>
        <v>0</v>
      </c>
      <c r="CH21" s="460"/>
      <c r="CI21" s="407">
        <f t="shared" si="83"/>
        <v>0</v>
      </c>
      <c r="CJ21" s="292"/>
      <c r="CK21" s="292"/>
      <c r="CL21" s="326"/>
      <c r="CM21" s="407">
        <f t="shared" si="84"/>
        <v>0</v>
      </c>
      <c r="CN21" s="460"/>
      <c r="CO21" s="407">
        <f t="shared" si="85"/>
        <v>0</v>
      </c>
      <c r="CP21" s="328"/>
      <c r="CQ21" s="328"/>
      <c r="CR21" s="328">
        <f t="shared" si="86"/>
        <v>0</v>
      </c>
      <c r="CS21" s="413">
        <f t="shared" si="87"/>
        <v>0</v>
      </c>
      <c r="CT21" s="445">
        <f t="shared" si="88"/>
        <v>0</v>
      </c>
      <c r="CU21" s="413">
        <f t="shared" si="89"/>
        <v>0</v>
      </c>
      <c r="CV21" s="297"/>
      <c r="CW21" s="297"/>
      <c r="CX21" s="297">
        <f t="shared" si="90"/>
        <v>0</v>
      </c>
      <c r="CY21" s="424">
        <f t="shared" si="91"/>
        <v>0</v>
      </c>
      <c r="CZ21" s="445">
        <f t="shared" si="92"/>
        <v>0</v>
      </c>
      <c r="DA21" s="425">
        <f t="shared" si="93"/>
        <v>0</v>
      </c>
    </row>
    <row r="22" spans="1:105">
      <c r="A22" s="66"/>
      <c r="B22" s="66" t="s">
        <v>135</v>
      </c>
      <c r="C22" s="66"/>
      <c r="D22" s="336">
        <v>0</v>
      </c>
      <c r="E22" s="336">
        <v>0</v>
      </c>
      <c r="F22" s="336">
        <f>SUM(F16:F21)</f>
        <v>0</v>
      </c>
      <c r="G22" s="406">
        <f t="shared" si="50"/>
        <v>0</v>
      </c>
      <c r="H22" s="446">
        <f>SUM(H16:H21)</f>
        <v>0</v>
      </c>
      <c r="I22" s="406">
        <f t="shared" si="51"/>
        <v>0</v>
      </c>
      <c r="J22" s="320">
        <v>0</v>
      </c>
      <c r="K22" s="320">
        <v>0</v>
      </c>
      <c r="L22" s="320">
        <f>SUM(L16:L21)</f>
        <v>0</v>
      </c>
      <c r="M22" s="406">
        <f t="shared" si="52"/>
        <v>0</v>
      </c>
      <c r="N22" s="446">
        <f>SUM(N16:N21)</f>
        <v>0</v>
      </c>
      <c r="O22" s="406">
        <f t="shared" si="53"/>
        <v>0</v>
      </c>
      <c r="P22" s="320">
        <v>0</v>
      </c>
      <c r="Q22" s="320">
        <v>0</v>
      </c>
      <c r="R22" s="320">
        <f>SUM(R16:R21)</f>
        <v>0</v>
      </c>
      <c r="S22" s="406">
        <f t="shared" si="54"/>
        <v>0</v>
      </c>
      <c r="T22" s="435">
        <f>SUM(T16:T21)</f>
        <v>0</v>
      </c>
      <c r="U22" s="406">
        <f t="shared" si="55"/>
        <v>0</v>
      </c>
      <c r="V22" s="320">
        <v>0</v>
      </c>
      <c r="W22" s="320">
        <v>0</v>
      </c>
      <c r="X22" s="320">
        <f>SUM(X16:X21)</f>
        <v>0</v>
      </c>
      <c r="Y22" s="406">
        <f t="shared" si="57"/>
        <v>0</v>
      </c>
      <c r="Z22" s="446">
        <f>SUM(Z16:Z21)</f>
        <v>0</v>
      </c>
      <c r="AA22" s="406">
        <f t="shared" si="59"/>
        <v>0</v>
      </c>
      <c r="AB22" s="320">
        <v>0</v>
      </c>
      <c r="AC22" s="320">
        <v>0</v>
      </c>
      <c r="AD22" s="320">
        <f>SUM(AD16:AD21)</f>
        <v>0</v>
      </c>
      <c r="AE22" s="406">
        <f t="shared" si="60"/>
        <v>0</v>
      </c>
      <c r="AF22" s="446">
        <f>SUM(AF16:AF21)</f>
        <v>0</v>
      </c>
      <c r="AG22" s="406">
        <f t="shared" si="61"/>
        <v>0</v>
      </c>
      <c r="AH22" s="320">
        <v>0</v>
      </c>
      <c r="AI22" s="320">
        <v>0</v>
      </c>
      <c r="AJ22" s="320">
        <f>SUM(AJ16:AJ21)</f>
        <v>0</v>
      </c>
      <c r="AK22" s="406">
        <f t="shared" si="62"/>
        <v>0</v>
      </c>
      <c r="AL22" s="446">
        <f>SUM(AL16:AL21)</f>
        <v>0</v>
      </c>
      <c r="AM22" s="406">
        <f t="shared" si="63"/>
        <v>0</v>
      </c>
      <c r="AN22" s="320">
        <v>0</v>
      </c>
      <c r="AO22" s="320">
        <v>0</v>
      </c>
      <c r="AP22" s="320">
        <f>SUM(AP16:AP21)</f>
        <v>0</v>
      </c>
      <c r="AQ22" s="406">
        <f t="shared" si="64"/>
        <v>0</v>
      </c>
      <c r="AR22" s="446">
        <f>SUM(AR16:AR21)</f>
        <v>0</v>
      </c>
      <c r="AS22" s="406">
        <f t="shared" si="65"/>
        <v>0</v>
      </c>
      <c r="AT22" s="320">
        <v>0</v>
      </c>
      <c r="AU22" s="320">
        <v>0</v>
      </c>
      <c r="AV22" s="320">
        <f>SUM(AV16:AV21)</f>
        <v>0</v>
      </c>
      <c r="AW22" s="406">
        <f t="shared" si="67"/>
        <v>0</v>
      </c>
      <c r="AX22" s="446">
        <f>SUM(AX16:AX21)</f>
        <v>0</v>
      </c>
      <c r="AY22" s="406">
        <f t="shared" si="69"/>
        <v>0</v>
      </c>
      <c r="AZ22" s="320">
        <v>0</v>
      </c>
      <c r="BA22" s="320">
        <v>0</v>
      </c>
      <c r="BB22" s="320">
        <f>SUM(BB16:BB21)</f>
        <v>0</v>
      </c>
      <c r="BC22" s="406">
        <f t="shared" si="70"/>
        <v>0</v>
      </c>
      <c r="BD22" s="446">
        <f>SUM(BD16:BD21)</f>
        <v>0</v>
      </c>
      <c r="BE22" s="406">
        <f t="shared" si="71"/>
        <v>0</v>
      </c>
      <c r="BF22" s="320">
        <v>0</v>
      </c>
      <c r="BG22" s="320">
        <v>0</v>
      </c>
      <c r="BH22" s="320">
        <f>SUM(BH16:BH21)</f>
        <v>0</v>
      </c>
      <c r="BI22" s="406">
        <f t="shared" si="72"/>
        <v>0</v>
      </c>
      <c r="BJ22" s="446">
        <f>SUM(BJ16:BJ21)</f>
        <v>0</v>
      </c>
      <c r="BK22" s="406">
        <f t="shared" si="73"/>
        <v>0</v>
      </c>
      <c r="BL22" s="320">
        <v>0</v>
      </c>
      <c r="BM22" s="320">
        <v>0</v>
      </c>
      <c r="BN22" s="320">
        <f>SUM(BN16:BN21)</f>
        <v>0</v>
      </c>
      <c r="BO22" s="406">
        <f t="shared" si="74"/>
        <v>0</v>
      </c>
      <c r="BP22" s="446">
        <f>SUM(BP16:BP21)</f>
        <v>0</v>
      </c>
      <c r="BQ22" s="406">
        <f t="shared" si="75"/>
        <v>0</v>
      </c>
      <c r="BR22" s="320">
        <v>0</v>
      </c>
      <c r="BS22" s="320">
        <v>0</v>
      </c>
      <c r="BT22" s="320">
        <f>SUM(BT16:BT21)</f>
        <v>0</v>
      </c>
      <c r="BU22" s="406">
        <f t="shared" si="77"/>
        <v>0</v>
      </c>
      <c r="BV22" s="446">
        <f>SUM(BV16:BV21)</f>
        <v>0</v>
      </c>
      <c r="BW22" s="406">
        <f t="shared" si="79"/>
        <v>0</v>
      </c>
      <c r="BX22" s="320">
        <v>0</v>
      </c>
      <c r="BY22" s="320">
        <v>0</v>
      </c>
      <c r="BZ22" s="320">
        <f>SUM(BZ16:BZ21)</f>
        <v>0</v>
      </c>
      <c r="CA22" s="406">
        <f t="shared" si="80"/>
        <v>0</v>
      </c>
      <c r="CB22" s="446">
        <f>SUM(CB16:CB21)</f>
        <v>0</v>
      </c>
      <c r="CC22" s="406">
        <f t="shared" si="81"/>
        <v>0</v>
      </c>
      <c r="CD22" s="320">
        <v>0</v>
      </c>
      <c r="CE22" s="320">
        <v>0</v>
      </c>
      <c r="CF22" s="320">
        <f>SUM(CF16:CF21)</f>
        <v>0</v>
      </c>
      <c r="CG22" s="406">
        <f t="shared" si="82"/>
        <v>0</v>
      </c>
      <c r="CH22" s="446">
        <f>SUM(CH16:CH21)</f>
        <v>0</v>
      </c>
      <c r="CI22" s="406">
        <f t="shared" si="83"/>
        <v>0</v>
      </c>
      <c r="CJ22" s="320">
        <v>0</v>
      </c>
      <c r="CK22" s="320">
        <v>0</v>
      </c>
      <c r="CL22" s="320">
        <f>SUM(CL16:CL21)</f>
        <v>0</v>
      </c>
      <c r="CM22" s="406">
        <f t="shared" si="84"/>
        <v>0</v>
      </c>
      <c r="CN22" s="446">
        <f>SUM(CN16:CN21)</f>
        <v>0</v>
      </c>
      <c r="CO22" s="406">
        <f t="shared" si="85"/>
        <v>0</v>
      </c>
      <c r="CP22" s="320">
        <v>0</v>
      </c>
      <c r="CQ22" s="320">
        <v>0</v>
      </c>
      <c r="CR22" s="320">
        <f>SUM(CR16:CR21)</f>
        <v>0</v>
      </c>
      <c r="CS22" s="406">
        <f t="shared" si="87"/>
        <v>0</v>
      </c>
      <c r="CT22" s="446">
        <f>SUM(CT16:CT21)</f>
        <v>0</v>
      </c>
      <c r="CU22" s="406">
        <f t="shared" si="89"/>
        <v>0</v>
      </c>
      <c r="CV22" s="320">
        <v>0</v>
      </c>
      <c r="CW22" s="320">
        <v>0</v>
      </c>
      <c r="CX22" s="320">
        <f>AV22+BT22+CR22</f>
        <v>0</v>
      </c>
      <c r="CY22" s="406">
        <f t="shared" si="91"/>
        <v>0</v>
      </c>
      <c r="CZ22" s="446">
        <f t="shared" si="92"/>
        <v>0</v>
      </c>
      <c r="DA22" s="406">
        <f t="shared" si="93"/>
        <v>0</v>
      </c>
    </row>
    <row r="23" spans="1:105" ht="14.65" thickBot="1">
      <c r="A23" s="7"/>
      <c r="B23" s="7"/>
      <c r="C23" s="7"/>
      <c r="D23" s="7"/>
      <c r="E23" s="7"/>
      <c r="F23" s="7"/>
      <c r="G23" s="172"/>
      <c r="H23" s="443"/>
      <c r="I23" s="172"/>
      <c r="J23" s="7"/>
      <c r="K23" s="7"/>
      <c r="L23" s="7"/>
      <c r="M23" s="172"/>
      <c r="N23" s="443"/>
      <c r="O23" s="172"/>
      <c r="P23" s="7"/>
      <c r="Q23" s="7"/>
      <c r="R23" s="7"/>
      <c r="S23" s="172"/>
      <c r="T23" s="433"/>
      <c r="U23" s="172"/>
      <c r="V23" s="7"/>
      <c r="W23" s="7"/>
      <c r="X23" s="7"/>
      <c r="Y23" s="172"/>
      <c r="Z23" s="443"/>
      <c r="AA23" s="172"/>
      <c r="AB23" s="7"/>
      <c r="AC23" s="7"/>
      <c r="AD23" s="7"/>
      <c r="AE23" s="172"/>
      <c r="AF23" s="443"/>
      <c r="AG23" s="172"/>
      <c r="AH23" s="7"/>
      <c r="AI23" s="7"/>
      <c r="AJ23" s="7"/>
      <c r="AK23" s="172"/>
      <c r="AL23" s="443"/>
      <c r="AM23" s="172"/>
      <c r="AN23" s="7"/>
      <c r="AO23" s="7"/>
      <c r="AP23" s="7"/>
      <c r="AQ23" s="172"/>
      <c r="AR23" s="443"/>
      <c r="AS23" s="172"/>
      <c r="AT23" s="7"/>
      <c r="AU23" s="7"/>
      <c r="AV23" s="7"/>
      <c r="AW23" s="172"/>
      <c r="AX23" s="443"/>
      <c r="AY23" s="172"/>
      <c r="AZ23" s="7"/>
      <c r="BA23" s="7"/>
      <c r="BB23" s="7"/>
      <c r="BC23" s="172"/>
      <c r="BD23" s="443"/>
      <c r="BE23" s="172"/>
      <c r="BF23" s="7"/>
      <c r="BG23" s="7"/>
      <c r="BH23" s="7"/>
      <c r="BI23" s="172"/>
      <c r="BJ23" s="443"/>
      <c r="BK23" s="172"/>
      <c r="BL23" s="7"/>
      <c r="BM23" s="7"/>
      <c r="BN23" s="7"/>
      <c r="BO23" s="172"/>
      <c r="BP23" s="443"/>
      <c r="BQ23" s="172"/>
      <c r="BR23" s="7"/>
      <c r="BS23" s="7"/>
      <c r="BT23" s="7"/>
      <c r="BU23" s="172"/>
      <c r="BV23" s="443"/>
      <c r="BW23" s="172"/>
      <c r="BX23" s="7"/>
      <c r="BY23" s="7"/>
      <c r="BZ23" s="7"/>
      <c r="CA23" s="172"/>
      <c r="CB23" s="443"/>
      <c r="CC23" s="172"/>
      <c r="CD23" s="7"/>
      <c r="CE23" s="7"/>
      <c r="CF23" s="7"/>
      <c r="CG23" s="172"/>
      <c r="CH23" s="443"/>
      <c r="CI23" s="172"/>
      <c r="CJ23" s="7"/>
      <c r="CK23" s="7"/>
      <c r="CL23" s="7"/>
      <c r="CM23" s="172"/>
      <c r="CN23" s="443"/>
      <c r="CO23" s="172"/>
      <c r="CP23" s="7"/>
      <c r="CQ23" s="7"/>
      <c r="CR23" s="7"/>
      <c r="CS23" s="172"/>
      <c r="CT23" s="443"/>
      <c r="CU23" s="172"/>
      <c r="CV23" s="7"/>
      <c r="CW23" s="7"/>
      <c r="CX23" s="7"/>
      <c r="CY23" s="172"/>
      <c r="CZ23" s="443"/>
      <c r="DA23" s="172"/>
    </row>
    <row r="24" spans="1:105" ht="26.25">
      <c r="A24" s="66" t="s">
        <v>98</v>
      </c>
      <c r="B24" s="66" t="s">
        <v>149</v>
      </c>
      <c r="C24" s="66" t="s">
        <v>138</v>
      </c>
      <c r="D24" s="288" t="s">
        <v>168</v>
      </c>
      <c r="E24" s="288" t="s">
        <v>169</v>
      </c>
      <c r="F24" s="289" t="s">
        <v>136</v>
      </c>
      <c r="G24" s="166" t="s">
        <v>57</v>
      </c>
      <c r="H24" s="437" t="s">
        <v>34</v>
      </c>
      <c r="I24" s="133" t="s">
        <v>58</v>
      </c>
      <c r="J24" s="288" t="s">
        <v>168</v>
      </c>
      <c r="K24" s="288" t="s">
        <v>169</v>
      </c>
      <c r="L24" s="289" t="s">
        <v>136</v>
      </c>
      <c r="M24" s="166" t="s">
        <v>57</v>
      </c>
      <c r="N24" s="437" t="s">
        <v>34</v>
      </c>
      <c r="O24" s="133" t="s">
        <v>58</v>
      </c>
      <c r="P24" s="288" t="s">
        <v>168</v>
      </c>
      <c r="Q24" s="288" t="s">
        <v>169</v>
      </c>
      <c r="R24" s="289" t="s">
        <v>136</v>
      </c>
      <c r="S24" s="166" t="s">
        <v>57</v>
      </c>
      <c r="T24" s="431" t="s">
        <v>34</v>
      </c>
      <c r="U24" s="133" t="s">
        <v>58</v>
      </c>
      <c r="V24" s="288" t="s">
        <v>168</v>
      </c>
      <c r="W24" s="288" t="s">
        <v>169</v>
      </c>
      <c r="X24" s="289" t="s">
        <v>136</v>
      </c>
      <c r="Y24" s="166" t="s">
        <v>57</v>
      </c>
      <c r="Z24" s="437" t="s">
        <v>34</v>
      </c>
      <c r="AA24" s="133" t="s">
        <v>58</v>
      </c>
      <c r="AB24" s="288" t="s">
        <v>168</v>
      </c>
      <c r="AC24" s="288" t="s">
        <v>169</v>
      </c>
      <c r="AD24" s="289" t="s">
        <v>136</v>
      </c>
      <c r="AE24" s="166" t="s">
        <v>57</v>
      </c>
      <c r="AF24" s="437" t="s">
        <v>34</v>
      </c>
      <c r="AG24" s="133" t="s">
        <v>58</v>
      </c>
      <c r="AH24" s="288" t="s">
        <v>168</v>
      </c>
      <c r="AI24" s="288" t="s">
        <v>169</v>
      </c>
      <c r="AJ24" s="289" t="s">
        <v>136</v>
      </c>
      <c r="AK24" s="166" t="s">
        <v>57</v>
      </c>
      <c r="AL24" s="437" t="s">
        <v>34</v>
      </c>
      <c r="AM24" s="133" t="s">
        <v>58</v>
      </c>
      <c r="AN24" s="288" t="s">
        <v>168</v>
      </c>
      <c r="AO24" s="288" t="s">
        <v>169</v>
      </c>
      <c r="AP24" s="289" t="s">
        <v>136</v>
      </c>
      <c r="AQ24" s="166" t="s">
        <v>57</v>
      </c>
      <c r="AR24" s="437" t="s">
        <v>34</v>
      </c>
      <c r="AS24" s="133" t="s">
        <v>58</v>
      </c>
      <c r="AT24" s="288" t="s">
        <v>168</v>
      </c>
      <c r="AU24" s="288" t="s">
        <v>169</v>
      </c>
      <c r="AV24" s="289" t="s">
        <v>136</v>
      </c>
      <c r="AW24" s="166" t="s">
        <v>57</v>
      </c>
      <c r="AX24" s="437" t="s">
        <v>34</v>
      </c>
      <c r="AY24" s="133" t="s">
        <v>58</v>
      </c>
      <c r="AZ24" s="288" t="s">
        <v>168</v>
      </c>
      <c r="BA24" s="288" t="s">
        <v>169</v>
      </c>
      <c r="BB24" s="289" t="s">
        <v>136</v>
      </c>
      <c r="BC24" s="166" t="s">
        <v>57</v>
      </c>
      <c r="BD24" s="437" t="s">
        <v>34</v>
      </c>
      <c r="BE24" s="133" t="s">
        <v>58</v>
      </c>
      <c r="BF24" s="288" t="s">
        <v>168</v>
      </c>
      <c r="BG24" s="288" t="s">
        <v>169</v>
      </c>
      <c r="BH24" s="289" t="s">
        <v>136</v>
      </c>
      <c r="BI24" s="166" t="s">
        <v>57</v>
      </c>
      <c r="BJ24" s="437" t="s">
        <v>34</v>
      </c>
      <c r="BK24" s="133" t="s">
        <v>58</v>
      </c>
      <c r="BL24" s="288" t="s">
        <v>168</v>
      </c>
      <c r="BM24" s="288" t="s">
        <v>169</v>
      </c>
      <c r="BN24" s="289" t="s">
        <v>136</v>
      </c>
      <c r="BO24" s="166" t="s">
        <v>57</v>
      </c>
      <c r="BP24" s="437" t="s">
        <v>34</v>
      </c>
      <c r="BQ24" s="133" t="s">
        <v>58</v>
      </c>
      <c r="BR24" s="288" t="s">
        <v>168</v>
      </c>
      <c r="BS24" s="288" t="s">
        <v>169</v>
      </c>
      <c r="BT24" s="289" t="s">
        <v>136</v>
      </c>
      <c r="BU24" s="166" t="s">
        <v>57</v>
      </c>
      <c r="BV24" s="437" t="s">
        <v>34</v>
      </c>
      <c r="BW24" s="133" t="s">
        <v>58</v>
      </c>
      <c r="BX24" s="288" t="s">
        <v>168</v>
      </c>
      <c r="BY24" s="288" t="s">
        <v>169</v>
      </c>
      <c r="BZ24" s="289" t="s">
        <v>136</v>
      </c>
      <c r="CA24" s="166" t="s">
        <v>57</v>
      </c>
      <c r="CB24" s="437" t="s">
        <v>34</v>
      </c>
      <c r="CC24" s="133" t="s">
        <v>58</v>
      </c>
      <c r="CD24" s="288" t="s">
        <v>168</v>
      </c>
      <c r="CE24" s="288" t="s">
        <v>169</v>
      </c>
      <c r="CF24" s="289" t="s">
        <v>136</v>
      </c>
      <c r="CG24" s="166" t="s">
        <v>57</v>
      </c>
      <c r="CH24" s="437" t="s">
        <v>34</v>
      </c>
      <c r="CI24" s="133" t="s">
        <v>58</v>
      </c>
      <c r="CJ24" s="288" t="s">
        <v>168</v>
      </c>
      <c r="CK24" s="288" t="s">
        <v>169</v>
      </c>
      <c r="CL24" s="289" t="s">
        <v>136</v>
      </c>
      <c r="CM24" s="166" t="s">
        <v>57</v>
      </c>
      <c r="CN24" s="437" t="s">
        <v>34</v>
      </c>
      <c r="CO24" s="133" t="s">
        <v>58</v>
      </c>
      <c r="CP24" s="288" t="s">
        <v>168</v>
      </c>
      <c r="CQ24" s="288" t="s">
        <v>169</v>
      </c>
      <c r="CR24" s="289" t="s">
        <v>136</v>
      </c>
      <c r="CS24" s="166" t="s">
        <v>57</v>
      </c>
      <c r="CT24" s="437" t="s">
        <v>34</v>
      </c>
      <c r="CU24" s="133" t="s">
        <v>58</v>
      </c>
      <c r="CV24" s="288" t="s">
        <v>168</v>
      </c>
      <c r="CW24" s="288" t="s">
        <v>169</v>
      </c>
      <c r="CX24" s="289" t="s">
        <v>136</v>
      </c>
      <c r="CY24" s="166" t="s">
        <v>57</v>
      </c>
      <c r="CZ24" s="437" t="s">
        <v>34</v>
      </c>
      <c r="DA24" s="133" t="s">
        <v>58</v>
      </c>
    </row>
    <row r="25" spans="1:105">
      <c r="A25" s="67"/>
      <c r="B25" s="68"/>
      <c r="C25" s="300"/>
      <c r="D25" s="292"/>
      <c r="E25" s="292"/>
      <c r="F25" s="326"/>
      <c r="G25" s="407">
        <f t="shared" ref="G25:G30" si="94">IFERROR(D25/F25,0)</f>
        <v>0</v>
      </c>
      <c r="H25" s="460"/>
      <c r="I25" s="407">
        <f t="shared" ref="I25:I30" si="95">IFERROR(H25/F25,0)</f>
        <v>0</v>
      </c>
      <c r="J25" s="292"/>
      <c r="K25" s="292"/>
      <c r="L25" s="326"/>
      <c r="M25" s="407">
        <f t="shared" ref="M25:M30" si="96">IFERROR(J25/L25,0)</f>
        <v>0</v>
      </c>
      <c r="N25" s="460"/>
      <c r="O25" s="407">
        <f t="shared" ref="O25:O30" si="97">IFERROR(N25/L25,0)</f>
        <v>0</v>
      </c>
      <c r="P25" s="292"/>
      <c r="Q25" s="292"/>
      <c r="R25" s="326"/>
      <c r="S25" s="407">
        <f t="shared" ref="S25:S30" si="98">IFERROR(P25/R25,0)</f>
        <v>0</v>
      </c>
      <c r="T25" s="455"/>
      <c r="U25" s="407">
        <f t="shared" ref="U25:U30" si="99">IFERROR(T25/R25,0)</f>
        <v>0</v>
      </c>
      <c r="V25" s="328"/>
      <c r="W25" s="328"/>
      <c r="X25" s="328">
        <f t="shared" ref="X25:X29" si="100">F25+L25+R25</f>
        <v>0</v>
      </c>
      <c r="Y25" s="413">
        <f t="shared" ref="Y25:Y30" si="101">IFERROR(V25/X25,0)</f>
        <v>0</v>
      </c>
      <c r="Z25" s="445">
        <f t="shared" ref="Z25:Z29" si="102">H25+N25+T25</f>
        <v>0</v>
      </c>
      <c r="AA25" s="413">
        <f t="shared" ref="AA25:AA30" si="103">IFERROR(Z25/X25,0)</f>
        <v>0</v>
      </c>
      <c r="AB25" s="292"/>
      <c r="AC25" s="292"/>
      <c r="AD25" s="326"/>
      <c r="AE25" s="407">
        <f t="shared" ref="AE25:AE30" si="104">IFERROR(AB25/AD25,0)</f>
        <v>0</v>
      </c>
      <c r="AF25" s="460"/>
      <c r="AG25" s="407">
        <f t="shared" ref="AG25:AG30" si="105">IFERROR(AF25/AD25,0)</f>
        <v>0</v>
      </c>
      <c r="AH25" s="292"/>
      <c r="AI25" s="292"/>
      <c r="AJ25" s="326"/>
      <c r="AK25" s="407">
        <f t="shared" ref="AK25:AK30" si="106">IFERROR(AH25/AJ25,0)</f>
        <v>0</v>
      </c>
      <c r="AL25" s="460"/>
      <c r="AM25" s="407">
        <f t="shared" ref="AM25:AM30" si="107">IFERROR(AL25/AJ25,0)</f>
        <v>0</v>
      </c>
      <c r="AN25" s="292"/>
      <c r="AO25" s="292"/>
      <c r="AP25" s="326"/>
      <c r="AQ25" s="407">
        <f t="shared" ref="AQ25:AQ30" si="108">IFERROR(AN25/AP25,0)</f>
        <v>0</v>
      </c>
      <c r="AR25" s="460"/>
      <c r="AS25" s="407">
        <f t="shared" ref="AS25:AS30" si="109">IFERROR(AR25/AP25,0)</f>
        <v>0</v>
      </c>
      <c r="AT25" s="328"/>
      <c r="AU25" s="328"/>
      <c r="AV25" s="328">
        <f t="shared" ref="AV25:AV29" si="110">AD25+AJ25+AP25</f>
        <v>0</v>
      </c>
      <c r="AW25" s="413">
        <f t="shared" ref="AW25:AW30" si="111">IFERROR(AT25/AV25,0)</f>
        <v>0</v>
      </c>
      <c r="AX25" s="445">
        <f t="shared" ref="AX25:AX29" si="112">AF25+AL25+AR25</f>
        <v>0</v>
      </c>
      <c r="AY25" s="413">
        <f t="shared" ref="AY25:AY30" si="113">IFERROR(AX25/AV25,0)</f>
        <v>0</v>
      </c>
      <c r="AZ25" s="292"/>
      <c r="BA25" s="292"/>
      <c r="BB25" s="326"/>
      <c r="BC25" s="407">
        <f t="shared" ref="BC25:BC30" si="114">IFERROR(AZ25/BB25,0)</f>
        <v>0</v>
      </c>
      <c r="BD25" s="460"/>
      <c r="BE25" s="407">
        <f t="shared" ref="BE25:BE30" si="115">IFERROR(BD25/BB25,0)</f>
        <v>0</v>
      </c>
      <c r="BF25" s="292"/>
      <c r="BG25" s="292"/>
      <c r="BH25" s="326"/>
      <c r="BI25" s="407">
        <f t="shared" ref="BI25:BI30" si="116">IFERROR(BF25/BH25,0)</f>
        <v>0</v>
      </c>
      <c r="BJ25" s="460"/>
      <c r="BK25" s="407">
        <f t="shared" ref="BK25:BK30" si="117">IFERROR(BJ25/BH25,0)</f>
        <v>0</v>
      </c>
      <c r="BL25" s="292"/>
      <c r="BM25" s="292"/>
      <c r="BN25" s="326"/>
      <c r="BO25" s="407">
        <f t="shared" ref="BO25:BO30" si="118">IFERROR(BL25/BN25,0)</f>
        <v>0</v>
      </c>
      <c r="BP25" s="460"/>
      <c r="BQ25" s="407">
        <f t="shared" ref="BQ25:BQ30" si="119">IFERROR(BP25/BN25,0)</f>
        <v>0</v>
      </c>
      <c r="BR25" s="328"/>
      <c r="BS25" s="328"/>
      <c r="BT25" s="328">
        <f t="shared" ref="BT25:BT29" si="120">BB25+BH25+BN25</f>
        <v>0</v>
      </c>
      <c r="BU25" s="413">
        <f t="shared" ref="BU25:BU30" si="121">IFERROR(BR25/BT25,0)</f>
        <v>0</v>
      </c>
      <c r="BV25" s="445">
        <f t="shared" ref="BV25:BV29" si="122">BD25+BJ25+BP25</f>
        <v>0</v>
      </c>
      <c r="BW25" s="413">
        <f t="shared" ref="BW25:BW30" si="123">IFERROR(BV25/BT25,0)</f>
        <v>0</v>
      </c>
      <c r="BX25" s="292"/>
      <c r="BY25" s="292"/>
      <c r="BZ25" s="326"/>
      <c r="CA25" s="407">
        <f t="shared" ref="CA25:CA30" si="124">IFERROR(BX25/BZ25,0)</f>
        <v>0</v>
      </c>
      <c r="CB25" s="460"/>
      <c r="CC25" s="407">
        <f t="shared" ref="CC25:CC30" si="125">IFERROR(CB25/BZ25,0)</f>
        <v>0</v>
      </c>
      <c r="CD25" s="292"/>
      <c r="CE25" s="292"/>
      <c r="CF25" s="326"/>
      <c r="CG25" s="407">
        <f t="shared" ref="CG25:CG30" si="126">IFERROR(CD25/CF25,0)</f>
        <v>0</v>
      </c>
      <c r="CH25" s="460"/>
      <c r="CI25" s="407">
        <f t="shared" ref="CI25:CI30" si="127">IFERROR(CH25/CF25,0)</f>
        <v>0</v>
      </c>
      <c r="CJ25" s="292"/>
      <c r="CK25" s="292"/>
      <c r="CL25" s="326"/>
      <c r="CM25" s="407">
        <f t="shared" ref="CM25:CM30" si="128">IFERROR(CJ25/CL25,0)</f>
        <v>0</v>
      </c>
      <c r="CN25" s="460"/>
      <c r="CO25" s="407">
        <f t="shared" ref="CO25:CO30" si="129">IFERROR(CN25/CL25,0)</f>
        <v>0</v>
      </c>
      <c r="CP25" s="328"/>
      <c r="CQ25" s="328"/>
      <c r="CR25" s="328">
        <f t="shared" ref="CR25:CR29" si="130">BZ25+CF25+CL25</f>
        <v>0</v>
      </c>
      <c r="CS25" s="413">
        <f t="shared" ref="CS25:CS30" si="131">IFERROR(CP25/CR25,0)</f>
        <v>0</v>
      </c>
      <c r="CT25" s="445">
        <f t="shared" ref="CT25:CT29" si="132">CB25+CH25+CN25</f>
        <v>0</v>
      </c>
      <c r="CU25" s="413">
        <f t="shared" ref="CU25:CU30" si="133">IFERROR(CT25/CR25,0)</f>
        <v>0</v>
      </c>
      <c r="CV25" s="297"/>
      <c r="CW25" s="297"/>
      <c r="CX25" s="297">
        <f t="shared" ref="CX25:CX29" si="134">AV25+BT25+CR25</f>
        <v>0</v>
      </c>
      <c r="CY25" s="424">
        <f t="shared" ref="CY25:CY30" si="135">IFERROR(CV25/CX25,0)</f>
        <v>0</v>
      </c>
      <c r="CZ25" s="445">
        <f t="shared" ref="CZ25:CZ30" si="136">AX25+BV25+CT25</f>
        <v>0</v>
      </c>
      <c r="DA25" s="425">
        <f t="shared" ref="DA25:DA30" si="137">IFERROR(CZ25/CX25,0)</f>
        <v>0</v>
      </c>
    </row>
    <row r="26" spans="1:105">
      <c r="A26" s="67"/>
      <c r="B26" s="68"/>
      <c r="C26" s="300"/>
      <c r="D26" s="292"/>
      <c r="E26" s="292"/>
      <c r="F26" s="326"/>
      <c r="G26" s="407">
        <f t="shared" si="94"/>
        <v>0</v>
      </c>
      <c r="H26" s="460"/>
      <c r="I26" s="407">
        <f t="shared" si="95"/>
        <v>0</v>
      </c>
      <c r="J26" s="292"/>
      <c r="K26" s="292"/>
      <c r="L26" s="326"/>
      <c r="M26" s="407">
        <f t="shared" si="96"/>
        <v>0</v>
      </c>
      <c r="N26" s="460"/>
      <c r="O26" s="407">
        <f t="shared" si="97"/>
        <v>0</v>
      </c>
      <c r="P26" s="292"/>
      <c r="Q26" s="292"/>
      <c r="R26" s="326"/>
      <c r="S26" s="407">
        <f t="shared" si="98"/>
        <v>0</v>
      </c>
      <c r="T26" s="455"/>
      <c r="U26" s="407">
        <f t="shared" si="99"/>
        <v>0</v>
      </c>
      <c r="V26" s="328"/>
      <c r="W26" s="328"/>
      <c r="X26" s="328">
        <f t="shared" si="100"/>
        <v>0</v>
      </c>
      <c r="Y26" s="413">
        <f t="shared" si="101"/>
        <v>0</v>
      </c>
      <c r="Z26" s="445">
        <f t="shared" si="102"/>
        <v>0</v>
      </c>
      <c r="AA26" s="413">
        <f t="shared" si="103"/>
        <v>0</v>
      </c>
      <c r="AB26" s="292"/>
      <c r="AC26" s="292"/>
      <c r="AD26" s="326"/>
      <c r="AE26" s="407">
        <f t="shared" si="104"/>
        <v>0</v>
      </c>
      <c r="AF26" s="460"/>
      <c r="AG26" s="407">
        <f t="shared" si="105"/>
        <v>0</v>
      </c>
      <c r="AH26" s="292"/>
      <c r="AI26" s="292"/>
      <c r="AJ26" s="326"/>
      <c r="AK26" s="407">
        <f t="shared" si="106"/>
        <v>0</v>
      </c>
      <c r="AL26" s="460"/>
      <c r="AM26" s="407">
        <f t="shared" si="107"/>
        <v>0</v>
      </c>
      <c r="AN26" s="292"/>
      <c r="AO26" s="292"/>
      <c r="AP26" s="326"/>
      <c r="AQ26" s="407">
        <f t="shared" si="108"/>
        <v>0</v>
      </c>
      <c r="AR26" s="460"/>
      <c r="AS26" s="407">
        <f t="shared" si="109"/>
        <v>0</v>
      </c>
      <c r="AT26" s="328"/>
      <c r="AU26" s="328"/>
      <c r="AV26" s="328">
        <f t="shared" si="110"/>
        <v>0</v>
      </c>
      <c r="AW26" s="413">
        <f t="shared" si="111"/>
        <v>0</v>
      </c>
      <c r="AX26" s="445">
        <f t="shared" si="112"/>
        <v>0</v>
      </c>
      <c r="AY26" s="413">
        <f t="shared" si="113"/>
        <v>0</v>
      </c>
      <c r="AZ26" s="292"/>
      <c r="BA26" s="292"/>
      <c r="BB26" s="326"/>
      <c r="BC26" s="407">
        <f t="shared" si="114"/>
        <v>0</v>
      </c>
      <c r="BD26" s="460"/>
      <c r="BE26" s="407">
        <f t="shared" si="115"/>
        <v>0</v>
      </c>
      <c r="BF26" s="292"/>
      <c r="BG26" s="292"/>
      <c r="BH26" s="326"/>
      <c r="BI26" s="407">
        <f t="shared" si="116"/>
        <v>0</v>
      </c>
      <c r="BJ26" s="460"/>
      <c r="BK26" s="407">
        <f t="shared" si="117"/>
        <v>0</v>
      </c>
      <c r="BL26" s="292"/>
      <c r="BM26" s="292"/>
      <c r="BN26" s="326"/>
      <c r="BO26" s="407">
        <f t="shared" si="118"/>
        <v>0</v>
      </c>
      <c r="BP26" s="460"/>
      <c r="BQ26" s="407">
        <f t="shared" si="119"/>
        <v>0</v>
      </c>
      <c r="BR26" s="328"/>
      <c r="BS26" s="328"/>
      <c r="BT26" s="328">
        <f t="shared" si="120"/>
        <v>0</v>
      </c>
      <c r="BU26" s="413">
        <f t="shared" si="121"/>
        <v>0</v>
      </c>
      <c r="BV26" s="445">
        <f t="shared" si="122"/>
        <v>0</v>
      </c>
      <c r="BW26" s="413">
        <f t="shared" si="123"/>
        <v>0</v>
      </c>
      <c r="BX26" s="292"/>
      <c r="BY26" s="292"/>
      <c r="BZ26" s="326"/>
      <c r="CA26" s="407">
        <f t="shared" si="124"/>
        <v>0</v>
      </c>
      <c r="CB26" s="460"/>
      <c r="CC26" s="407">
        <f t="shared" si="125"/>
        <v>0</v>
      </c>
      <c r="CD26" s="292"/>
      <c r="CE26" s="292"/>
      <c r="CF26" s="326"/>
      <c r="CG26" s="407">
        <f t="shared" si="126"/>
        <v>0</v>
      </c>
      <c r="CH26" s="460"/>
      <c r="CI26" s="407">
        <f t="shared" si="127"/>
        <v>0</v>
      </c>
      <c r="CJ26" s="292"/>
      <c r="CK26" s="292"/>
      <c r="CL26" s="326"/>
      <c r="CM26" s="407">
        <f t="shared" si="128"/>
        <v>0</v>
      </c>
      <c r="CN26" s="460"/>
      <c r="CO26" s="407">
        <f t="shared" si="129"/>
        <v>0</v>
      </c>
      <c r="CP26" s="328"/>
      <c r="CQ26" s="328"/>
      <c r="CR26" s="328">
        <f t="shared" si="130"/>
        <v>0</v>
      </c>
      <c r="CS26" s="413">
        <f t="shared" si="131"/>
        <v>0</v>
      </c>
      <c r="CT26" s="445">
        <f t="shared" si="132"/>
        <v>0</v>
      </c>
      <c r="CU26" s="413">
        <f t="shared" si="133"/>
        <v>0</v>
      </c>
      <c r="CV26" s="297"/>
      <c r="CW26" s="297"/>
      <c r="CX26" s="297">
        <f t="shared" si="134"/>
        <v>0</v>
      </c>
      <c r="CY26" s="424">
        <f t="shared" si="135"/>
        <v>0</v>
      </c>
      <c r="CZ26" s="445">
        <f t="shared" si="136"/>
        <v>0</v>
      </c>
      <c r="DA26" s="425">
        <f t="shared" si="137"/>
        <v>0</v>
      </c>
    </row>
    <row r="27" spans="1:105">
      <c r="A27" s="67"/>
      <c r="B27" s="68"/>
      <c r="C27" s="300"/>
      <c r="D27" s="292"/>
      <c r="E27" s="292"/>
      <c r="F27" s="326"/>
      <c r="G27" s="407">
        <f t="shared" si="94"/>
        <v>0</v>
      </c>
      <c r="H27" s="460"/>
      <c r="I27" s="407">
        <f t="shared" si="95"/>
        <v>0</v>
      </c>
      <c r="J27" s="292"/>
      <c r="K27" s="292"/>
      <c r="L27" s="326"/>
      <c r="M27" s="407">
        <f t="shared" si="96"/>
        <v>0</v>
      </c>
      <c r="N27" s="460"/>
      <c r="O27" s="407">
        <f t="shared" si="97"/>
        <v>0</v>
      </c>
      <c r="P27" s="292"/>
      <c r="Q27" s="292"/>
      <c r="R27" s="326"/>
      <c r="S27" s="407">
        <f t="shared" si="98"/>
        <v>0</v>
      </c>
      <c r="T27" s="455"/>
      <c r="U27" s="407">
        <f t="shared" si="99"/>
        <v>0</v>
      </c>
      <c r="V27" s="328"/>
      <c r="W27" s="328"/>
      <c r="X27" s="328">
        <f t="shared" si="100"/>
        <v>0</v>
      </c>
      <c r="Y27" s="413">
        <f t="shared" si="101"/>
        <v>0</v>
      </c>
      <c r="Z27" s="445">
        <f t="shared" si="102"/>
        <v>0</v>
      </c>
      <c r="AA27" s="413">
        <f t="shared" si="103"/>
        <v>0</v>
      </c>
      <c r="AB27" s="292"/>
      <c r="AC27" s="292"/>
      <c r="AD27" s="326"/>
      <c r="AE27" s="407">
        <f t="shared" si="104"/>
        <v>0</v>
      </c>
      <c r="AF27" s="460"/>
      <c r="AG27" s="407">
        <f t="shared" si="105"/>
        <v>0</v>
      </c>
      <c r="AH27" s="292"/>
      <c r="AI27" s="292"/>
      <c r="AJ27" s="326"/>
      <c r="AK27" s="407">
        <f t="shared" si="106"/>
        <v>0</v>
      </c>
      <c r="AL27" s="460"/>
      <c r="AM27" s="407">
        <f t="shared" si="107"/>
        <v>0</v>
      </c>
      <c r="AN27" s="292"/>
      <c r="AO27" s="292"/>
      <c r="AP27" s="326"/>
      <c r="AQ27" s="407">
        <f t="shared" si="108"/>
        <v>0</v>
      </c>
      <c r="AR27" s="460"/>
      <c r="AS27" s="407">
        <f t="shared" si="109"/>
        <v>0</v>
      </c>
      <c r="AT27" s="328"/>
      <c r="AU27" s="328"/>
      <c r="AV27" s="328">
        <f t="shared" si="110"/>
        <v>0</v>
      </c>
      <c r="AW27" s="413">
        <f t="shared" si="111"/>
        <v>0</v>
      </c>
      <c r="AX27" s="445">
        <f t="shared" si="112"/>
        <v>0</v>
      </c>
      <c r="AY27" s="413">
        <f t="shared" si="113"/>
        <v>0</v>
      </c>
      <c r="AZ27" s="292"/>
      <c r="BA27" s="292"/>
      <c r="BB27" s="326"/>
      <c r="BC27" s="407">
        <f t="shared" si="114"/>
        <v>0</v>
      </c>
      <c r="BD27" s="460"/>
      <c r="BE27" s="407">
        <f t="shared" si="115"/>
        <v>0</v>
      </c>
      <c r="BF27" s="292"/>
      <c r="BG27" s="292"/>
      <c r="BH27" s="326"/>
      <c r="BI27" s="407">
        <f t="shared" si="116"/>
        <v>0</v>
      </c>
      <c r="BJ27" s="460"/>
      <c r="BK27" s="407">
        <f t="shared" si="117"/>
        <v>0</v>
      </c>
      <c r="BL27" s="292"/>
      <c r="BM27" s="292"/>
      <c r="BN27" s="326"/>
      <c r="BO27" s="407">
        <f t="shared" si="118"/>
        <v>0</v>
      </c>
      <c r="BP27" s="460"/>
      <c r="BQ27" s="407">
        <f t="shared" si="119"/>
        <v>0</v>
      </c>
      <c r="BR27" s="328"/>
      <c r="BS27" s="328"/>
      <c r="BT27" s="328">
        <f t="shared" si="120"/>
        <v>0</v>
      </c>
      <c r="BU27" s="413">
        <f t="shared" si="121"/>
        <v>0</v>
      </c>
      <c r="BV27" s="445">
        <f t="shared" si="122"/>
        <v>0</v>
      </c>
      <c r="BW27" s="413">
        <f t="shared" si="123"/>
        <v>0</v>
      </c>
      <c r="BX27" s="292"/>
      <c r="BY27" s="292"/>
      <c r="BZ27" s="326"/>
      <c r="CA27" s="407">
        <f t="shared" si="124"/>
        <v>0</v>
      </c>
      <c r="CB27" s="460"/>
      <c r="CC27" s="407">
        <f t="shared" si="125"/>
        <v>0</v>
      </c>
      <c r="CD27" s="292"/>
      <c r="CE27" s="292"/>
      <c r="CF27" s="326"/>
      <c r="CG27" s="407">
        <f t="shared" si="126"/>
        <v>0</v>
      </c>
      <c r="CH27" s="460"/>
      <c r="CI27" s="407">
        <f t="shared" si="127"/>
        <v>0</v>
      </c>
      <c r="CJ27" s="292"/>
      <c r="CK27" s="292"/>
      <c r="CL27" s="326"/>
      <c r="CM27" s="407">
        <f t="shared" si="128"/>
        <v>0</v>
      </c>
      <c r="CN27" s="460"/>
      <c r="CO27" s="407">
        <f t="shared" si="129"/>
        <v>0</v>
      </c>
      <c r="CP27" s="328"/>
      <c r="CQ27" s="328"/>
      <c r="CR27" s="328">
        <f t="shared" si="130"/>
        <v>0</v>
      </c>
      <c r="CS27" s="413">
        <f t="shared" si="131"/>
        <v>0</v>
      </c>
      <c r="CT27" s="445">
        <f t="shared" si="132"/>
        <v>0</v>
      </c>
      <c r="CU27" s="413">
        <f t="shared" si="133"/>
        <v>0</v>
      </c>
      <c r="CV27" s="297"/>
      <c r="CW27" s="297"/>
      <c r="CX27" s="297">
        <f t="shared" si="134"/>
        <v>0</v>
      </c>
      <c r="CY27" s="424">
        <f t="shared" si="135"/>
        <v>0</v>
      </c>
      <c r="CZ27" s="445">
        <f t="shared" si="136"/>
        <v>0</v>
      </c>
      <c r="DA27" s="425">
        <f t="shared" si="137"/>
        <v>0</v>
      </c>
    </row>
    <row r="28" spans="1:105">
      <c r="A28" s="67"/>
      <c r="B28" s="68"/>
      <c r="C28" s="300"/>
      <c r="D28" s="292"/>
      <c r="E28" s="292"/>
      <c r="F28" s="326"/>
      <c r="G28" s="407">
        <f t="shared" si="94"/>
        <v>0</v>
      </c>
      <c r="H28" s="460"/>
      <c r="I28" s="407">
        <f t="shared" si="95"/>
        <v>0</v>
      </c>
      <c r="J28" s="292"/>
      <c r="K28" s="292"/>
      <c r="L28" s="326"/>
      <c r="M28" s="407">
        <f t="shared" si="96"/>
        <v>0</v>
      </c>
      <c r="N28" s="460"/>
      <c r="O28" s="407">
        <f t="shared" si="97"/>
        <v>0</v>
      </c>
      <c r="P28" s="292"/>
      <c r="Q28" s="292"/>
      <c r="R28" s="326"/>
      <c r="S28" s="407">
        <f t="shared" si="98"/>
        <v>0</v>
      </c>
      <c r="T28" s="455"/>
      <c r="U28" s="407">
        <f t="shared" si="99"/>
        <v>0</v>
      </c>
      <c r="V28" s="328"/>
      <c r="W28" s="328"/>
      <c r="X28" s="328">
        <f t="shared" si="100"/>
        <v>0</v>
      </c>
      <c r="Y28" s="413">
        <f t="shared" si="101"/>
        <v>0</v>
      </c>
      <c r="Z28" s="445">
        <f t="shared" si="102"/>
        <v>0</v>
      </c>
      <c r="AA28" s="413">
        <f t="shared" si="103"/>
        <v>0</v>
      </c>
      <c r="AB28" s="292"/>
      <c r="AC28" s="292"/>
      <c r="AD28" s="326"/>
      <c r="AE28" s="407">
        <f t="shared" si="104"/>
        <v>0</v>
      </c>
      <c r="AF28" s="460"/>
      <c r="AG28" s="407">
        <f t="shared" si="105"/>
        <v>0</v>
      </c>
      <c r="AH28" s="292"/>
      <c r="AI28" s="292"/>
      <c r="AJ28" s="326"/>
      <c r="AK28" s="407">
        <f t="shared" si="106"/>
        <v>0</v>
      </c>
      <c r="AL28" s="460"/>
      <c r="AM28" s="407">
        <f t="shared" si="107"/>
        <v>0</v>
      </c>
      <c r="AN28" s="292"/>
      <c r="AO28" s="292"/>
      <c r="AP28" s="326"/>
      <c r="AQ28" s="407">
        <f t="shared" si="108"/>
        <v>0</v>
      </c>
      <c r="AR28" s="460"/>
      <c r="AS28" s="407">
        <f t="shared" si="109"/>
        <v>0</v>
      </c>
      <c r="AT28" s="328"/>
      <c r="AU28" s="328"/>
      <c r="AV28" s="328">
        <f t="shared" si="110"/>
        <v>0</v>
      </c>
      <c r="AW28" s="413">
        <f t="shared" si="111"/>
        <v>0</v>
      </c>
      <c r="AX28" s="445">
        <f t="shared" si="112"/>
        <v>0</v>
      </c>
      <c r="AY28" s="413">
        <f t="shared" si="113"/>
        <v>0</v>
      </c>
      <c r="AZ28" s="292"/>
      <c r="BA28" s="292"/>
      <c r="BB28" s="326"/>
      <c r="BC28" s="407">
        <f t="shared" si="114"/>
        <v>0</v>
      </c>
      <c r="BD28" s="460"/>
      <c r="BE28" s="407">
        <f t="shared" si="115"/>
        <v>0</v>
      </c>
      <c r="BF28" s="292"/>
      <c r="BG28" s="292"/>
      <c r="BH28" s="326"/>
      <c r="BI28" s="407">
        <f t="shared" si="116"/>
        <v>0</v>
      </c>
      <c r="BJ28" s="460"/>
      <c r="BK28" s="407">
        <f t="shared" si="117"/>
        <v>0</v>
      </c>
      <c r="BL28" s="292"/>
      <c r="BM28" s="292"/>
      <c r="BN28" s="326"/>
      <c r="BO28" s="407">
        <f t="shared" si="118"/>
        <v>0</v>
      </c>
      <c r="BP28" s="460"/>
      <c r="BQ28" s="407">
        <f t="shared" si="119"/>
        <v>0</v>
      </c>
      <c r="BR28" s="328"/>
      <c r="BS28" s="328"/>
      <c r="BT28" s="328">
        <f t="shared" si="120"/>
        <v>0</v>
      </c>
      <c r="BU28" s="413">
        <f t="shared" si="121"/>
        <v>0</v>
      </c>
      <c r="BV28" s="445">
        <f t="shared" si="122"/>
        <v>0</v>
      </c>
      <c r="BW28" s="413">
        <f t="shared" si="123"/>
        <v>0</v>
      </c>
      <c r="BX28" s="292"/>
      <c r="BY28" s="292"/>
      <c r="BZ28" s="326"/>
      <c r="CA28" s="407">
        <f t="shared" si="124"/>
        <v>0</v>
      </c>
      <c r="CB28" s="460"/>
      <c r="CC28" s="407">
        <f t="shared" si="125"/>
        <v>0</v>
      </c>
      <c r="CD28" s="292"/>
      <c r="CE28" s="292"/>
      <c r="CF28" s="326"/>
      <c r="CG28" s="407">
        <f t="shared" si="126"/>
        <v>0</v>
      </c>
      <c r="CH28" s="460"/>
      <c r="CI28" s="407">
        <f t="shared" si="127"/>
        <v>0</v>
      </c>
      <c r="CJ28" s="292"/>
      <c r="CK28" s="292"/>
      <c r="CL28" s="326"/>
      <c r="CM28" s="407">
        <f t="shared" si="128"/>
        <v>0</v>
      </c>
      <c r="CN28" s="460"/>
      <c r="CO28" s="407">
        <f t="shared" si="129"/>
        <v>0</v>
      </c>
      <c r="CP28" s="328"/>
      <c r="CQ28" s="328"/>
      <c r="CR28" s="328">
        <f t="shared" si="130"/>
        <v>0</v>
      </c>
      <c r="CS28" s="413">
        <f t="shared" si="131"/>
        <v>0</v>
      </c>
      <c r="CT28" s="445">
        <f t="shared" si="132"/>
        <v>0</v>
      </c>
      <c r="CU28" s="413">
        <f t="shared" si="133"/>
        <v>0</v>
      </c>
      <c r="CV28" s="297"/>
      <c r="CW28" s="297"/>
      <c r="CX28" s="297">
        <f t="shared" si="134"/>
        <v>0</v>
      </c>
      <c r="CY28" s="424">
        <f t="shared" si="135"/>
        <v>0</v>
      </c>
      <c r="CZ28" s="445">
        <f t="shared" si="136"/>
        <v>0</v>
      </c>
      <c r="DA28" s="425">
        <f t="shared" si="137"/>
        <v>0</v>
      </c>
    </row>
    <row r="29" spans="1:105">
      <c r="A29" s="67"/>
      <c r="B29" s="68"/>
      <c r="C29" s="300"/>
      <c r="D29" s="292"/>
      <c r="E29" s="292"/>
      <c r="F29" s="326"/>
      <c r="G29" s="407">
        <f t="shared" si="94"/>
        <v>0</v>
      </c>
      <c r="H29" s="460"/>
      <c r="I29" s="407">
        <f t="shared" si="95"/>
        <v>0</v>
      </c>
      <c r="J29" s="292"/>
      <c r="K29" s="292"/>
      <c r="L29" s="326"/>
      <c r="M29" s="407">
        <f t="shared" si="96"/>
        <v>0</v>
      </c>
      <c r="N29" s="460"/>
      <c r="O29" s="407">
        <f t="shared" si="97"/>
        <v>0</v>
      </c>
      <c r="P29" s="292"/>
      <c r="Q29" s="292"/>
      <c r="R29" s="326"/>
      <c r="S29" s="407">
        <f t="shared" si="98"/>
        <v>0</v>
      </c>
      <c r="T29" s="455"/>
      <c r="U29" s="407">
        <f t="shared" si="99"/>
        <v>0</v>
      </c>
      <c r="V29" s="328"/>
      <c r="W29" s="328"/>
      <c r="X29" s="328">
        <f t="shared" si="100"/>
        <v>0</v>
      </c>
      <c r="Y29" s="413">
        <f t="shared" si="101"/>
        <v>0</v>
      </c>
      <c r="Z29" s="445">
        <f t="shared" si="102"/>
        <v>0</v>
      </c>
      <c r="AA29" s="413">
        <f t="shared" si="103"/>
        <v>0</v>
      </c>
      <c r="AB29" s="292"/>
      <c r="AC29" s="292"/>
      <c r="AD29" s="326"/>
      <c r="AE29" s="407">
        <f t="shared" si="104"/>
        <v>0</v>
      </c>
      <c r="AF29" s="460"/>
      <c r="AG29" s="407">
        <f t="shared" si="105"/>
        <v>0</v>
      </c>
      <c r="AH29" s="292"/>
      <c r="AI29" s="292"/>
      <c r="AJ29" s="326"/>
      <c r="AK29" s="407">
        <f t="shared" si="106"/>
        <v>0</v>
      </c>
      <c r="AL29" s="460"/>
      <c r="AM29" s="407">
        <f t="shared" si="107"/>
        <v>0</v>
      </c>
      <c r="AN29" s="292"/>
      <c r="AO29" s="292"/>
      <c r="AP29" s="326"/>
      <c r="AQ29" s="407">
        <f t="shared" si="108"/>
        <v>0</v>
      </c>
      <c r="AR29" s="460"/>
      <c r="AS29" s="407">
        <f t="shared" si="109"/>
        <v>0</v>
      </c>
      <c r="AT29" s="328"/>
      <c r="AU29" s="328"/>
      <c r="AV29" s="328">
        <f t="shared" si="110"/>
        <v>0</v>
      </c>
      <c r="AW29" s="413">
        <f t="shared" si="111"/>
        <v>0</v>
      </c>
      <c r="AX29" s="445">
        <f t="shared" si="112"/>
        <v>0</v>
      </c>
      <c r="AY29" s="413">
        <f t="shared" si="113"/>
        <v>0</v>
      </c>
      <c r="AZ29" s="292"/>
      <c r="BA29" s="292"/>
      <c r="BB29" s="326"/>
      <c r="BC29" s="407">
        <f t="shared" si="114"/>
        <v>0</v>
      </c>
      <c r="BD29" s="460"/>
      <c r="BE29" s="407">
        <f t="shared" si="115"/>
        <v>0</v>
      </c>
      <c r="BF29" s="292"/>
      <c r="BG29" s="292"/>
      <c r="BH29" s="326"/>
      <c r="BI29" s="407">
        <f t="shared" si="116"/>
        <v>0</v>
      </c>
      <c r="BJ29" s="460"/>
      <c r="BK29" s="407">
        <f t="shared" si="117"/>
        <v>0</v>
      </c>
      <c r="BL29" s="292"/>
      <c r="BM29" s="292"/>
      <c r="BN29" s="326"/>
      <c r="BO29" s="407">
        <f t="shared" si="118"/>
        <v>0</v>
      </c>
      <c r="BP29" s="460"/>
      <c r="BQ29" s="407">
        <f t="shared" si="119"/>
        <v>0</v>
      </c>
      <c r="BR29" s="328"/>
      <c r="BS29" s="328"/>
      <c r="BT29" s="328">
        <f t="shared" si="120"/>
        <v>0</v>
      </c>
      <c r="BU29" s="413">
        <f t="shared" si="121"/>
        <v>0</v>
      </c>
      <c r="BV29" s="445">
        <f t="shared" si="122"/>
        <v>0</v>
      </c>
      <c r="BW29" s="413">
        <f t="shared" si="123"/>
        <v>0</v>
      </c>
      <c r="BX29" s="292"/>
      <c r="BY29" s="292"/>
      <c r="BZ29" s="326"/>
      <c r="CA29" s="407">
        <f t="shared" si="124"/>
        <v>0</v>
      </c>
      <c r="CB29" s="460"/>
      <c r="CC29" s="407">
        <f t="shared" si="125"/>
        <v>0</v>
      </c>
      <c r="CD29" s="292"/>
      <c r="CE29" s="292"/>
      <c r="CF29" s="326"/>
      <c r="CG29" s="407">
        <f t="shared" si="126"/>
        <v>0</v>
      </c>
      <c r="CH29" s="460"/>
      <c r="CI29" s="407">
        <f t="shared" si="127"/>
        <v>0</v>
      </c>
      <c r="CJ29" s="292"/>
      <c r="CK29" s="292"/>
      <c r="CL29" s="326"/>
      <c r="CM29" s="407">
        <f t="shared" si="128"/>
        <v>0</v>
      </c>
      <c r="CN29" s="460"/>
      <c r="CO29" s="407">
        <f t="shared" si="129"/>
        <v>0</v>
      </c>
      <c r="CP29" s="328"/>
      <c r="CQ29" s="328"/>
      <c r="CR29" s="328">
        <f t="shared" si="130"/>
        <v>0</v>
      </c>
      <c r="CS29" s="413">
        <f t="shared" si="131"/>
        <v>0</v>
      </c>
      <c r="CT29" s="445">
        <f t="shared" si="132"/>
        <v>0</v>
      </c>
      <c r="CU29" s="413">
        <f t="shared" si="133"/>
        <v>0</v>
      </c>
      <c r="CV29" s="297"/>
      <c r="CW29" s="297"/>
      <c r="CX29" s="297">
        <f t="shared" si="134"/>
        <v>0</v>
      </c>
      <c r="CY29" s="424">
        <f t="shared" si="135"/>
        <v>0</v>
      </c>
      <c r="CZ29" s="445">
        <f t="shared" si="136"/>
        <v>0</v>
      </c>
      <c r="DA29" s="425">
        <f t="shared" si="137"/>
        <v>0</v>
      </c>
    </row>
    <row r="30" spans="1:105">
      <c r="A30" s="66"/>
      <c r="B30" s="66" t="s">
        <v>135</v>
      </c>
      <c r="C30" s="66"/>
      <c r="D30" s="366">
        <v>0</v>
      </c>
      <c r="E30" s="366">
        <v>0</v>
      </c>
      <c r="F30" s="336">
        <f>SUM(F25:F29)</f>
        <v>0</v>
      </c>
      <c r="G30" s="406">
        <f t="shared" si="94"/>
        <v>0</v>
      </c>
      <c r="H30" s="446">
        <f>SUM(H25:H29)</f>
        <v>0</v>
      </c>
      <c r="I30" s="406">
        <f t="shared" si="95"/>
        <v>0</v>
      </c>
      <c r="J30" s="366">
        <v>0</v>
      </c>
      <c r="K30" s="366">
        <v>0</v>
      </c>
      <c r="L30" s="320">
        <f>SUM(L25:L29)</f>
        <v>0</v>
      </c>
      <c r="M30" s="406">
        <f t="shared" si="96"/>
        <v>0</v>
      </c>
      <c r="N30" s="446">
        <f>SUM(N25:N29)</f>
        <v>0</v>
      </c>
      <c r="O30" s="406">
        <f t="shared" si="97"/>
        <v>0</v>
      </c>
      <c r="P30" s="366">
        <v>0</v>
      </c>
      <c r="Q30" s="366">
        <v>0</v>
      </c>
      <c r="R30" s="320">
        <f>SUM(R25:R29)</f>
        <v>0</v>
      </c>
      <c r="S30" s="406">
        <f t="shared" si="98"/>
        <v>0</v>
      </c>
      <c r="T30" s="435">
        <f>SUM(T25:T29)</f>
        <v>0</v>
      </c>
      <c r="U30" s="406">
        <f t="shared" si="99"/>
        <v>0</v>
      </c>
      <c r="V30" s="366">
        <v>0</v>
      </c>
      <c r="W30" s="366">
        <v>0</v>
      </c>
      <c r="X30" s="320">
        <f>SUM(X25:X29)</f>
        <v>0</v>
      </c>
      <c r="Y30" s="406">
        <f t="shared" si="101"/>
        <v>0</v>
      </c>
      <c r="Z30" s="446">
        <f>SUM(Z25:Z29)</f>
        <v>0</v>
      </c>
      <c r="AA30" s="406">
        <f t="shared" si="103"/>
        <v>0</v>
      </c>
      <c r="AB30" s="366">
        <v>0</v>
      </c>
      <c r="AC30" s="366">
        <v>0</v>
      </c>
      <c r="AD30" s="320">
        <f>SUM(AD25:AD29)</f>
        <v>0</v>
      </c>
      <c r="AE30" s="406">
        <f t="shared" si="104"/>
        <v>0</v>
      </c>
      <c r="AF30" s="446">
        <f>SUM(AF25:AF29)</f>
        <v>0</v>
      </c>
      <c r="AG30" s="406">
        <f t="shared" si="105"/>
        <v>0</v>
      </c>
      <c r="AH30" s="366">
        <v>0</v>
      </c>
      <c r="AI30" s="366">
        <v>0</v>
      </c>
      <c r="AJ30" s="320">
        <f>SUM(AJ25:AJ29)</f>
        <v>0</v>
      </c>
      <c r="AK30" s="406">
        <f t="shared" si="106"/>
        <v>0</v>
      </c>
      <c r="AL30" s="446">
        <f>SUM(AL25:AL29)</f>
        <v>0</v>
      </c>
      <c r="AM30" s="406">
        <f t="shared" si="107"/>
        <v>0</v>
      </c>
      <c r="AN30" s="366">
        <v>0</v>
      </c>
      <c r="AO30" s="366">
        <v>0</v>
      </c>
      <c r="AP30" s="320">
        <f>SUM(AP25:AP29)</f>
        <v>0</v>
      </c>
      <c r="AQ30" s="406">
        <f t="shared" si="108"/>
        <v>0</v>
      </c>
      <c r="AR30" s="446">
        <f>SUM(AR25:AR29)</f>
        <v>0</v>
      </c>
      <c r="AS30" s="406">
        <f t="shared" si="109"/>
        <v>0</v>
      </c>
      <c r="AT30" s="366">
        <v>0</v>
      </c>
      <c r="AU30" s="366">
        <v>0</v>
      </c>
      <c r="AV30" s="320">
        <f>SUM(AV25:AV29)</f>
        <v>0</v>
      </c>
      <c r="AW30" s="406">
        <f t="shared" si="111"/>
        <v>0</v>
      </c>
      <c r="AX30" s="446">
        <f>SUM(AX25:AX29)</f>
        <v>0</v>
      </c>
      <c r="AY30" s="406">
        <f t="shared" si="113"/>
        <v>0</v>
      </c>
      <c r="AZ30" s="366">
        <v>0</v>
      </c>
      <c r="BA30" s="366">
        <v>0</v>
      </c>
      <c r="BB30" s="320">
        <f>SUM(BB25:BB29)</f>
        <v>0</v>
      </c>
      <c r="BC30" s="406">
        <f t="shared" si="114"/>
        <v>0</v>
      </c>
      <c r="BD30" s="446">
        <f>SUM(BD25:BD29)</f>
        <v>0</v>
      </c>
      <c r="BE30" s="406">
        <f t="shared" si="115"/>
        <v>0</v>
      </c>
      <c r="BF30" s="366">
        <v>0</v>
      </c>
      <c r="BG30" s="366">
        <v>0</v>
      </c>
      <c r="BH30" s="320">
        <f>SUM(BH25:BH29)</f>
        <v>0</v>
      </c>
      <c r="BI30" s="406">
        <f t="shared" si="116"/>
        <v>0</v>
      </c>
      <c r="BJ30" s="446">
        <f>SUM(BJ25:BJ29)</f>
        <v>0</v>
      </c>
      <c r="BK30" s="406">
        <f t="shared" si="117"/>
        <v>0</v>
      </c>
      <c r="BL30" s="366">
        <v>0</v>
      </c>
      <c r="BM30" s="366">
        <v>0</v>
      </c>
      <c r="BN30" s="320">
        <f>SUM(BN25:BN29)</f>
        <v>0</v>
      </c>
      <c r="BO30" s="406">
        <f t="shared" si="118"/>
        <v>0</v>
      </c>
      <c r="BP30" s="446">
        <f>SUM(BP25:BP29)</f>
        <v>0</v>
      </c>
      <c r="BQ30" s="406">
        <f t="shared" si="119"/>
        <v>0</v>
      </c>
      <c r="BR30" s="366">
        <v>0</v>
      </c>
      <c r="BS30" s="366">
        <v>0</v>
      </c>
      <c r="BT30" s="320">
        <f>SUM(BT25:BT29)</f>
        <v>0</v>
      </c>
      <c r="BU30" s="406">
        <f t="shared" si="121"/>
        <v>0</v>
      </c>
      <c r="BV30" s="446">
        <f>SUM(BV25:BV29)</f>
        <v>0</v>
      </c>
      <c r="BW30" s="406">
        <f t="shared" si="123"/>
        <v>0</v>
      </c>
      <c r="BX30" s="366">
        <v>0</v>
      </c>
      <c r="BY30" s="366">
        <v>0</v>
      </c>
      <c r="BZ30" s="320">
        <f>SUM(BZ25:BZ29)</f>
        <v>0</v>
      </c>
      <c r="CA30" s="406">
        <f t="shared" si="124"/>
        <v>0</v>
      </c>
      <c r="CB30" s="446">
        <f>SUM(CB25:CB29)</f>
        <v>0</v>
      </c>
      <c r="CC30" s="406">
        <f t="shared" si="125"/>
        <v>0</v>
      </c>
      <c r="CD30" s="366">
        <v>0</v>
      </c>
      <c r="CE30" s="366">
        <v>0</v>
      </c>
      <c r="CF30" s="320">
        <f>SUM(CF25:CF29)</f>
        <v>0</v>
      </c>
      <c r="CG30" s="406">
        <f t="shared" si="126"/>
        <v>0</v>
      </c>
      <c r="CH30" s="446">
        <f>SUM(CH25:CH29)</f>
        <v>0</v>
      </c>
      <c r="CI30" s="406">
        <f t="shared" si="127"/>
        <v>0</v>
      </c>
      <c r="CJ30" s="366">
        <v>0</v>
      </c>
      <c r="CK30" s="366">
        <v>0</v>
      </c>
      <c r="CL30" s="320">
        <f>SUM(CL25:CL29)</f>
        <v>0</v>
      </c>
      <c r="CM30" s="406">
        <f t="shared" si="128"/>
        <v>0</v>
      </c>
      <c r="CN30" s="446">
        <f>SUM(CN25:CN29)</f>
        <v>0</v>
      </c>
      <c r="CO30" s="406">
        <f t="shared" si="129"/>
        <v>0</v>
      </c>
      <c r="CP30" s="366">
        <v>0</v>
      </c>
      <c r="CQ30" s="366">
        <v>0</v>
      </c>
      <c r="CR30" s="320">
        <f>SUM(CR25:CR29)</f>
        <v>0</v>
      </c>
      <c r="CS30" s="406">
        <f t="shared" si="131"/>
        <v>0</v>
      </c>
      <c r="CT30" s="450">
        <f>SUM(CT25:CT29)</f>
        <v>0</v>
      </c>
      <c r="CU30" s="406">
        <f t="shared" si="133"/>
        <v>0</v>
      </c>
      <c r="CV30" s="366">
        <v>0</v>
      </c>
      <c r="CW30" s="366">
        <v>0</v>
      </c>
      <c r="CX30" s="320">
        <f>AV30+BT30+CR30</f>
        <v>0</v>
      </c>
      <c r="CY30" s="406">
        <f t="shared" si="135"/>
        <v>0</v>
      </c>
      <c r="CZ30" s="446">
        <f t="shared" si="136"/>
        <v>0</v>
      </c>
      <c r="DA30" s="406">
        <f t="shared" si="137"/>
        <v>0</v>
      </c>
    </row>
    <row r="31" spans="1:105" ht="14.65" thickBot="1">
      <c r="AH31" s="356"/>
      <c r="AI31" s="356"/>
      <c r="AT31" s="356"/>
      <c r="AU31" s="356"/>
      <c r="BL31" s="356"/>
      <c r="BM31" s="356"/>
    </row>
    <row r="32" spans="1:105" ht="26.25">
      <c r="A32" s="66" t="s">
        <v>100</v>
      </c>
      <c r="B32" s="66" t="s">
        <v>149</v>
      </c>
      <c r="C32" s="66" t="s">
        <v>138</v>
      </c>
      <c r="D32" s="288" t="s">
        <v>168</v>
      </c>
      <c r="E32" s="288" t="s">
        <v>169</v>
      </c>
      <c r="F32" s="289" t="s">
        <v>136</v>
      </c>
      <c r="G32" s="166" t="s">
        <v>57</v>
      </c>
      <c r="H32" s="437" t="s">
        <v>34</v>
      </c>
      <c r="I32" s="133" t="s">
        <v>58</v>
      </c>
      <c r="J32" s="288" t="s">
        <v>168</v>
      </c>
      <c r="K32" s="288" t="s">
        <v>169</v>
      </c>
      <c r="L32" s="289" t="s">
        <v>136</v>
      </c>
      <c r="M32" s="166" t="s">
        <v>57</v>
      </c>
      <c r="N32" s="437" t="s">
        <v>34</v>
      </c>
      <c r="O32" s="133" t="s">
        <v>58</v>
      </c>
      <c r="P32" s="288" t="s">
        <v>168</v>
      </c>
      <c r="Q32" s="288" t="s">
        <v>169</v>
      </c>
      <c r="R32" s="289" t="s">
        <v>136</v>
      </c>
      <c r="S32" s="166" t="s">
        <v>57</v>
      </c>
      <c r="T32" s="431" t="s">
        <v>34</v>
      </c>
      <c r="U32" s="133" t="s">
        <v>58</v>
      </c>
      <c r="V32" s="288" t="s">
        <v>168</v>
      </c>
      <c r="W32" s="288" t="s">
        <v>169</v>
      </c>
      <c r="X32" s="289" t="s">
        <v>136</v>
      </c>
      <c r="Y32" s="166" t="s">
        <v>57</v>
      </c>
      <c r="Z32" s="437" t="s">
        <v>34</v>
      </c>
      <c r="AA32" s="133" t="s">
        <v>58</v>
      </c>
      <c r="AB32" s="288" t="s">
        <v>168</v>
      </c>
      <c r="AC32" s="288" t="s">
        <v>169</v>
      </c>
      <c r="AD32" s="289" t="s">
        <v>136</v>
      </c>
      <c r="AE32" s="166" t="s">
        <v>57</v>
      </c>
      <c r="AF32" s="437" t="s">
        <v>34</v>
      </c>
      <c r="AG32" s="133" t="s">
        <v>58</v>
      </c>
      <c r="AH32" s="288" t="s">
        <v>168</v>
      </c>
      <c r="AI32" s="288" t="s">
        <v>169</v>
      </c>
      <c r="AJ32" s="289" t="s">
        <v>136</v>
      </c>
      <c r="AK32" s="166" t="s">
        <v>57</v>
      </c>
      <c r="AL32" s="437" t="s">
        <v>34</v>
      </c>
      <c r="AM32" s="133" t="s">
        <v>58</v>
      </c>
      <c r="AN32" s="288" t="s">
        <v>168</v>
      </c>
      <c r="AO32" s="288" t="s">
        <v>169</v>
      </c>
      <c r="AP32" s="289" t="s">
        <v>136</v>
      </c>
      <c r="AQ32" s="166" t="s">
        <v>57</v>
      </c>
      <c r="AR32" s="437" t="s">
        <v>34</v>
      </c>
      <c r="AS32" s="133" t="s">
        <v>58</v>
      </c>
      <c r="AT32" s="288" t="s">
        <v>168</v>
      </c>
      <c r="AU32" s="288" t="s">
        <v>169</v>
      </c>
      <c r="AV32" s="289" t="s">
        <v>136</v>
      </c>
      <c r="AW32" s="166" t="s">
        <v>57</v>
      </c>
      <c r="AX32" s="437" t="s">
        <v>34</v>
      </c>
      <c r="AY32" s="133" t="s">
        <v>58</v>
      </c>
      <c r="AZ32" s="288" t="s">
        <v>168</v>
      </c>
      <c r="BA32" s="288" t="s">
        <v>169</v>
      </c>
      <c r="BB32" s="289" t="s">
        <v>136</v>
      </c>
      <c r="BC32" s="166" t="s">
        <v>57</v>
      </c>
      <c r="BD32" s="437" t="s">
        <v>34</v>
      </c>
      <c r="BE32" s="133" t="s">
        <v>58</v>
      </c>
      <c r="BF32" s="288" t="s">
        <v>168</v>
      </c>
      <c r="BG32" s="288" t="s">
        <v>169</v>
      </c>
      <c r="BH32" s="289" t="s">
        <v>136</v>
      </c>
      <c r="BI32" s="166" t="s">
        <v>57</v>
      </c>
      <c r="BJ32" s="437" t="s">
        <v>34</v>
      </c>
      <c r="BK32" s="133" t="s">
        <v>58</v>
      </c>
      <c r="BL32" s="288" t="s">
        <v>168</v>
      </c>
      <c r="BM32" s="288" t="s">
        <v>169</v>
      </c>
      <c r="BN32" s="289" t="s">
        <v>136</v>
      </c>
      <c r="BO32" s="166" t="s">
        <v>57</v>
      </c>
      <c r="BP32" s="437" t="s">
        <v>34</v>
      </c>
      <c r="BQ32" s="133" t="s">
        <v>58</v>
      </c>
      <c r="BR32" s="288" t="s">
        <v>168</v>
      </c>
      <c r="BS32" s="288" t="s">
        <v>169</v>
      </c>
      <c r="BT32" s="289" t="s">
        <v>136</v>
      </c>
      <c r="BU32" s="166" t="s">
        <v>57</v>
      </c>
      <c r="BV32" s="437" t="s">
        <v>34</v>
      </c>
      <c r="BW32" s="133" t="s">
        <v>58</v>
      </c>
      <c r="BX32" s="288" t="s">
        <v>168</v>
      </c>
      <c r="BY32" s="288" t="s">
        <v>169</v>
      </c>
      <c r="BZ32" s="289" t="s">
        <v>136</v>
      </c>
      <c r="CA32" s="166" t="s">
        <v>57</v>
      </c>
      <c r="CB32" s="437" t="s">
        <v>34</v>
      </c>
      <c r="CC32" s="133" t="s">
        <v>58</v>
      </c>
      <c r="CD32" s="288" t="s">
        <v>168</v>
      </c>
      <c r="CE32" s="288" t="s">
        <v>169</v>
      </c>
      <c r="CF32" s="289" t="s">
        <v>136</v>
      </c>
      <c r="CG32" s="166" t="s">
        <v>57</v>
      </c>
      <c r="CH32" s="437" t="s">
        <v>34</v>
      </c>
      <c r="CI32" s="133" t="s">
        <v>58</v>
      </c>
      <c r="CJ32" s="288" t="s">
        <v>168</v>
      </c>
      <c r="CK32" s="288" t="s">
        <v>169</v>
      </c>
      <c r="CL32" s="289" t="s">
        <v>136</v>
      </c>
      <c r="CM32" s="166" t="s">
        <v>57</v>
      </c>
      <c r="CN32" s="437" t="s">
        <v>34</v>
      </c>
      <c r="CO32" s="133" t="s">
        <v>58</v>
      </c>
      <c r="CP32" s="288" t="s">
        <v>168</v>
      </c>
      <c r="CQ32" s="288" t="s">
        <v>169</v>
      </c>
      <c r="CR32" s="289" t="s">
        <v>136</v>
      </c>
      <c r="CS32" s="166" t="s">
        <v>57</v>
      </c>
      <c r="CT32" s="437" t="s">
        <v>34</v>
      </c>
      <c r="CU32" s="133" t="s">
        <v>58</v>
      </c>
      <c r="CV32" s="288" t="s">
        <v>168</v>
      </c>
      <c r="CW32" s="288" t="s">
        <v>169</v>
      </c>
      <c r="CX32" s="289" t="s">
        <v>136</v>
      </c>
      <c r="CY32" s="166" t="s">
        <v>57</v>
      </c>
      <c r="CZ32" s="437" t="s">
        <v>34</v>
      </c>
      <c r="DA32" s="133" t="s">
        <v>58</v>
      </c>
    </row>
    <row r="33" spans="1:105">
      <c r="A33" s="466" t="s">
        <v>125</v>
      </c>
      <c r="B33" s="467" t="s">
        <v>124</v>
      </c>
      <c r="C33" s="300"/>
      <c r="D33" s="353">
        <v>68506</v>
      </c>
      <c r="E33" s="353">
        <v>17659</v>
      </c>
      <c r="F33" s="326"/>
      <c r="G33" s="402">
        <f>IFERROR(D33/F33,0)</f>
        <v>0</v>
      </c>
      <c r="H33" s="230">
        <f ca="1">E33+D33+RANDBETWEEN(5000,50000)</f>
        <v>95915</v>
      </c>
      <c r="I33" s="402">
        <f ca="1">IFERROR(H33/F33,0)</f>
        <v>0</v>
      </c>
      <c r="J33" s="353">
        <v>84390</v>
      </c>
      <c r="K33" s="353">
        <v>94015</v>
      </c>
      <c r="L33" s="326"/>
      <c r="M33" s="402">
        <f>IFERROR(J33/L33,0)</f>
        <v>0</v>
      </c>
      <c r="N33" s="230">
        <f ca="1">K33+J33+RANDBETWEEN(5000,50000)</f>
        <v>191196</v>
      </c>
      <c r="O33" s="402">
        <f ca="1">IFERROR(N33/L33,0)</f>
        <v>0</v>
      </c>
      <c r="P33" s="353">
        <v>34300</v>
      </c>
      <c r="Q33" s="353">
        <v>69089</v>
      </c>
      <c r="R33" s="326"/>
      <c r="S33" s="402">
        <f>IFERROR(P33/R33,0)</f>
        <v>0</v>
      </c>
      <c r="T33" s="230">
        <f ca="1">Q33+P33+RANDBETWEEN(5000,50000)</f>
        <v>112754</v>
      </c>
      <c r="U33" s="402">
        <f ca="1">IFERROR(T33/R33,0)</f>
        <v>0</v>
      </c>
      <c r="V33" s="398">
        <v>94307</v>
      </c>
      <c r="W33" s="398">
        <v>33834</v>
      </c>
      <c r="X33" s="328">
        <f t="shared" ref="X33:X38" si="138">F33+L33+R33</f>
        <v>0</v>
      </c>
      <c r="Y33" s="410">
        <f>IFERROR(V33/X33,0)</f>
        <v>0</v>
      </c>
      <c r="Z33" s="445">
        <f t="shared" ref="Z33:Z38" ca="1" si="139">H33+N33+T33</f>
        <v>399865</v>
      </c>
      <c r="AA33" s="410">
        <f ca="1">IFERROR(Z33/X33,0)</f>
        <v>0</v>
      </c>
      <c r="AB33" s="353">
        <v>61816</v>
      </c>
      <c r="AC33" s="353">
        <v>86354</v>
      </c>
      <c r="AD33" s="326"/>
      <c r="AE33" s="402">
        <f>IFERROR(AB33/AD33,0)</f>
        <v>0</v>
      </c>
      <c r="AF33" s="230">
        <f ca="1">AC33+AB33+RANDBETWEEN(5000,50000)</f>
        <v>173562</v>
      </c>
      <c r="AG33" s="402">
        <f ca="1">IFERROR(AF33/AD33,0)</f>
        <v>0</v>
      </c>
      <c r="AH33" s="353">
        <v>88433</v>
      </c>
      <c r="AI33" s="353">
        <v>41930</v>
      </c>
      <c r="AJ33" s="326"/>
      <c r="AK33" s="402">
        <f>IFERROR(AH33/AJ33,0)</f>
        <v>0</v>
      </c>
      <c r="AL33" s="230">
        <f ca="1">AI33+AH33+RANDBETWEEN(5000,50000)</f>
        <v>138706</v>
      </c>
      <c r="AM33" s="402">
        <f ca="1">IFERROR(AL33/AJ33,0)</f>
        <v>0</v>
      </c>
      <c r="AN33" s="353">
        <v>56962</v>
      </c>
      <c r="AO33" s="353">
        <v>72336</v>
      </c>
      <c r="AP33" s="326"/>
      <c r="AQ33" s="402">
        <f>IFERROR(AN33/AP33,0)</f>
        <v>0</v>
      </c>
      <c r="AR33" s="230">
        <f ca="1">AO33+AN33+RANDBETWEEN(5000,50000)</f>
        <v>138891</v>
      </c>
      <c r="AS33" s="402">
        <f ca="1">IFERROR(AR33/AP33,0)</f>
        <v>0</v>
      </c>
      <c r="AT33" s="328"/>
      <c r="AU33" s="328"/>
      <c r="AV33" s="328">
        <f t="shared" ref="AV33:AV38" si="140">AD33+AJ33+AP33</f>
        <v>0</v>
      </c>
      <c r="AW33" s="410">
        <f>IFERROR(AT33/AV33,0)</f>
        <v>0</v>
      </c>
      <c r="AX33" s="445">
        <f ca="1">AF33+AL33+AR33</f>
        <v>451159</v>
      </c>
      <c r="AY33" s="410">
        <f ca="1">IFERROR(AX33/AV33,0)</f>
        <v>0</v>
      </c>
      <c r="AZ33" s="353">
        <v>81450</v>
      </c>
      <c r="BA33" s="353">
        <v>25030</v>
      </c>
      <c r="BB33" s="326"/>
      <c r="BC33" s="402">
        <f>IFERROR(AZ33/BB33,0)</f>
        <v>0</v>
      </c>
      <c r="BD33" s="230">
        <f ca="1">BA33+AZ33+RANDBETWEEN(5000,50000)</f>
        <v>124002</v>
      </c>
      <c r="BE33" s="402">
        <f ca="1">IFERROR(BD33/BB33,0)</f>
        <v>0</v>
      </c>
      <c r="BF33" s="353">
        <v>60910</v>
      </c>
      <c r="BG33" s="353">
        <v>48228</v>
      </c>
      <c r="BH33" s="326"/>
      <c r="BI33" s="402">
        <f>IFERROR(BF33/BH33,0)</f>
        <v>0</v>
      </c>
      <c r="BJ33" s="230">
        <f t="shared" ref="BJ33" ca="1" si="141">BG33+BF33+RANDBETWEEN(5000,50000)</f>
        <v>116192</v>
      </c>
      <c r="BK33" s="402">
        <f ca="1">IFERROR(BJ33/BH33,0)</f>
        <v>0</v>
      </c>
      <c r="BL33" s="353">
        <v>55797</v>
      </c>
      <c r="BM33" s="353">
        <v>53749</v>
      </c>
      <c r="BN33" s="326"/>
      <c r="BO33" s="402">
        <f>IFERROR(BL33/BN33,0)</f>
        <v>0</v>
      </c>
      <c r="BP33" s="230">
        <f t="shared" ref="BP33" ca="1" si="142">BM33+BL33+RANDBETWEEN(5000,50000)</f>
        <v>134912</v>
      </c>
      <c r="BQ33" s="402">
        <f ca="1">IFERROR(BP33/BN33,0)</f>
        <v>0</v>
      </c>
      <c r="BR33" s="328"/>
      <c r="BS33" s="328"/>
      <c r="BT33" s="328">
        <f t="shared" ref="BT33:BT38" si="143">BB33+BH33+BN33</f>
        <v>0</v>
      </c>
      <c r="BU33" s="410">
        <f>IFERROR(BR33/BT33,0)</f>
        <v>0</v>
      </c>
      <c r="BV33" s="445">
        <f t="shared" ref="BV33:BV38" ca="1" si="144">BD33+BJ33+BP33</f>
        <v>375106</v>
      </c>
      <c r="BW33" s="410">
        <f ca="1">IFERROR(BV33/BT33,0)</f>
        <v>0</v>
      </c>
      <c r="BX33" s="353">
        <v>38793</v>
      </c>
      <c r="BY33" s="353">
        <v>40582</v>
      </c>
      <c r="BZ33" s="326"/>
      <c r="CA33" s="402">
        <f>IFERROR(BX33/BZ33,0)</f>
        <v>0</v>
      </c>
      <c r="CB33" s="230">
        <f t="shared" ref="CB33" ca="1" si="145">BY33+BX33+RANDBETWEEN(5000,50000)</f>
        <v>112051</v>
      </c>
      <c r="CC33" s="402">
        <f ca="1">IFERROR(CB33/BZ33,0)</f>
        <v>0</v>
      </c>
      <c r="CD33" s="353">
        <v>23036</v>
      </c>
      <c r="CE33" s="353">
        <v>44892</v>
      </c>
      <c r="CF33" s="326"/>
      <c r="CG33" s="402">
        <f>IFERROR(CD33/CF33,0)</f>
        <v>0</v>
      </c>
      <c r="CH33" s="230">
        <f t="shared" ref="CH33" ca="1" si="146">CE33+CD33+RANDBETWEEN(5000,50000)</f>
        <v>76943</v>
      </c>
      <c r="CI33" s="402">
        <f ca="1">IFERROR(CH33/CF33,0)</f>
        <v>0</v>
      </c>
      <c r="CJ33" s="353">
        <v>80404</v>
      </c>
      <c r="CK33" s="353">
        <v>32254</v>
      </c>
      <c r="CL33" s="326"/>
      <c r="CM33" s="402">
        <f>IFERROR(CJ33/CL33,0)</f>
        <v>0</v>
      </c>
      <c r="CN33" s="230">
        <f t="shared" ref="CN33" ca="1" si="147">CK33+CJ33+RANDBETWEEN(5000,50000)</f>
        <v>133280</v>
      </c>
      <c r="CO33" s="402">
        <f ca="1">IFERROR(CN33/CL33,0)</f>
        <v>0</v>
      </c>
      <c r="CP33" s="328"/>
      <c r="CQ33" s="328"/>
      <c r="CR33" s="328">
        <f t="shared" ref="CR33:CR38" si="148">BZ33+CF33+CL33</f>
        <v>0</v>
      </c>
      <c r="CS33" s="410">
        <f>IFERROR(CP33/CR33,0)</f>
        <v>0</v>
      </c>
      <c r="CT33" s="445">
        <f t="shared" ref="CT33:CT38" ca="1" si="149">CB33+CH33+CN33</f>
        <v>322274</v>
      </c>
      <c r="CU33" s="410">
        <f ca="1">IFERROR(CT33/CR33,0)</f>
        <v>0</v>
      </c>
      <c r="CV33" s="355">
        <v>52042</v>
      </c>
      <c r="CW33" s="355">
        <v>83615</v>
      </c>
      <c r="CX33" s="297">
        <f>AV33+BT33+CR33</f>
        <v>0</v>
      </c>
      <c r="CY33" s="417">
        <f>IFERROR(CV33/CX33,0)</f>
        <v>0</v>
      </c>
      <c r="CZ33" s="445">
        <f ca="1">AX33+BV33+CT33</f>
        <v>1148539</v>
      </c>
      <c r="DA33" s="420">
        <f ca="1">IFERROR(CZ33/CX33,0)</f>
        <v>0</v>
      </c>
    </row>
    <row r="34" spans="1:105">
      <c r="A34" s="67"/>
      <c r="B34" s="68"/>
      <c r="C34" s="300"/>
      <c r="D34" s="292"/>
      <c r="E34" s="292"/>
      <c r="F34" s="326"/>
      <c r="G34" s="407">
        <f t="shared" ref="G34:G39" si="150">IFERROR(D34/F34,0)</f>
        <v>0</v>
      </c>
      <c r="H34" s="460"/>
      <c r="I34" s="407">
        <f t="shared" ref="I34:I39" si="151">IFERROR(H34/F34,0)</f>
        <v>0</v>
      </c>
      <c r="J34" s="292"/>
      <c r="K34" s="292"/>
      <c r="L34" s="326"/>
      <c r="M34" s="407">
        <f t="shared" ref="M34:M39" si="152">IFERROR(J34/L34,0)</f>
        <v>0</v>
      </c>
      <c r="N34" s="460"/>
      <c r="O34" s="407">
        <f t="shared" ref="O34:O39" si="153">IFERROR(N34/L34,0)</f>
        <v>0</v>
      </c>
      <c r="P34" s="292"/>
      <c r="Q34" s="292"/>
      <c r="R34" s="326"/>
      <c r="S34" s="407">
        <f t="shared" ref="S34:S39" si="154">IFERROR(P34/R34,0)</f>
        <v>0</v>
      </c>
      <c r="T34" s="455"/>
      <c r="U34" s="407">
        <f t="shared" ref="U34:U39" si="155">IFERROR(T34/R34,0)</f>
        <v>0</v>
      </c>
      <c r="V34" s="328"/>
      <c r="W34" s="328"/>
      <c r="X34" s="328">
        <f t="shared" si="138"/>
        <v>0</v>
      </c>
      <c r="Y34" s="413">
        <f t="shared" ref="Y34:Y39" si="156">IFERROR(V34/X34,0)</f>
        <v>0</v>
      </c>
      <c r="Z34" s="445">
        <f t="shared" si="139"/>
        <v>0</v>
      </c>
      <c r="AA34" s="413">
        <f t="shared" ref="AA34:AA39" si="157">IFERROR(Z34/X34,0)</f>
        <v>0</v>
      </c>
      <c r="AB34" s="292"/>
      <c r="AC34" s="292"/>
      <c r="AD34" s="326"/>
      <c r="AE34" s="407">
        <f t="shared" ref="AE34:AE39" si="158">IFERROR(AB34/AD34,0)</f>
        <v>0</v>
      </c>
      <c r="AF34" s="460"/>
      <c r="AG34" s="407">
        <f t="shared" ref="AG34:AG39" si="159">IFERROR(AF34/AD34,0)</f>
        <v>0</v>
      </c>
      <c r="AH34" s="292"/>
      <c r="AI34" s="292"/>
      <c r="AJ34" s="326"/>
      <c r="AK34" s="407">
        <f t="shared" ref="AK34:AK39" si="160">IFERROR(AH34/AJ34,0)</f>
        <v>0</v>
      </c>
      <c r="AL34" s="460"/>
      <c r="AM34" s="407">
        <f t="shared" ref="AM34:AM39" si="161">IFERROR(AL34/AJ34,0)</f>
        <v>0</v>
      </c>
      <c r="AN34" s="292"/>
      <c r="AO34" s="292"/>
      <c r="AP34" s="326"/>
      <c r="AQ34" s="407">
        <f t="shared" ref="AQ34:AQ39" si="162">IFERROR(AN34/AP34,0)</f>
        <v>0</v>
      </c>
      <c r="AR34" s="460"/>
      <c r="AS34" s="407">
        <f t="shared" ref="AS34:AS39" si="163">IFERROR(AR34/AP34,0)</f>
        <v>0</v>
      </c>
      <c r="AT34" s="328"/>
      <c r="AU34" s="328"/>
      <c r="AV34" s="328">
        <f t="shared" si="140"/>
        <v>0</v>
      </c>
      <c r="AW34" s="413">
        <f t="shared" ref="AW34:AW39" si="164">IFERROR(AT34/AV34,0)</f>
        <v>0</v>
      </c>
      <c r="AX34" s="445">
        <f t="shared" ref="AX34:AX38" si="165">AF34+AL34+AR34</f>
        <v>0</v>
      </c>
      <c r="AY34" s="413">
        <f t="shared" ref="AY34:AY39" si="166">IFERROR(AX34/AV34,0)</f>
        <v>0</v>
      </c>
      <c r="AZ34" s="292"/>
      <c r="BA34" s="292"/>
      <c r="BB34" s="326"/>
      <c r="BC34" s="407">
        <f t="shared" ref="BC34:BC39" si="167">IFERROR(AZ34/BB34,0)</f>
        <v>0</v>
      </c>
      <c r="BD34" s="460"/>
      <c r="BE34" s="407">
        <f t="shared" ref="BE34:BE39" si="168">IFERROR(BD34/BB34,0)</f>
        <v>0</v>
      </c>
      <c r="BF34" s="292"/>
      <c r="BG34" s="292"/>
      <c r="BH34" s="326"/>
      <c r="BI34" s="407">
        <f t="shared" ref="BI34:BI39" si="169">IFERROR(BF34/BH34,0)</f>
        <v>0</v>
      </c>
      <c r="BJ34" s="460"/>
      <c r="BK34" s="407">
        <f t="shared" ref="BK34:BK39" si="170">IFERROR(BJ34/BH34,0)</f>
        <v>0</v>
      </c>
      <c r="BL34" s="292"/>
      <c r="BM34" s="292"/>
      <c r="BN34" s="326"/>
      <c r="BO34" s="407">
        <f t="shared" ref="BO34:BO39" si="171">IFERROR(BL34/BN34,0)</f>
        <v>0</v>
      </c>
      <c r="BP34" s="460"/>
      <c r="BQ34" s="407">
        <f t="shared" ref="BQ34:BQ39" si="172">IFERROR(BP34/BN34,0)</f>
        <v>0</v>
      </c>
      <c r="BR34" s="328"/>
      <c r="BS34" s="328"/>
      <c r="BT34" s="328">
        <f t="shared" si="143"/>
        <v>0</v>
      </c>
      <c r="BU34" s="413">
        <f t="shared" ref="BU34:BU39" si="173">IFERROR(BR34/BT34,0)</f>
        <v>0</v>
      </c>
      <c r="BV34" s="445">
        <f t="shared" si="144"/>
        <v>0</v>
      </c>
      <c r="BW34" s="413">
        <f t="shared" ref="BW34:BW39" si="174">IFERROR(BV34/BT34,0)</f>
        <v>0</v>
      </c>
      <c r="BX34" s="292"/>
      <c r="BY34" s="292"/>
      <c r="BZ34" s="326"/>
      <c r="CA34" s="407">
        <f t="shared" ref="CA34:CA39" si="175">IFERROR(BX34/BZ34,0)</f>
        <v>0</v>
      </c>
      <c r="CB34" s="460"/>
      <c r="CC34" s="407">
        <f t="shared" ref="CC34:CC39" si="176">IFERROR(CB34/BZ34,0)</f>
        <v>0</v>
      </c>
      <c r="CD34" s="292"/>
      <c r="CE34" s="292"/>
      <c r="CF34" s="326"/>
      <c r="CG34" s="407">
        <f t="shared" ref="CG34:CG39" si="177">IFERROR(CD34/CF34,0)</f>
        <v>0</v>
      </c>
      <c r="CH34" s="460"/>
      <c r="CI34" s="407">
        <f t="shared" ref="CI34:CI39" si="178">IFERROR(CH34/CF34,0)</f>
        <v>0</v>
      </c>
      <c r="CJ34" s="292"/>
      <c r="CK34" s="292"/>
      <c r="CL34" s="326"/>
      <c r="CM34" s="407">
        <f t="shared" ref="CM34:CM39" si="179">IFERROR(CJ34/CL34,0)</f>
        <v>0</v>
      </c>
      <c r="CN34" s="460"/>
      <c r="CO34" s="407">
        <f t="shared" ref="CO34:CO39" si="180">IFERROR(CN34/CL34,0)</f>
        <v>0</v>
      </c>
      <c r="CP34" s="328"/>
      <c r="CQ34" s="328"/>
      <c r="CR34" s="328">
        <f t="shared" si="148"/>
        <v>0</v>
      </c>
      <c r="CS34" s="413">
        <f t="shared" ref="CS34:CS39" si="181">IFERROR(CP34/CR34,0)</f>
        <v>0</v>
      </c>
      <c r="CT34" s="445">
        <f t="shared" si="149"/>
        <v>0</v>
      </c>
      <c r="CU34" s="413">
        <f t="shared" ref="CU34:CU39" si="182">IFERROR(CT34/CR34,0)</f>
        <v>0</v>
      </c>
      <c r="CV34" s="297"/>
      <c r="CW34" s="297"/>
      <c r="CX34" s="297">
        <f t="shared" ref="CX34:CX38" si="183">AV34+BT34+CR34</f>
        <v>0</v>
      </c>
      <c r="CY34" s="424">
        <f t="shared" ref="CY34:CY39" si="184">IFERROR(CV34/CX34,0)</f>
        <v>0</v>
      </c>
      <c r="CZ34" s="445">
        <f t="shared" ref="CZ34:CZ39" si="185">AX34+BV34+CT34</f>
        <v>0</v>
      </c>
      <c r="DA34" s="425">
        <f t="shared" ref="DA34:DA39" si="186">IFERROR(CZ34/CX34,0)</f>
        <v>0</v>
      </c>
    </row>
    <row r="35" spans="1:105">
      <c r="A35" s="67"/>
      <c r="B35" s="68"/>
      <c r="C35" s="300"/>
      <c r="D35" s="292"/>
      <c r="E35" s="292"/>
      <c r="F35" s="326"/>
      <c r="G35" s="407">
        <f t="shared" si="150"/>
        <v>0</v>
      </c>
      <c r="H35" s="460"/>
      <c r="I35" s="407">
        <f t="shared" si="151"/>
        <v>0</v>
      </c>
      <c r="J35" s="292"/>
      <c r="K35" s="292"/>
      <c r="L35" s="326"/>
      <c r="M35" s="407">
        <f t="shared" si="152"/>
        <v>0</v>
      </c>
      <c r="N35" s="460"/>
      <c r="O35" s="407">
        <f t="shared" si="153"/>
        <v>0</v>
      </c>
      <c r="P35" s="292"/>
      <c r="Q35" s="292"/>
      <c r="R35" s="326"/>
      <c r="S35" s="407">
        <f t="shared" si="154"/>
        <v>0</v>
      </c>
      <c r="T35" s="455"/>
      <c r="U35" s="407">
        <f t="shared" si="155"/>
        <v>0</v>
      </c>
      <c r="V35" s="328"/>
      <c r="W35" s="328"/>
      <c r="X35" s="328">
        <f t="shared" si="138"/>
        <v>0</v>
      </c>
      <c r="Y35" s="413">
        <f t="shared" si="156"/>
        <v>0</v>
      </c>
      <c r="Z35" s="445">
        <f t="shared" si="139"/>
        <v>0</v>
      </c>
      <c r="AA35" s="413">
        <f t="shared" si="157"/>
        <v>0</v>
      </c>
      <c r="AB35" s="292"/>
      <c r="AC35" s="292"/>
      <c r="AD35" s="326"/>
      <c r="AE35" s="407">
        <f t="shared" si="158"/>
        <v>0</v>
      </c>
      <c r="AF35" s="460"/>
      <c r="AG35" s="407">
        <f t="shared" si="159"/>
        <v>0</v>
      </c>
      <c r="AH35" s="292"/>
      <c r="AI35" s="292"/>
      <c r="AJ35" s="326"/>
      <c r="AK35" s="407">
        <f t="shared" si="160"/>
        <v>0</v>
      </c>
      <c r="AL35" s="460"/>
      <c r="AM35" s="407">
        <f t="shared" si="161"/>
        <v>0</v>
      </c>
      <c r="AN35" s="292"/>
      <c r="AO35" s="292"/>
      <c r="AP35" s="326"/>
      <c r="AQ35" s="407">
        <f t="shared" si="162"/>
        <v>0</v>
      </c>
      <c r="AR35" s="460"/>
      <c r="AS35" s="407">
        <f t="shared" si="163"/>
        <v>0</v>
      </c>
      <c r="AT35" s="328"/>
      <c r="AU35" s="328"/>
      <c r="AV35" s="328">
        <f t="shared" si="140"/>
        <v>0</v>
      </c>
      <c r="AW35" s="413">
        <f t="shared" si="164"/>
        <v>0</v>
      </c>
      <c r="AX35" s="445">
        <f t="shared" si="165"/>
        <v>0</v>
      </c>
      <c r="AY35" s="413">
        <f t="shared" si="166"/>
        <v>0</v>
      </c>
      <c r="AZ35" s="292"/>
      <c r="BA35" s="292"/>
      <c r="BB35" s="326"/>
      <c r="BC35" s="407">
        <f t="shared" si="167"/>
        <v>0</v>
      </c>
      <c r="BD35" s="460"/>
      <c r="BE35" s="407">
        <f t="shared" si="168"/>
        <v>0</v>
      </c>
      <c r="BF35" s="292"/>
      <c r="BG35" s="292"/>
      <c r="BH35" s="326"/>
      <c r="BI35" s="407">
        <f t="shared" si="169"/>
        <v>0</v>
      </c>
      <c r="BJ35" s="460"/>
      <c r="BK35" s="407">
        <f t="shared" si="170"/>
        <v>0</v>
      </c>
      <c r="BL35" s="292"/>
      <c r="BM35" s="292"/>
      <c r="BN35" s="326"/>
      <c r="BO35" s="407">
        <f t="shared" si="171"/>
        <v>0</v>
      </c>
      <c r="BP35" s="460"/>
      <c r="BQ35" s="407">
        <f t="shared" si="172"/>
        <v>0</v>
      </c>
      <c r="BR35" s="328"/>
      <c r="BS35" s="328"/>
      <c r="BT35" s="328">
        <f t="shared" si="143"/>
        <v>0</v>
      </c>
      <c r="BU35" s="413">
        <f t="shared" si="173"/>
        <v>0</v>
      </c>
      <c r="BV35" s="445">
        <f t="shared" si="144"/>
        <v>0</v>
      </c>
      <c r="BW35" s="413">
        <f t="shared" si="174"/>
        <v>0</v>
      </c>
      <c r="BX35" s="292"/>
      <c r="BY35" s="292"/>
      <c r="BZ35" s="326"/>
      <c r="CA35" s="407">
        <f t="shared" si="175"/>
        <v>0</v>
      </c>
      <c r="CB35" s="460"/>
      <c r="CC35" s="407">
        <f t="shared" si="176"/>
        <v>0</v>
      </c>
      <c r="CD35" s="292"/>
      <c r="CE35" s="292"/>
      <c r="CF35" s="326"/>
      <c r="CG35" s="407">
        <f t="shared" si="177"/>
        <v>0</v>
      </c>
      <c r="CH35" s="460"/>
      <c r="CI35" s="407">
        <f t="shared" si="178"/>
        <v>0</v>
      </c>
      <c r="CJ35" s="292"/>
      <c r="CK35" s="292"/>
      <c r="CL35" s="326"/>
      <c r="CM35" s="407">
        <f t="shared" si="179"/>
        <v>0</v>
      </c>
      <c r="CN35" s="460"/>
      <c r="CO35" s="407">
        <f t="shared" si="180"/>
        <v>0</v>
      </c>
      <c r="CP35" s="328"/>
      <c r="CQ35" s="328"/>
      <c r="CR35" s="328">
        <f t="shared" si="148"/>
        <v>0</v>
      </c>
      <c r="CS35" s="413">
        <f t="shared" si="181"/>
        <v>0</v>
      </c>
      <c r="CT35" s="445">
        <f t="shared" si="149"/>
        <v>0</v>
      </c>
      <c r="CU35" s="413">
        <f t="shared" si="182"/>
        <v>0</v>
      </c>
      <c r="CV35" s="297"/>
      <c r="CW35" s="297"/>
      <c r="CX35" s="297">
        <f t="shared" si="183"/>
        <v>0</v>
      </c>
      <c r="CY35" s="424">
        <f t="shared" si="184"/>
        <v>0</v>
      </c>
      <c r="CZ35" s="445">
        <f t="shared" si="185"/>
        <v>0</v>
      </c>
      <c r="DA35" s="425">
        <f t="shared" si="186"/>
        <v>0</v>
      </c>
    </row>
    <row r="36" spans="1:105">
      <c r="A36" s="67"/>
      <c r="B36" s="68"/>
      <c r="C36" s="300"/>
      <c r="D36" s="292"/>
      <c r="E36" s="292"/>
      <c r="F36" s="326"/>
      <c r="G36" s="407">
        <f t="shared" si="150"/>
        <v>0</v>
      </c>
      <c r="H36" s="460"/>
      <c r="I36" s="407">
        <f t="shared" si="151"/>
        <v>0</v>
      </c>
      <c r="J36" s="292"/>
      <c r="K36" s="292"/>
      <c r="L36" s="326"/>
      <c r="M36" s="407">
        <f t="shared" si="152"/>
        <v>0</v>
      </c>
      <c r="N36" s="460"/>
      <c r="O36" s="407">
        <f t="shared" si="153"/>
        <v>0</v>
      </c>
      <c r="P36" s="292"/>
      <c r="Q36" s="292"/>
      <c r="R36" s="326"/>
      <c r="S36" s="407">
        <f t="shared" si="154"/>
        <v>0</v>
      </c>
      <c r="T36" s="455"/>
      <c r="U36" s="407">
        <f t="shared" si="155"/>
        <v>0</v>
      </c>
      <c r="V36" s="328"/>
      <c r="W36" s="328"/>
      <c r="X36" s="328">
        <f t="shared" si="138"/>
        <v>0</v>
      </c>
      <c r="Y36" s="413">
        <f t="shared" si="156"/>
        <v>0</v>
      </c>
      <c r="Z36" s="445">
        <f t="shared" si="139"/>
        <v>0</v>
      </c>
      <c r="AA36" s="413">
        <f t="shared" si="157"/>
        <v>0</v>
      </c>
      <c r="AB36" s="292"/>
      <c r="AC36" s="292"/>
      <c r="AD36" s="326"/>
      <c r="AE36" s="407">
        <f t="shared" si="158"/>
        <v>0</v>
      </c>
      <c r="AF36" s="460"/>
      <c r="AG36" s="407">
        <f t="shared" si="159"/>
        <v>0</v>
      </c>
      <c r="AH36" s="292"/>
      <c r="AI36" s="292"/>
      <c r="AJ36" s="326"/>
      <c r="AK36" s="407">
        <f t="shared" si="160"/>
        <v>0</v>
      </c>
      <c r="AL36" s="460"/>
      <c r="AM36" s="407">
        <f t="shared" si="161"/>
        <v>0</v>
      </c>
      <c r="AN36" s="292"/>
      <c r="AO36" s="292"/>
      <c r="AP36" s="326"/>
      <c r="AQ36" s="407">
        <f t="shared" si="162"/>
        <v>0</v>
      </c>
      <c r="AR36" s="460"/>
      <c r="AS36" s="407">
        <f t="shared" si="163"/>
        <v>0</v>
      </c>
      <c r="AT36" s="328"/>
      <c r="AU36" s="328"/>
      <c r="AV36" s="328">
        <f t="shared" si="140"/>
        <v>0</v>
      </c>
      <c r="AW36" s="413">
        <f t="shared" si="164"/>
        <v>0</v>
      </c>
      <c r="AX36" s="445">
        <f t="shared" si="165"/>
        <v>0</v>
      </c>
      <c r="AY36" s="413">
        <f t="shared" si="166"/>
        <v>0</v>
      </c>
      <c r="AZ36" s="292"/>
      <c r="BA36" s="292"/>
      <c r="BB36" s="326"/>
      <c r="BC36" s="407">
        <f t="shared" si="167"/>
        <v>0</v>
      </c>
      <c r="BD36" s="460"/>
      <c r="BE36" s="407">
        <f t="shared" si="168"/>
        <v>0</v>
      </c>
      <c r="BF36" s="292"/>
      <c r="BG36" s="292"/>
      <c r="BH36" s="326"/>
      <c r="BI36" s="407">
        <f t="shared" si="169"/>
        <v>0</v>
      </c>
      <c r="BJ36" s="460"/>
      <c r="BK36" s="407">
        <f t="shared" si="170"/>
        <v>0</v>
      </c>
      <c r="BL36" s="292"/>
      <c r="BM36" s="292"/>
      <c r="BN36" s="326"/>
      <c r="BO36" s="407">
        <f t="shared" si="171"/>
        <v>0</v>
      </c>
      <c r="BP36" s="460"/>
      <c r="BQ36" s="407">
        <f t="shared" si="172"/>
        <v>0</v>
      </c>
      <c r="BR36" s="328"/>
      <c r="BS36" s="328"/>
      <c r="BT36" s="328">
        <f t="shared" si="143"/>
        <v>0</v>
      </c>
      <c r="BU36" s="413">
        <f t="shared" si="173"/>
        <v>0</v>
      </c>
      <c r="BV36" s="445">
        <f t="shared" si="144"/>
        <v>0</v>
      </c>
      <c r="BW36" s="413">
        <f t="shared" si="174"/>
        <v>0</v>
      </c>
      <c r="BX36" s="292"/>
      <c r="BY36" s="292"/>
      <c r="BZ36" s="326"/>
      <c r="CA36" s="407">
        <f t="shared" si="175"/>
        <v>0</v>
      </c>
      <c r="CB36" s="460"/>
      <c r="CC36" s="407">
        <f t="shared" si="176"/>
        <v>0</v>
      </c>
      <c r="CD36" s="292"/>
      <c r="CE36" s="292"/>
      <c r="CF36" s="326"/>
      <c r="CG36" s="407">
        <f t="shared" si="177"/>
        <v>0</v>
      </c>
      <c r="CH36" s="460"/>
      <c r="CI36" s="407">
        <f t="shared" si="178"/>
        <v>0</v>
      </c>
      <c r="CJ36" s="292"/>
      <c r="CK36" s="292"/>
      <c r="CL36" s="326"/>
      <c r="CM36" s="407">
        <f t="shared" si="179"/>
        <v>0</v>
      </c>
      <c r="CN36" s="460"/>
      <c r="CO36" s="407">
        <f t="shared" si="180"/>
        <v>0</v>
      </c>
      <c r="CP36" s="328"/>
      <c r="CQ36" s="328"/>
      <c r="CR36" s="328">
        <f t="shared" si="148"/>
        <v>0</v>
      </c>
      <c r="CS36" s="413">
        <f t="shared" si="181"/>
        <v>0</v>
      </c>
      <c r="CT36" s="445">
        <f t="shared" si="149"/>
        <v>0</v>
      </c>
      <c r="CU36" s="413">
        <f t="shared" si="182"/>
        <v>0</v>
      </c>
      <c r="CV36" s="297"/>
      <c r="CW36" s="297"/>
      <c r="CX36" s="297">
        <f t="shared" si="183"/>
        <v>0</v>
      </c>
      <c r="CY36" s="424">
        <f t="shared" si="184"/>
        <v>0</v>
      </c>
      <c r="CZ36" s="445">
        <f t="shared" si="185"/>
        <v>0</v>
      </c>
      <c r="DA36" s="425">
        <f t="shared" si="186"/>
        <v>0</v>
      </c>
    </row>
    <row r="37" spans="1:105">
      <c r="A37" s="67"/>
      <c r="B37" s="68"/>
      <c r="C37" s="300"/>
      <c r="D37" s="292"/>
      <c r="E37" s="292"/>
      <c r="F37" s="326"/>
      <c r="G37" s="407">
        <f t="shared" si="150"/>
        <v>0</v>
      </c>
      <c r="H37" s="460"/>
      <c r="I37" s="407">
        <f t="shared" si="151"/>
        <v>0</v>
      </c>
      <c r="J37" s="292"/>
      <c r="K37" s="292"/>
      <c r="L37" s="326"/>
      <c r="M37" s="407">
        <f t="shared" si="152"/>
        <v>0</v>
      </c>
      <c r="N37" s="460"/>
      <c r="O37" s="407">
        <f t="shared" si="153"/>
        <v>0</v>
      </c>
      <c r="P37" s="292"/>
      <c r="Q37" s="292"/>
      <c r="R37" s="326"/>
      <c r="S37" s="407">
        <f t="shared" si="154"/>
        <v>0</v>
      </c>
      <c r="T37" s="455"/>
      <c r="U37" s="407">
        <f t="shared" si="155"/>
        <v>0</v>
      </c>
      <c r="V37" s="328"/>
      <c r="W37" s="328"/>
      <c r="X37" s="328">
        <f t="shared" si="138"/>
        <v>0</v>
      </c>
      <c r="Y37" s="413">
        <f t="shared" si="156"/>
        <v>0</v>
      </c>
      <c r="Z37" s="445">
        <f t="shared" si="139"/>
        <v>0</v>
      </c>
      <c r="AA37" s="413">
        <f t="shared" si="157"/>
        <v>0</v>
      </c>
      <c r="AB37" s="292"/>
      <c r="AC37" s="292"/>
      <c r="AD37" s="326"/>
      <c r="AE37" s="407">
        <f t="shared" si="158"/>
        <v>0</v>
      </c>
      <c r="AF37" s="460"/>
      <c r="AG37" s="407">
        <f t="shared" si="159"/>
        <v>0</v>
      </c>
      <c r="AH37" s="292"/>
      <c r="AI37" s="292"/>
      <c r="AJ37" s="326"/>
      <c r="AK37" s="407">
        <f t="shared" si="160"/>
        <v>0</v>
      </c>
      <c r="AL37" s="460"/>
      <c r="AM37" s="407">
        <f t="shared" si="161"/>
        <v>0</v>
      </c>
      <c r="AN37" s="292"/>
      <c r="AO37" s="292"/>
      <c r="AP37" s="326"/>
      <c r="AQ37" s="407">
        <f t="shared" si="162"/>
        <v>0</v>
      </c>
      <c r="AR37" s="460"/>
      <c r="AS37" s="407">
        <f t="shared" si="163"/>
        <v>0</v>
      </c>
      <c r="AT37" s="328"/>
      <c r="AU37" s="328"/>
      <c r="AV37" s="328">
        <f t="shared" si="140"/>
        <v>0</v>
      </c>
      <c r="AW37" s="413">
        <f t="shared" si="164"/>
        <v>0</v>
      </c>
      <c r="AX37" s="445">
        <f t="shared" si="165"/>
        <v>0</v>
      </c>
      <c r="AY37" s="413">
        <f t="shared" si="166"/>
        <v>0</v>
      </c>
      <c r="AZ37" s="292"/>
      <c r="BA37" s="292"/>
      <c r="BB37" s="326"/>
      <c r="BC37" s="407">
        <f t="shared" si="167"/>
        <v>0</v>
      </c>
      <c r="BD37" s="460"/>
      <c r="BE37" s="407">
        <f t="shared" si="168"/>
        <v>0</v>
      </c>
      <c r="BF37" s="292"/>
      <c r="BG37" s="292"/>
      <c r="BH37" s="326"/>
      <c r="BI37" s="407">
        <f t="shared" si="169"/>
        <v>0</v>
      </c>
      <c r="BJ37" s="460"/>
      <c r="BK37" s="407">
        <f t="shared" si="170"/>
        <v>0</v>
      </c>
      <c r="BL37" s="292"/>
      <c r="BM37" s="292"/>
      <c r="BN37" s="326"/>
      <c r="BO37" s="407">
        <f t="shared" si="171"/>
        <v>0</v>
      </c>
      <c r="BP37" s="460"/>
      <c r="BQ37" s="407">
        <f t="shared" si="172"/>
        <v>0</v>
      </c>
      <c r="BR37" s="328"/>
      <c r="BS37" s="328"/>
      <c r="BT37" s="328">
        <f t="shared" si="143"/>
        <v>0</v>
      </c>
      <c r="BU37" s="413">
        <f t="shared" si="173"/>
        <v>0</v>
      </c>
      <c r="BV37" s="445">
        <f t="shared" si="144"/>
        <v>0</v>
      </c>
      <c r="BW37" s="413">
        <f t="shared" si="174"/>
        <v>0</v>
      </c>
      <c r="BX37" s="292"/>
      <c r="BY37" s="292"/>
      <c r="BZ37" s="326"/>
      <c r="CA37" s="407">
        <f t="shared" si="175"/>
        <v>0</v>
      </c>
      <c r="CB37" s="460"/>
      <c r="CC37" s="407">
        <f t="shared" si="176"/>
        <v>0</v>
      </c>
      <c r="CD37" s="292"/>
      <c r="CE37" s="292"/>
      <c r="CF37" s="326"/>
      <c r="CG37" s="407">
        <f t="shared" si="177"/>
        <v>0</v>
      </c>
      <c r="CH37" s="460"/>
      <c r="CI37" s="407">
        <f t="shared" si="178"/>
        <v>0</v>
      </c>
      <c r="CJ37" s="292"/>
      <c r="CK37" s="292"/>
      <c r="CL37" s="326"/>
      <c r="CM37" s="407">
        <f t="shared" si="179"/>
        <v>0</v>
      </c>
      <c r="CN37" s="460"/>
      <c r="CO37" s="407">
        <f t="shared" si="180"/>
        <v>0</v>
      </c>
      <c r="CP37" s="328"/>
      <c r="CQ37" s="328"/>
      <c r="CR37" s="328">
        <f t="shared" si="148"/>
        <v>0</v>
      </c>
      <c r="CS37" s="413">
        <f t="shared" si="181"/>
        <v>0</v>
      </c>
      <c r="CT37" s="445">
        <f t="shared" si="149"/>
        <v>0</v>
      </c>
      <c r="CU37" s="413">
        <f t="shared" si="182"/>
        <v>0</v>
      </c>
      <c r="CV37" s="297"/>
      <c r="CW37" s="297"/>
      <c r="CX37" s="297">
        <f t="shared" si="183"/>
        <v>0</v>
      </c>
      <c r="CY37" s="424">
        <f t="shared" si="184"/>
        <v>0</v>
      </c>
      <c r="CZ37" s="445">
        <f t="shared" si="185"/>
        <v>0</v>
      </c>
      <c r="DA37" s="425">
        <f t="shared" si="186"/>
        <v>0</v>
      </c>
    </row>
    <row r="38" spans="1:105">
      <c r="A38" s="67"/>
      <c r="B38" s="68"/>
      <c r="C38" s="300"/>
      <c r="D38" s="292"/>
      <c r="E38" s="292"/>
      <c r="F38" s="326"/>
      <c r="G38" s="407">
        <f t="shared" si="150"/>
        <v>0</v>
      </c>
      <c r="H38" s="460"/>
      <c r="I38" s="407">
        <f t="shared" si="151"/>
        <v>0</v>
      </c>
      <c r="J38" s="292"/>
      <c r="K38" s="292"/>
      <c r="L38" s="326"/>
      <c r="M38" s="407">
        <f t="shared" si="152"/>
        <v>0</v>
      </c>
      <c r="N38" s="460"/>
      <c r="O38" s="407">
        <f t="shared" si="153"/>
        <v>0</v>
      </c>
      <c r="P38" s="292"/>
      <c r="Q38" s="292"/>
      <c r="R38" s="326"/>
      <c r="S38" s="407">
        <f t="shared" si="154"/>
        <v>0</v>
      </c>
      <c r="T38" s="455"/>
      <c r="U38" s="407">
        <f t="shared" si="155"/>
        <v>0</v>
      </c>
      <c r="V38" s="328"/>
      <c r="W38" s="328"/>
      <c r="X38" s="328">
        <f t="shared" si="138"/>
        <v>0</v>
      </c>
      <c r="Y38" s="413">
        <f t="shared" si="156"/>
        <v>0</v>
      </c>
      <c r="Z38" s="445">
        <f t="shared" si="139"/>
        <v>0</v>
      </c>
      <c r="AA38" s="413">
        <f t="shared" si="157"/>
        <v>0</v>
      </c>
      <c r="AB38" s="292"/>
      <c r="AC38" s="292"/>
      <c r="AD38" s="326"/>
      <c r="AE38" s="407">
        <f t="shared" si="158"/>
        <v>0</v>
      </c>
      <c r="AF38" s="460"/>
      <c r="AG38" s="407">
        <f t="shared" si="159"/>
        <v>0</v>
      </c>
      <c r="AH38" s="292"/>
      <c r="AI38" s="292"/>
      <c r="AJ38" s="326"/>
      <c r="AK38" s="407">
        <f t="shared" si="160"/>
        <v>0</v>
      </c>
      <c r="AL38" s="460"/>
      <c r="AM38" s="407">
        <f t="shared" si="161"/>
        <v>0</v>
      </c>
      <c r="AN38" s="292"/>
      <c r="AO38" s="292"/>
      <c r="AP38" s="326"/>
      <c r="AQ38" s="407">
        <f t="shared" si="162"/>
        <v>0</v>
      </c>
      <c r="AR38" s="460"/>
      <c r="AS38" s="407">
        <f t="shared" si="163"/>
        <v>0</v>
      </c>
      <c r="AT38" s="328"/>
      <c r="AU38" s="328"/>
      <c r="AV38" s="328">
        <f t="shared" si="140"/>
        <v>0</v>
      </c>
      <c r="AW38" s="413">
        <f t="shared" si="164"/>
        <v>0</v>
      </c>
      <c r="AX38" s="445">
        <f t="shared" si="165"/>
        <v>0</v>
      </c>
      <c r="AY38" s="413">
        <f t="shared" si="166"/>
        <v>0</v>
      </c>
      <c r="AZ38" s="292"/>
      <c r="BA38" s="292"/>
      <c r="BB38" s="326"/>
      <c r="BC38" s="407">
        <f t="shared" si="167"/>
        <v>0</v>
      </c>
      <c r="BD38" s="460"/>
      <c r="BE38" s="407">
        <f t="shared" si="168"/>
        <v>0</v>
      </c>
      <c r="BF38" s="292"/>
      <c r="BG38" s="292"/>
      <c r="BH38" s="326"/>
      <c r="BI38" s="407">
        <f t="shared" si="169"/>
        <v>0</v>
      </c>
      <c r="BJ38" s="460"/>
      <c r="BK38" s="407">
        <f t="shared" si="170"/>
        <v>0</v>
      </c>
      <c r="BL38" s="292"/>
      <c r="BM38" s="292"/>
      <c r="BN38" s="326"/>
      <c r="BO38" s="407">
        <f t="shared" si="171"/>
        <v>0</v>
      </c>
      <c r="BP38" s="460"/>
      <c r="BQ38" s="407">
        <f t="shared" si="172"/>
        <v>0</v>
      </c>
      <c r="BR38" s="328"/>
      <c r="BS38" s="328"/>
      <c r="BT38" s="328">
        <f t="shared" si="143"/>
        <v>0</v>
      </c>
      <c r="BU38" s="413">
        <f t="shared" si="173"/>
        <v>0</v>
      </c>
      <c r="BV38" s="445">
        <f t="shared" si="144"/>
        <v>0</v>
      </c>
      <c r="BW38" s="413">
        <f t="shared" si="174"/>
        <v>0</v>
      </c>
      <c r="BX38" s="292"/>
      <c r="BY38" s="292"/>
      <c r="BZ38" s="326"/>
      <c r="CA38" s="407">
        <f t="shared" si="175"/>
        <v>0</v>
      </c>
      <c r="CB38" s="460"/>
      <c r="CC38" s="407">
        <f t="shared" si="176"/>
        <v>0</v>
      </c>
      <c r="CD38" s="292"/>
      <c r="CE38" s="292"/>
      <c r="CF38" s="326"/>
      <c r="CG38" s="407">
        <f t="shared" si="177"/>
        <v>0</v>
      </c>
      <c r="CH38" s="460"/>
      <c r="CI38" s="407">
        <f t="shared" si="178"/>
        <v>0</v>
      </c>
      <c r="CJ38" s="292"/>
      <c r="CK38" s="292"/>
      <c r="CL38" s="326"/>
      <c r="CM38" s="407">
        <f t="shared" si="179"/>
        <v>0</v>
      </c>
      <c r="CN38" s="460"/>
      <c r="CO38" s="407">
        <f t="shared" si="180"/>
        <v>0</v>
      </c>
      <c r="CP38" s="328"/>
      <c r="CQ38" s="328"/>
      <c r="CR38" s="328">
        <f t="shared" si="148"/>
        <v>0</v>
      </c>
      <c r="CS38" s="413">
        <f t="shared" si="181"/>
        <v>0</v>
      </c>
      <c r="CT38" s="445">
        <f t="shared" si="149"/>
        <v>0</v>
      </c>
      <c r="CU38" s="413">
        <f t="shared" si="182"/>
        <v>0</v>
      </c>
      <c r="CV38" s="297"/>
      <c r="CW38" s="297"/>
      <c r="CX38" s="297">
        <f t="shared" si="183"/>
        <v>0</v>
      </c>
      <c r="CY38" s="424">
        <f t="shared" si="184"/>
        <v>0</v>
      </c>
      <c r="CZ38" s="445">
        <f t="shared" si="185"/>
        <v>0</v>
      </c>
      <c r="DA38" s="425">
        <f t="shared" si="186"/>
        <v>0</v>
      </c>
    </row>
    <row r="39" spans="1:105">
      <c r="A39" s="66"/>
      <c r="B39" s="66" t="s">
        <v>135</v>
      </c>
      <c r="C39" s="66"/>
      <c r="D39" s="336">
        <v>68506</v>
      </c>
      <c r="E39" s="336">
        <v>17659</v>
      </c>
      <c r="F39" s="336">
        <f>SUM(F33:F38)</f>
        <v>0</v>
      </c>
      <c r="G39" s="406">
        <f t="shared" si="150"/>
        <v>0</v>
      </c>
      <c r="H39" s="446">
        <f ca="1">SUM(H33:H38)</f>
        <v>95915</v>
      </c>
      <c r="I39" s="406">
        <f t="shared" ca="1" si="151"/>
        <v>0</v>
      </c>
      <c r="J39" s="320">
        <v>84390</v>
      </c>
      <c r="K39" s="320">
        <v>94015</v>
      </c>
      <c r="L39" s="320">
        <f>SUM(L33:L38)</f>
        <v>0</v>
      </c>
      <c r="M39" s="406">
        <f t="shared" si="152"/>
        <v>0</v>
      </c>
      <c r="N39" s="446">
        <f ca="1">SUM(N33:N38)</f>
        <v>191196</v>
      </c>
      <c r="O39" s="406">
        <f t="shared" ca="1" si="153"/>
        <v>0</v>
      </c>
      <c r="P39" s="320">
        <v>34300</v>
      </c>
      <c r="Q39" s="320">
        <v>69089</v>
      </c>
      <c r="R39" s="320">
        <f>SUM(R33:R38)</f>
        <v>0</v>
      </c>
      <c r="S39" s="406">
        <f t="shared" si="154"/>
        <v>0</v>
      </c>
      <c r="T39" s="435">
        <f ca="1">SUM(T33:T38)</f>
        <v>112754</v>
      </c>
      <c r="U39" s="406">
        <f t="shared" ca="1" si="155"/>
        <v>0</v>
      </c>
      <c r="V39" s="320">
        <v>94307</v>
      </c>
      <c r="W39" s="320">
        <v>33834</v>
      </c>
      <c r="X39" s="320">
        <f>SUM(X33:X38)</f>
        <v>0</v>
      </c>
      <c r="Y39" s="406">
        <f t="shared" si="156"/>
        <v>0</v>
      </c>
      <c r="Z39" s="446">
        <f ca="1">SUM(Z33:Z38)</f>
        <v>399865</v>
      </c>
      <c r="AA39" s="406">
        <f t="shared" ca="1" si="157"/>
        <v>0</v>
      </c>
      <c r="AB39" s="320">
        <v>61816</v>
      </c>
      <c r="AC39" s="320">
        <v>86354</v>
      </c>
      <c r="AD39" s="320">
        <f>SUM(AD33:AD38)</f>
        <v>0</v>
      </c>
      <c r="AE39" s="406">
        <f t="shared" si="158"/>
        <v>0</v>
      </c>
      <c r="AF39" s="446">
        <f ca="1">SUM(AF33:AF38)</f>
        <v>173562</v>
      </c>
      <c r="AG39" s="406">
        <f t="shared" ca="1" si="159"/>
        <v>0</v>
      </c>
      <c r="AH39" s="320">
        <v>88433</v>
      </c>
      <c r="AI39" s="320">
        <v>41930</v>
      </c>
      <c r="AJ39" s="320">
        <f>SUM(AJ33:AJ38)</f>
        <v>0</v>
      </c>
      <c r="AK39" s="406">
        <f t="shared" si="160"/>
        <v>0</v>
      </c>
      <c r="AL39" s="446">
        <f ca="1">SUM(AL33:AL38)</f>
        <v>138706</v>
      </c>
      <c r="AM39" s="406">
        <f t="shared" ca="1" si="161"/>
        <v>0</v>
      </c>
      <c r="AN39" s="320">
        <v>56962</v>
      </c>
      <c r="AO39" s="320">
        <v>72336</v>
      </c>
      <c r="AP39" s="320">
        <f>SUM(AP33:AP38)</f>
        <v>0</v>
      </c>
      <c r="AQ39" s="406">
        <f t="shared" si="162"/>
        <v>0</v>
      </c>
      <c r="AR39" s="446">
        <f ca="1">SUM(AR33:AR38)</f>
        <v>138891</v>
      </c>
      <c r="AS39" s="406">
        <f t="shared" ca="1" si="163"/>
        <v>0</v>
      </c>
      <c r="AT39" s="320">
        <v>0</v>
      </c>
      <c r="AU39" s="320">
        <v>0</v>
      </c>
      <c r="AV39" s="320">
        <f>SUM(AV33:AV38)</f>
        <v>0</v>
      </c>
      <c r="AW39" s="406">
        <f t="shared" si="164"/>
        <v>0</v>
      </c>
      <c r="AX39" s="446">
        <f ca="1">SUM(AX33:AX38)</f>
        <v>451159</v>
      </c>
      <c r="AY39" s="406">
        <f t="shared" ca="1" si="166"/>
        <v>0</v>
      </c>
      <c r="AZ39" s="320">
        <v>81450</v>
      </c>
      <c r="BA39" s="320">
        <v>25030</v>
      </c>
      <c r="BB39" s="320">
        <f>SUM(BB33:BB38)</f>
        <v>0</v>
      </c>
      <c r="BC39" s="406">
        <f t="shared" si="167"/>
        <v>0</v>
      </c>
      <c r="BD39" s="446">
        <f ca="1">SUM(BD33:BD38)</f>
        <v>124002</v>
      </c>
      <c r="BE39" s="406">
        <f t="shared" ca="1" si="168"/>
        <v>0</v>
      </c>
      <c r="BF39" s="320">
        <v>60910</v>
      </c>
      <c r="BG39" s="320">
        <v>48228</v>
      </c>
      <c r="BH39" s="320">
        <f>SUM(BH33:BH38)</f>
        <v>0</v>
      </c>
      <c r="BI39" s="406">
        <f t="shared" si="169"/>
        <v>0</v>
      </c>
      <c r="BJ39" s="446">
        <f ca="1">SUM(BJ33:BJ38)</f>
        <v>116192</v>
      </c>
      <c r="BK39" s="406">
        <f t="shared" ca="1" si="170"/>
        <v>0</v>
      </c>
      <c r="BL39" s="320">
        <v>55797</v>
      </c>
      <c r="BM39" s="320">
        <v>53749</v>
      </c>
      <c r="BN39" s="320">
        <f>SUM(BN33:BN38)</f>
        <v>0</v>
      </c>
      <c r="BO39" s="406">
        <f t="shared" si="171"/>
        <v>0</v>
      </c>
      <c r="BP39" s="446">
        <f ca="1">SUM(BP33:BP38)</f>
        <v>134912</v>
      </c>
      <c r="BQ39" s="406">
        <f t="shared" ca="1" si="172"/>
        <v>0</v>
      </c>
      <c r="BR39" s="320">
        <v>0</v>
      </c>
      <c r="BS39" s="320">
        <v>0</v>
      </c>
      <c r="BT39" s="320">
        <f>SUM(BT33:BT38)</f>
        <v>0</v>
      </c>
      <c r="BU39" s="406">
        <f t="shared" si="173"/>
        <v>0</v>
      </c>
      <c r="BV39" s="446">
        <f ca="1">SUM(BV33:BV38)</f>
        <v>375106</v>
      </c>
      <c r="BW39" s="406">
        <f t="shared" ca="1" si="174"/>
        <v>0</v>
      </c>
      <c r="BX39" s="320">
        <v>38793</v>
      </c>
      <c r="BY39" s="320">
        <v>40582</v>
      </c>
      <c r="BZ39" s="320">
        <f>SUM(BZ33:BZ38)</f>
        <v>0</v>
      </c>
      <c r="CA39" s="406">
        <f t="shared" si="175"/>
        <v>0</v>
      </c>
      <c r="CB39" s="446">
        <f ca="1">SUM(CB33:CB38)</f>
        <v>112051</v>
      </c>
      <c r="CC39" s="406">
        <f t="shared" ca="1" si="176"/>
        <v>0</v>
      </c>
      <c r="CD39" s="320">
        <v>23036</v>
      </c>
      <c r="CE39" s="320">
        <v>44892</v>
      </c>
      <c r="CF39" s="320">
        <f>SUM(CF33:CF38)</f>
        <v>0</v>
      </c>
      <c r="CG39" s="406">
        <f t="shared" si="177"/>
        <v>0</v>
      </c>
      <c r="CH39" s="446">
        <f ca="1">SUM(CH33:CH38)</f>
        <v>76943</v>
      </c>
      <c r="CI39" s="406">
        <f t="shared" ca="1" si="178"/>
        <v>0</v>
      </c>
      <c r="CJ39" s="320">
        <v>80404</v>
      </c>
      <c r="CK39" s="320">
        <v>32254</v>
      </c>
      <c r="CL39" s="320">
        <f>SUM(CL33:CL38)</f>
        <v>0</v>
      </c>
      <c r="CM39" s="406">
        <f t="shared" si="179"/>
        <v>0</v>
      </c>
      <c r="CN39" s="446">
        <f ca="1">SUM(CN33:CN38)</f>
        <v>133280</v>
      </c>
      <c r="CO39" s="406">
        <f t="shared" ca="1" si="180"/>
        <v>0</v>
      </c>
      <c r="CP39" s="320">
        <v>0</v>
      </c>
      <c r="CQ39" s="320">
        <v>0</v>
      </c>
      <c r="CR39" s="320">
        <f>SUM(CR33:CR38)</f>
        <v>0</v>
      </c>
      <c r="CS39" s="406">
        <f t="shared" si="181"/>
        <v>0</v>
      </c>
      <c r="CT39" s="446">
        <f ca="1">SUM(CT33:CT38)</f>
        <v>322274</v>
      </c>
      <c r="CU39" s="406">
        <f t="shared" ca="1" si="182"/>
        <v>0</v>
      </c>
      <c r="CV39" s="320">
        <v>52042</v>
      </c>
      <c r="CW39" s="320">
        <v>83615</v>
      </c>
      <c r="CX39" s="320">
        <f>AV39+BT39+CR39</f>
        <v>0</v>
      </c>
      <c r="CY39" s="406">
        <f t="shared" si="184"/>
        <v>0</v>
      </c>
      <c r="CZ39" s="446">
        <f t="shared" ca="1" si="185"/>
        <v>1148539</v>
      </c>
      <c r="DA39" s="406">
        <f t="shared" ca="1" si="186"/>
        <v>0</v>
      </c>
    </row>
    <row r="40" spans="1:105" ht="14.65" thickBot="1">
      <c r="A40" s="7"/>
      <c r="B40" s="7"/>
      <c r="C40" s="7"/>
      <c r="D40" s="337"/>
      <c r="E40" s="337"/>
      <c r="F40" s="337"/>
      <c r="G40" s="408"/>
      <c r="H40" s="447"/>
      <c r="I40" s="408"/>
      <c r="J40" s="337"/>
      <c r="K40" s="337"/>
      <c r="L40" s="337"/>
      <c r="M40" s="408"/>
      <c r="N40" s="447"/>
      <c r="O40" s="408"/>
      <c r="P40" s="337"/>
      <c r="Q40" s="337"/>
      <c r="R40" s="337"/>
      <c r="S40" s="408"/>
      <c r="T40" s="436"/>
      <c r="U40" s="408"/>
      <c r="V40" s="337"/>
      <c r="W40" s="337"/>
      <c r="X40" s="337"/>
      <c r="Y40" s="408"/>
      <c r="Z40" s="447"/>
      <c r="AA40" s="408"/>
      <c r="AB40" s="337"/>
      <c r="AC40" s="337"/>
      <c r="AD40" s="337"/>
      <c r="AE40" s="408"/>
      <c r="AF40" s="447"/>
      <c r="AG40" s="408"/>
      <c r="AH40" s="337"/>
      <c r="AI40" s="337"/>
      <c r="AJ40" s="337"/>
      <c r="AK40" s="408"/>
      <c r="AL40" s="447"/>
      <c r="AM40" s="408"/>
      <c r="AN40" s="337"/>
      <c r="AO40" s="337"/>
      <c r="AP40" s="337"/>
      <c r="AQ40" s="408"/>
      <c r="AR40" s="447"/>
      <c r="AS40" s="408"/>
      <c r="AT40" s="337"/>
      <c r="AU40" s="337"/>
      <c r="AV40" s="337"/>
      <c r="AW40" s="408"/>
      <c r="AX40" s="447"/>
      <c r="AY40" s="408"/>
      <c r="AZ40" s="337"/>
      <c r="BA40" s="337"/>
      <c r="BB40" s="337"/>
      <c r="BC40" s="408"/>
      <c r="BD40" s="447"/>
      <c r="BE40" s="408"/>
      <c r="BF40" s="337"/>
      <c r="BG40" s="337"/>
      <c r="BH40" s="337"/>
      <c r="BI40" s="408"/>
      <c r="BJ40" s="447"/>
      <c r="BK40" s="408"/>
      <c r="BL40" s="337"/>
      <c r="BM40" s="337"/>
      <c r="BN40" s="337"/>
      <c r="BO40" s="408"/>
      <c r="BP40" s="447"/>
      <c r="BQ40" s="408"/>
      <c r="BR40" s="337"/>
      <c r="BS40" s="337"/>
      <c r="BT40" s="337"/>
      <c r="BU40" s="408"/>
      <c r="BV40" s="447"/>
      <c r="BW40" s="408"/>
      <c r="BX40" s="337"/>
      <c r="BY40" s="337"/>
      <c r="BZ40" s="337"/>
      <c r="CA40" s="416"/>
      <c r="CB40" s="447"/>
      <c r="CC40" s="416"/>
      <c r="CD40" s="337"/>
      <c r="CE40" s="337"/>
      <c r="CF40" s="337"/>
      <c r="CG40" s="408"/>
      <c r="CH40" s="447"/>
      <c r="CI40" s="408"/>
      <c r="CJ40" s="337"/>
      <c r="CK40" s="337"/>
      <c r="CL40" s="337"/>
      <c r="CM40" s="408"/>
      <c r="CN40" s="447"/>
      <c r="CO40" s="408"/>
      <c r="CP40" s="337"/>
      <c r="CQ40" s="337"/>
      <c r="CR40" s="337"/>
      <c r="CS40" s="408"/>
      <c r="CT40" s="447"/>
      <c r="CU40" s="408"/>
      <c r="CV40" s="337"/>
      <c r="CW40" s="337"/>
      <c r="CX40" s="337"/>
      <c r="CY40" s="408"/>
      <c r="CZ40" s="447"/>
      <c r="DA40" s="408"/>
    </row>
    <row r="41" spans="1:105" ht="26.25">
      <c r="A41" s="66" t="s">
        <v>101</v>
      </c>
      <c r="B41" s="66" t="s">
        <v>149</v>
      </c>
      <c r="C41" s="66" t="s">
        <v>138</v>
      </c>
      <c r="D41" s="288" t="s">
        <v>168</v>
      </c>
      <c r="E41" s="288" t="s">
        <v>169</v>
      </c>
      <c r="F41" s="289" t="s">
        <v>136</v>
      </c>
      <c r="G41" s="166" t="s">
        <v>57</v>
      </c>
      <c r="H41" s="437" t="s">
        <v>34</v>
      </c>
      <c r="I41" s="133" t="s">
        <v>58</v>
      </c>
      <c r="J41" s="288" t="s">
        <v>168</v>
      </c>
      <c r="K41" s="288" t="s">
        <v>169</v>
      </c>
      <c r="L41" s="289" t="s">
        <v>136</v>
      </c>
      <c r="M41" s="166" t="s">
        <v>57</v>
      </c>
      <c r="N41" s="437" t="s">
        <v>34</v>
      </c>
      <c r="O41" s="133" t="s">
        <v>58</v>
      </c>
      <c r="P41" s="288" t="s">
        <v>168</v>
      </c>
      <c r="Q41" s="288" t="s">
        <v>169</v>
      </c>
      <c r="R41" s="289" t="s">
        <v>136</v>
      </c>
      <c r="S41" s="166" t="s">
        <v>57</v>
      </c>
      <c r="T41" s="431" t="s">
        <v>34</v>
      </c>
      <c r="U41" s="133" t="s">
        <v>58</v>
      </c>
      <c r="V41" s="288" t="s">
        <v>168</v>
      </c>
      <c r="W41" s="288" t="s">
        <v>169</v>
      </c>
      <c r="X41" s="289" t="s">
        <v>136</v>
      </c>
      <c r="Y41" s="166" t="s">
        <v>57</v>
      </c>
      <c r="Z41" s="437" t="s">
        <v>34</v>
      </c>
      <c r="AA41" s="133" t="s">
        <v>58</v>
      </c>
      <c r="AB41" s="288" t="s">
        <v>168</v>
      </c>
      <c r="AC41" s="288" t="s">
        <v>169</v>
      </c>
      <c r="AD41" s="289" t="s">
        <v>136</v>
      </c>
      <c r="AE41" s="166" t="s">
        <v>57</v>
      </c>
      <c r="AF41" s="437" t="s">
        <v>34</v>
      </c>
      <c r="AG41" s="133" t="s">
        <v>58</v>
      </c>
      <c r="AH41" s="288" t="s">
        <v>168</v>
      </c>
      <c r="AI41" s="288" t="s">
        <v>169</v>
      </c>
      <c r="AJ41" s="289" t="s">
        <v>136</v>
      </c>
      <c r="AK41" s="166" t="s">
        <v>57</v>
      </c>
      <c r="AL41" s="437" t="s">
        <v>34</v>
      </c>
      <c r="AM41" s="133" t="s">
        <v>58</v>
      </c>
      <c r="AN41" s="288" t="s">
        <v>168</v>
      </c>
      <c r="AO41" s="288" t="s">
        <v>169</v>
      </c>
      <c r="AP41" s="289" t="s">
        <v>136</v>
      </c>
      <c r="AQ41" s="166" t="s">
        <v>57</v>
      </c>
      <c r="AR41" s="437" t="s">
        <v>34</v>
      </c>
      <c r="AS41" s="133" t="s">
        <v>58</v>
      </c>
      <c r="AT41" s="288" t="s">
        <v>168</v>
      </c>
      <c r="AU41" s="288" t="s">
        <v>169</v>
      </c>
      <c r="AV41" s="289" t="s">
        <v>136</v>
      </c>
      <c r="AW41" s="166" t="s">
        <v>57</v>
      </c>
      <c r="AX41" s="437" t="s">
        <v>34</v>
      </c>
      <c r="AY41" s="133" t="s">
        <v>58</v>
      </c>
      <c r="AZ41" s="288" t="s">
        <v>168</v>
      </c>
      <c r="BA41" s="288" t="s">
        <v>169</v>
      </c>
      <c r="BB41" s="289" t="s">
        <v>136</v>
      </c>
      <c r="BC41" s="166" t="s">
        <v>57</v>
      </c>
      <c r="BD41" s="437" t="s">
        <v>34</v>
      </c>
      <c r="BE41" s="133" t="s">
        <v>58</v>
      </c>
      <c r="BF41" s="288" t="s">
        <v>168</v>
      </c>
      <c r="BG41" s="288" t="s">
        <v>169</v>
      </c>
      <c r="BH41" s="289" t="s">
        <v>136</v>
      </c>
      <c r="BI41" s="166" t="s">
        <v>57</v>
      </c>
      <c r="BJ41" s="437" t="s">
        <v>34</v>
      </c>
      <c r="BK41" s="133" t="s">
        <v>58</v>
      </c>
      <c r="BL41" s="288" t="s">
        <v>168</v>
      </c>
      <c r="BM41" s="288" t="s">
        <v>169</v>
      </c>
      <c r="BN41" s="289" t="s">
        <v>136</v>
      </c>
      <c r="BO41" s="166" t="s">
        <v>57</v>
      </c>
      <c r="BP41" s="437" t="s">
        <v>34</v>
      </c>
      <c r="BQ41" s="133" t="s">
        <v>58</v>
      </c>
      <c r="BR41" s="288" t="s">
        <v>168</v>
      </c>
      <c r="BS41" s="288" t="s">
        <v>169</v>
      </c>
      <c r="BT41" s="289" t="s">
        <v>136</v>
      </c>
      <c r="BU41" s="166" t="s">
        <v>57</v>
      </c>
      <c r="BV41" s="437" t="s">
        <v>34</v>
      </c>
      <c r="BW41" s="133" t="s">
        <v>58</v>
      </c>
      <c r="BX41" s="288" t="s">
        <v>168</v>
      </c>
      <c r="BY41" s="288" t="s">
        <v>169</v>
      </c>
      <c r="BZ41" s="289" t="s">
        <v>136</v>
      </c>
      <c r="CA41" s="166" t="s">
        <v>57</v>
      </c>
      <c r="CB41" s="437" t="s">
        <v>34</v>
      </c>
      <c r="CC41" s="133" t="s">
        <v>58</v>
      </c>
      <c r="CD41" s="288" t="s">
        <v>168</v>
      </c>
      <c r="CE41" s="288" t="s">
        <v>169</v>
      </c>
      <c r="CF41" s="289" t="s">
        <v>136</v>
      </c>
      <c r="CG41" s="166" t="s">
        <v>57</v>
      </c>
      <c r="CH41" s="437" t="s">
        <v>34</v>
      </c>
      <c r="CI41" s="133" t="s">
        <v>58</v>
      </c>
      <c r="CJ41" s="288" t="s">
        <v>168</v>
      </c>
      <c r="CK41" s="288" t="s">
        <v>169</v>
      </c>
      <c r="CL41" s="289" t="s">
        <v>136</v>
      </c>
      <c r="CM41" s="166" t="s">
        <v>57</v>
      </c>
      <c r="CN41" s="437" t="s">
        <v>34</v>
      </c>
      <c r="CO41" s="133" t="s">
        <v>58</v>
      </c>
      <c r="CP41" s="288" t="s">
        <v>168</v>
      </c>
      <c r="CQ41" s="288" t="s">
        <v>169</v>
      </c>
      <c r="CR41" s="289" t="s">
        <v>136</v>
      </c>
      <c r="CS41" s="166" t="s">
        <v>57</v>
      </c>
      <c r="CT41" s="437" t="s">
        <v>34</v>
      </c>
      <c r="CU41" s="133" t="s">
        <v>58</v>
      </c>
      <c r="CV41" s="288" t="s">
        <v>168</v>
      </c>
      <c r="CW41" s="288" t="s">
        <v>169</v>
      </c>
      <c r="CX41" s="289" t="s">
        <v>136</v>
      </c>
      <c r="CY41" s="166" t="s">
        <v>57</v>
      </c>
      <c r="CZ41" s="437" t="s">
        <v>34</v>
      </c>
      <c r="DA41" s="133" t="s">
        <v>58</v>
      </c>
    </row>
    <row r="42" spans="1:105">
      <c r="A42" s="67" t="s">
        <v>125</v>
      </c>
      <c r="B42" s="68" t="s">
        <v>126</v>
      </c>
      <c r="C42" s="300">
        <v>100</v>
      </c>
      <c r="D42" s="353">
        <v>74577</v>
      </c>
      <c r="E42" s="353">
        <v>66848</v>
      </c>
      <c r="F42" s="326"/>
      <c r="G42" s="407">
        <f t="shared" ref="G42:G51" si="187">IFERROR(D42/F42,0)</f>
        <v>0</v>
      </c>
      <c r="H42" s="230">
        <f ca="1">E42+D42+RANDBETWEEN(5000,50000)</f>
        <v>148238</v>
      </c>
      <c r="I42" s="407">
        <f t="shared" ref="I42:I51" ca="1" si="188">IFERROR(H42/F42,0)</f>
        <v>0</v>
      </c>
      <c r="J42" s="353">
        <v>75046</v>
      </c>
      <c r="K42" s="353">
        <v>53860</v>
      </c>
      <c r="L42" s="326"/>
      <c r="M42" s="407">
        <f t="shared" ref="M42:M51" si="189">IFERROR(J42/L42,0)</f>
        <v>0</v>
      </c>
      <c r="N42" s="230">
        <f ca="1">K42+J42+RANDBETWEEN(5000,50000)</f>
        <v>142027</v>
      </c>
      <c r="O42" s="407">
        <f t="shared" ref="O42:O51" ca="1" si="190">IFERROR(N42/L42,0)</f>
        <v>0</v>
      </c>
      <c r="P42" s="353">
        <v>97851</v>
      </c>
      <c r="Q42" s="353">
        <v>86765</v>
      </c>
      <c r="R42" s="326"/>
      <c r="S42" s="407">
        <f t="shared" ref="S42:S51" si="191">IFERROR(P42/R42,0)</f>
        <v>0</v>
      </c>
      <c r="T42" s="230">
        <f ca="1">Q42+P42+RANDBETWEEN(5000,50000)</f>
        <v>224148</v>
      </c>
      <c r="U42" s="407">
        <f t="shared" ref="U42:U51" ca="1" si="192">IFERROR(T42/R42,0)</f>
        <v>0</v>
      </c>
      <c r="V42" s="398">
        <v>49569</v>
      </c>
      <c r="W42" s="398">
        <v>20413</v>
      </c>
      <c r="X42" s="328">
        <f t="shared" ref="X42:X50" si="193">F42+L42+R42</f>
        <v>0</v>
      </c>
      <c r="Y42" s="413">
        <f t="shared" ref="Y42:Y51" si="194">IFERROR(V42/X42,0)</f>
        <v>0</v>
      </c>
      <c r="Z42" s="445">
        <f t="shared" ref="Z42:Z50" ca="1" si="195">H42+N42+T42</f>
        <v>514413</v>
      </c>
      <c r="AA42" s="413">
        <f t="shared" ref="AA42:AA51" ca="1" si="196">IFERROR(Z42/X42,0)</f>
        <v>0</v>
      </c>
      <c r="AB42" s="353">
        <v>24934</v>
      </c>
      <c r="AC42" s="353">
        <v>27562</v>
      </c>
      <c r="AD42" s="326"/>
      <c r="AE42" s="407">
        <f t="shared" ref="AE42:AE51" si="197">IFERROR(AB42/AD42,0)</f>
        <v>0</v>
      </c>
      <c r="AF42" s="230">
        <f ca="1">AC42+AB42+RANDBETWEEN(5000,50000)</f>
        <v>88694</v>
      </c>
      <c r="AG42" s="407">
        <f t="shared" ref="AG42:AG51" ca="1" si="198">IFERROR(AF42/AD42,0)</f>
        <v>0</v>
      </c>
      <c r="AH42" s="353">
        <v>91805</v>
      </c>
      <c r="AI42" s="353">
        <v>26942</v>
      </c>
      <c r="AJ42" s="326"/>
      <c r="AK42" s="407">
        <f t="shared" ref="AK42:AK51" si="199">IFERROR(AH42/AJ42,0)</f>
        <v>0</v>
      </c>
      <c r="AL42" s="230">
        <f ca="1">AI42+AH42+RANDBETWEEN(5000,50000)</f>
        <v>137872</v>
      </c>
      <c r="AM42" s="407">
        <f t="shared" ref="AM42:AM51" ca="1" si="200">IFERROR(AL42/AJ42,0)</f>
        <v>0</v>
      </c>
      <c r="AN42" s="353">
        <v>19987</v>
      </c>
      <c r="AO42" s="353">
        <v>46412</v>
      </c>
      <c r="AP42" s="326"/>
      <c r="AQ42" s="407">
        <f t="shared" ref="AQ42:AQ51" si="201">IFERROR(AN42/AP42,0)</f>
        <v>0</v>
      </c>
      <c r="AR42" s="230">
        <f ca="1">AO42+AN42+RANDBETWEEN(5000,50000)</f>
        <v>115831</v>
      </c>
      <c r="AS42" s="407">
        <f t="shared" ref="AS42:AS51" ca="1" si="202">IFERROR(AR42/AP42,0)</f>
        <v>0</v>
      </c>
      <c r="AT42" s="398">
        <v>98993</v>
      </c>
      <c r="AU42" s="398">
        <v>72167</v>
      </c>
      <c r="AV42" s="328">
        <f t="shared" ref="AV42:AV50" si="203">AD42+AJ42+AP42</f>
        <v>0</v>
      </c>
      <c r="AW42" s="413">
        <f t="shared" ref="AW42:AW51" si="204">IFERROR(AT42/AV42,0)</f>
        <v>0</v>
      </c>
      <c r="AX42" s="445">
        <f t="shared" ref="AX42:AX50" ca="1" si="205">AF42+AL42+AR42</f>
        <v>342397</v>
      </c>
      <c r="AY42" s="413">
        <f t="shared" ref="AY42:AY51" ca="1" si="206">IFERROR(AX42/AV42,0)</f>
        <v>0</v>
      </c>
      <c r="AZ42" s="353">
        <v>26308</v>
      </c>
      <c r="BA42" s="353">
        <v>27746</v>
      </c>
      <c r="BB42" s="326"/>
      <c r="BC42" s="407">
        <f t="shared" ref="BC42:BC51" si="207">IFERROR(AZ42/BB42,0)</f>
        <v>0</v>
      </c>
      <c r="BD42" s="230">
        <f ca="1">BA42+AZ42+RANDBETWEEN(5000,50000)</f>
        <v>73702</v>
      </c>
      <c r="BE42" s="407">
        <f t="shared" ref="BE42:BE51" ca="1" si="208">IFERROR(BD42/BB42,0)</f>
        <v>0</v>
      </c>
      <c r="BF42" s="353">
        <v>57062</v>
      </c>
      <c r="BG42" s="353">
        <v>59553</v>
      </c>
      <c r="BH42" s="326"/>
      <c r="BI42" s="407">
        <f t="shared" ref="BI42:BI51" si="209">IFERROR(BF42/BH42,0)</f>
        <v>0</v>
      </c>
      <c r="BJ42" s="230">
        <f ca="1">BG42+BF42+RANDBETWEEN(5000,50000)</f>
        <v>146472</v>
      </c>
      <c r="BK42" s="407">
        <f t="shared" ref="BK42:BK51" ca="1" si="210">IFERROR(BJ42/BH42,0)</f>
        <v>0</v>
      </c>
      <c r="BL42" s="353">
        <v>74647</v>
      </c>
      <c r="BM42" s="353">
        <v>18493</v>
      </c>
      <c r="BN42" s="326"/>
      <c r="BO42" s="407">
        <f t="shared" ref="BO42:BO51" si="211">IFERROR(BL42/BN42,0)</f>
        <v>0</v>
      </c>
      <c r="BP42" s="230">
        <f t="shared" ref="BP42:BP45" ca="1" si="212">BM42+BL42+RANDBETWEEN(5000,50000)</f>
        <v>117518</v>
      </c>
      <c r="BQ42" s="407">
        <f t="shared" ref="BQ42:BQ51" ca="1" si="213">IFERROR(BP42/BN42,0)</f>
        <v>0</v>
      </c>
      <c r="BR42" s="328"/>
      <c r="BS42" s="328"/>
      <c r="BT42" s="328">
        <f t="shared" ref="BT42:BT50" si="214">BB42+BH42+BN42</f>
        <v>0</v>
      </c>
      <c r="BU42" s="413">
        <f t="shared" ref="BU42:BU51" si="215">IFERROR(BR42/BT42,0)</f>
        <v>0</v>
      </c>
      <c r="BV42" s="445">
        <f t="shared" ref="BV42:BV50" ca="1" si="216">BD42+BJ42+BP42</f>
        <v>337692</v>
      </c>
      <c r="BW42" s="413">
        <f t="shared" ref="BW42:BW51" ca="1" si="217">IFERROR(BV42/BT42,0)</f>
        <v>0</v>
      </c>
      <c r="BX42" s="353">
        <v>93599</v>
      </c>
      <c r="BY42" s="353">
        <v>79840</v>
      </c>
      <c r="BZ42" s="326"/>
      <c r="CA42" s="407">
        <f t="shared" ref="CA42:CA51" si="218">IFERROR(BX42/BZ42,0)</f>
        <v>0</v>
      </c>
      <c r="CB42" s="230">
        <f t="shared" ref="CB42:CB45" ca="1" si="219">BY42+BX42+RANDBETWEEN(5000,50000)</f>
        <v>202765</v>
      </c>
      <c r="CC42" s="407">
        <f t="shared" ref="CC42:CC51" ca="1" si="220">IFERROR(CB42/BZ42,0)</f>
        <v>0</v>
      </c>
      <c r="CD42" s="353">
        <v>59335</v>
      </c>
      <c r="CE42" s="353">
        <v>83489</v>
      </c>
      <c r="CF42" s="326"/>
      <c r="CG42" s="407">
        <f t="shared" ref="CG42:CG51" si="221">IFERROR(CD42/CF42,0)</f>
        <v>0</v>
      </c>
      <c r="CH42" s="230">
        <f t="shared" ref="CH42:CH45" ca="1" si="222">CE42+CD42+RANDBETWEEN(5000,50000)</f>
        <v>160378</v>
      </c>
      <c r="CI42" s="407">
        <f t="shared" ref="CI42:CI51" ca="1" si="223">IFERROR(CH42/CF42,0)</f>
        <v>0</v>
      </c>
      <c r="CJ42" s="353">
        <v>20453</v>
      </c>
      <c r="CK42" s="353">
        <v>31851</v>
      </c>
      <c r="CL42" s="326"/>
      <c r="CM42" s="407">
        <f t="shared" ref="CM42:CM51" si="224">IFERROR(CJ42/CL42,0)</f>
        <v>0</v>
      </c>
      <c r="CN42" s="230">
        <f t="shared" ref="CN42:CN45" ca="1" si="225">CK42+CJ42+RANDBETWEEN(5000,50000)</f>
        <v>89258</v>
      </c>
      <c r="CO42" s="407">
        <f t="shared" ref="CO42:CO51" ca="1" si="226">IFERROR(CN42/CL42,0)</f>
        <v>0</v>
      </c>
      <c r="CP42" s="328"/>
      <c r="CQ42" s="328"/>
      <c r="CR42" s="328">
        <f t="shared" ref="CR42:CR50" si="227">BZ42+CF42+CL42</f>
        <v>0</v>
      </c>
      <c r="CS42" s="413">
        <f t="shared" ref="CS42:CS51" si="228">IFERROR(CP42/CR42,0)</f>
        <v>0</v>
      </c>
      <c r="CT42" s="445">
        <f t="shared" ref="CT42:CT50" ca="1" si="229">CB42+CH42+CN42</f>
        <v>452401</v>
      </c>
      <c r="CU42" s="413">
        <f t="shared" ref="CU42:CU51" ca="1" si="230">IFERROR(CT42/CR42,0)</f>
        <v>0</v>
      </c>
      <c r="CV42" s="355">
        <v>40893</v>
      </c>
      <c r="CW42" s="355">
        <v>43073</v>
      </c>
      <c r="CX42" s="297">
        <f t="shared" ref="CX42:CX50" si="231">AV42+BT42+CR42</f>
        <v>0</v>
      </c>
      <c r="CY42" s="424">
        <f t="shared" ref="CY42:CY51" si="232">IFERROR(CV42/CX42,0)</f>
        <v>0</v>
      </c>
      <c r="CZ42" s="445">
        <f t="shared" ref="CZ42:CZ51" ca="1" si="233">AX42+BV42+CT42</f>
        <v>1132490</v>
      </c>
      <c r="DA42" s="425">
        <f t="shared" ref="DA42:DA51" ca="1" si="234">IFERROR(CZ42/CX42,0)</f>
        <v>0</v>
      </c>
    </row>
    <row r="43" spans="1:105">
      <c r="A43" s="67" t="s">
        <v>125</v>
      </c>
      <c r="B43" s="68" t="s">
        <v>158</v>
      </c>
      <c r="C43" s="300">
        <v>100</v>
      </c>
      <c r="D43" s="353">
        <v>77509</v>
      </c>
      <c r="E43" s="353">
        <v>86523</v>
      </c>
      <c r="F43" s="326"/>
      <c r="G43" s="407">
        <f t="shared" si="187"/>
        <v>0</v>
      </c>
      <c r="H43" s="230">
        <f t="shared" ref="H43:H45" ca="1" si="235">E43+D43+RANDBETWEEN(5000,50000)</f>
        <v>212834</v>
      </c>
      <c r="I43" s="407">
        <f t="shared" ca="1" si="188"/>
        <v>0</v>
      </c>
      <c r="J43" s="353">
        <v>96844</v>
      </c>
      <c r="K43" s="353">
        <v>41285</v>
      </c>
      <c r="L43" s="326"/>
      <c r="M43" s="407">
        <f t="shared" si="189"/>
        <v>0</v>
      </c>
      <c r="N43" s="230">
        <f t="shared" ref="N43:N44" ca="1" si="236">K43+J43+RANDBETWEEN(5000,50000)</f>
        <v>179352</v>
      </c>
      <c r="O43" s="407">
        <f t="shared" ca="1" si="190"/>
        <v>0</v>
      </c>
      <c r="P43" s="353">
        <v>52495</v>
      </c>
      <c r="Q43" s="353">
        <v>89195</v>
      </c>
      <c r="R43" s="326"/>
      <c r="S43" s="407">
        <f t="shared" si="191"/>
        <v>0</v>
      </c>
      <c r="T43" s="230">
        <f t="shared" ref="T43:T44" ca="1" si="237">Q43+P43+RANDBETWEEN(5000,50000)</f>
        <v>152405</v>
      </c>
      <c r="U43" s="407">
        <f t="shared" ca="1" si="192"/>
        <v>0</v>
      </c>
      <c r="V43" s="398">
        <v>93796</v>
      </c>
      <c r="W43" s="398">
        <v>43473</v>
      </c>
      <c r="X43" s="328">
        <f t="shared" si="193"/>
        <v>0</v>
      </c>
      <c r="Y43" s="413">
        <f t="shared" si="194"/>
        <v>0</v>
      </c>
      <c r="Z43" s="445">
        <f t="shared" ca="1" si="195"/>
        <v>544591</v>
      </c>
      <c r="AA43" s="413">
        <f t="shared" ca="1" si="196"/>
        <v>0</v>
      </c>
      <c r="AB43" s="353">
        <v>30084</v>
      </c>
      <c r="AC43" s="353">
        <v>97401</v>
      </c>
      <c r="AD43" s="326"/>
      <c r="AE43" s="407">
        <f t="shared" si="197"/>
        <v>0</v>
      </c>
      <c r="AF43" s="230">
        <f t="shared" ref="AF43:AF45" ca="1" si="238">AC43+AB43+RANDBETWEEN(5000,50000)</f>
        <v>170405</v>
      </c>
      <c r="AG43" s="407">
        <f t="shared" ca="1" si="198"/>
        <v>0</v>
      </c>
      <c r="AH43" s="353">
        <v>28733</v>
      </c>
      <c r="AI43" s="353">
        <v>30591</v>
      </c>
      <c r="AJ43" s="326"/>
      <c r="AK43" s="407">
        <f t="shared" si="199"/>
        <v>0</v>
      </c>
      <c r="AL43" s="230">
        <f t="shared" ref="AL43:AL46" ca="1" si="239">AI43+AH43+RANDBETWEEN(5000,50000)</f>
        <v>81405</v>
      </c>
      <c r="AM43" s="407">
        <f t="shared" ca="1" si="200"/>
        <v>0</v>
      </c>
      <c r="AN43" s="353">
        <v>55469</v>
      </c>
      <c r="AO43" s="353">
        <v>71894</v>
      </c>
      <c r="AP43" s="326"/>
      <c r="AQ43" s="407">
        <f t="shared" si="201"/>
        <v>0</v>
      </c>
      <c r="AR43" s="230">
        <f t="shared" ref="AR43:AR45" ca="1" si="240">AO43+AN43+RANDBETWEEN(5000,50000)</f>
        <v>167559</v>
      </c>
      <c r="AS43" s="407">
        <f t="shared" ca="1" si="202"/>
        <v>0</v>
      </c>
      <c r="AT43" s="398">
        <v>91777</v>
      </c>
      <c r="AU43" s="398">
        <v>22488</v>
      </c>
      <c r="AV43" s="328">
        <f t="shared" si="203"/>
        <v>0</v>
      </c>
      <c r="AW43" s="413">
        <f t="shared" si="204"/>
        <v>0</v>
      </c>
      <c r="AX43" s="445">
        <f t="shared" ca="1" si="205"/>
        <v>419369</v>
      </c>
      <c r="AY43" s="413">
        <f t="shared" ca="1" si="206"/>
        <v>0</v>
      </c>
      <c r="AZ43" s="353">
        <v>85311</v>
      </c>
      <c r="BA43" s="353">
        <v>82427</v>
      </c>
      <c r="BB43" s="326"/>
      <c r="BC43" s="407">
        <f t="shared" si="207"/>
        <v>0</v>
      </c>
      <c r="BD43" s="230">
        <f t="shared" ref="BD43:BD45" ca="1" si="241">BA43+AZ43+RANDBETWEEN(5000,50000)</f>
        <v>214257</v>
      </c>
      <c r="BE43" s="407">
        <f t="shared" ca="1" si="208"/>
        <v>0</v>
      </c>
      <c r="BF43" s="353">
        <v>98954</v>
      </c>
      <c r="BG43" s="353">
        <v>75188</v>
      </c>
      <c r="BH43" s="326"/>
      <c r="BI43" s="407">
        <f t="shared" si="209"/>
        <v>0</v>
      </c>
      <c r="BJ43" s="230">
        <f t="shared" ref="BJ43:BJ45" ca="1" si="242">BG43+BF43+RANDBETWEEN(5000,50000)</f>
        <v>202112</v>
      </c>
      <c r="BK43" s="407">
        <f t="shared" ca="1" si="210"/>
        <v>0</v>
      </c>
      <c r="BL43" s="353">
        <v>16424</v>
      </c>
      <c r="BM43" s="353">
        <v>68171</v>
      </c>
      <c r="BN43" s="326"/>
      <c r="BO43" s="407">
        <f t="shared" si="211"/>
        <v>0</v>
      </c>
      <c r="BP43" s="230">
        <f t="shared" ca="1" si="212"/>
        <v>90269</v>
      </c>
      <c r="BQ43" s="407">
        <f t="shared" ca="1" si="213"/>
        <v>0</v>
      </c>
      <c r="BR43" s="328"/>
      <c r="BS43" s="328"/>
      <c r="BT43" s="328">
        <f t="shared" si="214"/>
        <v>0</v>
      </c>
      <c r="BU43" s="413">
        <f t="shared" si="215"/>
        <v>0</v>
      </c>
      <c r="BV43" s="445">
        <f t="shared" ca="1" si="216"/>
        <v>506638</v>
      </c>
      <c r="BW43" s="413">
        <f t="shared" ca="1" si="217"/>
        <v>0</v>
      </c>
      <c r="BX43" s="353">
        <v>52980</v>
      </c>
      <c r="BY43" s="353">
        <v>87585</v>
      </c>
      <c r="BZ43" s="326"/>
      <c r="CA43" s="407">
        <f t="shared" si="218"/>
        <v>0</v>
      </c>
      <c r="CB43" s="230">
        <f t="shared" ca="1" si="219"/>
        <v>150062</v>
      </c>
      <c r="CC43" s="407">
        <f t="shared" ca="1" si="220"/>
        <v>0</v>
      </c>
      <c r="CD43" s="353">
        <v>38498</v>
      </c>
      <c r="CE43" s="353">
        <v>32269</v>
      </c>
      <c r="CF43" s="326"/>
      <c r="CG43" s="407">
        <f t="shared" si="221"/>
        <v>0</v>
      </c>
      <c r="CH43" s="230">
        <f t="shared" ca="1" si="222"/>
        <v>112646</v>
      </c>
      <c r="CI43" s="407">
        <f t="shared" ca="1" si="223"/>
        <v>0</v>
      </c>
      <c r="CJ43" s="353">
        <v>47534</v>
      </c>
      <c r="CK43" s="353">
        <v>76903</v>
      </c>
      <c r="CL43" s="326"/>
      <c r="CM43" s="407">
        <f t="shared" si="224"/>
        <v>0</v>
      </c>
      <c r="CN43" s="230">
        <f t="shared" ca="1" si="225"/>
        <v>149606</v>
      </c>
      <c r="CO43" s="407">
        <f t="shared" ca="1" si="226"/>
        <v>0</v>
      </c>
      <c r="CP43" s="328"/>
      <c r="CQ43" s="328"/>
      <c r="CR43" s="328">
        <f t="shared" si="227"/>
        <v>0</v>
      </c>
      <c r="CS43" s="413">
        <f t="shared" si="228"/>
        <v>0</v>
      </c>
      <c r="CT43" s="445">
        <f t="shared" ca="1" si="229"/>
        <v>412314</v>
      </c>
      <c r="CU43" s="413">
        <f t="shared" ca="1" si="230"/>
        <v>0</v>
      </c>
      <c r="CV43" s="355">
        <v>73984</v>
      </c>
      <c r="CW43" s="355">
        <v>14474</v>
      </c>
      <c r="CX43" s="297">
        <f t="shared" si="231"/>
        <v>0</v>
      </c>
      <c r="CY43" s="424">
        <f t="shared" si="232"/>
        <v>0</v>
      </c>
      <c r="CZ43" s="445">
        <f t="shared" ca="1" si="233"/>
        <v>1338321</v>
      </c>
      <c r="DA43" s="425">
        <f t="shared" ca="1" si="234"/>
        <v>0</v>
      </c>
    </row>
    <row r="44" spans="1:105">
      <c r="A44" s="67" t="s">
        <v>125</v>
      </c>
      <c r="B44" s="68" t="s">
        <v>134</v>
      </c>
      <c r="C44" s="300">
        <v>200</v>
      </c>
      <c r="D44" s="353">
        <v>16443</v>
      </c>
      <c r="E44" s="353">
        <v>81220</v>
      </c>
      <c r="F44" s="326"/>
      <c r="G44" s="407">
        <f t="shared" si="187"/>
        <v>0</v>
      </c>
      <c r="H44" s="230">
        <f t="shared" ca="1" si="235"/>
        <v>120665</v>
      </c>
      <c r="I44" s="407">
        <f t="shared" ca="1" si="188"/>
        <v>0</v>
      </c>
      <c r="J44" s="353">
        <v>29607</v>
      </c>
      <c r="K44" s="353">
        <v>25975</v>
      </c>
      <c r="L44" s="326"/>
      <c r="M44" s="407">
        <f t="shared" si="189"/>
        <v>0</v>
      </c>
      <c r="N44" s="230">
        <f t="shared" ca="1" si="236"/>
        <v>100976</v>
      </c>
      <c r="O44" s="407">
        <f t="shared" ca="1" si="190"/>
        <v>0</v>
      </c>
      <c r="P44" s="353">
        <v>56991</v>
      </c>
      <c r="Q44" s="353">
        <v>45915</v>
      </c>
      <c r="R44" s="326"/>
      <c r="S44" s="407">
        <f t="shared" si="191"/>
        <v>0</v>
      </c>
      <c r="T44" s="230">
        <f t="shared" ca="1" si="237"/>
        <v>117406</v>
      </c>
      <c r="U44" s="407">
        <f t="shared" ca="1" si="192"/>
        <v>0</v>
      </c>
      <c r="V44" s="398">
        <v>47434</v>
      </c>
      <c r="W44" s="398">
        <v>28075</v>
      </c>
      <c r="X44" s="328">
        <f t="shared" si="193"/>
        <v>0</v>
      </c>
      <c r="Y44" s="413">
        <f t="shared" si="194"/>
        <v>0</v>
      </c>
      <c r="Z44" s="445">
        <f t="shared" ca="1" si="195"/>
        <v>339047</v>
      </c>
      <c r="AA44" s="413">
        <f t="shared" ca="1" si="196"/>
        <v>0</v>
      </c>
      <c r="AB44" s="353">
        <v>24310</v>
      </c>
      <c r="AC44" s="353">
        <v>56926</v>
      </c>
      <c r="AD44" s="326"/>
      <c r="AE44" s="407">
        <f t="shared" si="197"/>
        <v>0</v>
      </c>
      <c r="AF44" s="230">
        <f t="shared" ca="1" si="238"/>
        <v>91249</v>
      </c>
      <c r="AG44" s="407">
        <f t="shared" ca="1" si="198"/>
        <v>0</v>
      </c>
      <c r="AH44" s="353">
        <v>40094</v>
      </c>
      <c r="AI44" s="353">
        <v>55934</v>
      </c>
      <c r="AJ44" s="326"/>
      <c r="AK44" s="407">
        <f t="shared" si="199"/>
        <v>0</v>
      </c>
      <c r="AL44" s="230">
        <f t="shared" ca="1" si="239"/>
        <v>142444</v>
      </c>
      <c r="AM44" s="407">
        <f t="shared" ca="1" si="200"/>
        <v>0</v>
      </c>
      <c r="AN44" s="353">
        <v>11534</v>
      </c>
      <c r="AO44" s="353">
        <v>66541</v>
      </c>
      <c r="AP44" s="326"/>
      <c r="AQ44" s="407">
        <f t="shared" si="201"/>
        <v>0</v>
      </c>
      <c r="AR44" s="230">
        <f t="shared" ca="1" si="240"/>
        <v>105831</v>
      </c>
      <c r="AS44" s="407">
        <f t="shared" ca="1" si="202"/>
        <v>0</v>
      </c>
      <c r="AT44" s="398">
        <v>11037</v>
      </c>
      <c r="AU44" s="398">
        <v>19751</v>
      </c>
      <c r="AV44" s="328">
        <f t="shared" si="203"/>
        <v>0</v>
      </c>
      <c r="AW44" s="413">
        <f t="shared" si="204"/>
        <v>0</v>
      </c>
      <c r="AX44" s="445">
        <f t="shared" ca="1" si="205"/>
        <v>339524</v>
      </c>
      <c r="AY44" s="413">
        <f t="shared" ca="1" si="206"/>
        <v>0</v>
      </c>
      <c r="AZ44" s="353">
        <v>67712</v>
      </c>
      <c r="BA44" s="353">
        <v>35613</v>
      </c>
      <c r="BB44" s="326"/>
      <c r="BC44" s="407">
        <f t="shared" si="207"/>
        <v>0</v>
      </c>
      <c r="BD44" s="230">
        <f t="shared" ca="1" si="241"/>
        <v>149929</v>
      </c>
      <c r="BE44" s="407">
        <f t="shared" ca="1" si="208"/>
        <v>0</v>
      </c>
      <c r="BF44" s="353">
        <v>76515</v>
      </c>
      <c r="BG44" s="353">
        <v>90401</v>
      </c>
      <c r="BH44" s="326"/>
      <c r="BI44" s="407">
        <f t="shared" si="209"/>
        <v>0</v>
      </c>
      <c r="BJ44" s="230">
        <f t="shared" ca="1" si="242"/>
        <v>197899</v>
      </c>
      <c r="BK44" s="407">
        <f t="shared" ca="1" si="210"/>
        <v>0</v>
      </c>
      <c r="BL44" s="353">
        <v>36696</v>
      </c>
      <c r="BM44" s="353">
        <v>87395</v>
      </c>
      <c r="BN44" s="326"/>
      <c r="BO44" s="407">
        <f t="shared" si="211"/>
        <v>0</v>
      </c>
      <c r="BP44" s="230">
        <f t="shared" ca="1" si="212"/>
        <v>137503</v>
      </c>
      <c r="BQ44" s="407">
        <f t="shared" ca="1" si="213"/>
        <v>0</v>
      </c>
      <c r="BR44" s="328"/>
      <c r="BS44" s="328"/>
      <c r="BT44" s="328">
        <f t="shared" si="214"/>
        <v>0</v>
      </c>
      <c r="BU44" s="413">
        <f t="shared" si="215"/>
        <v>0</v>
      </c>
      <c r="BV44" s="445">
        <f t="shared" ca="1" si="216"/>
        <v>485331</v>
      </c>
      <c r="BW44" s="413">
        <f t="shared" ca="1" si="217"/>
        <v>0</v>
      </c>
      <c r="BX44" s="353">
        <v>62195</v>
      </c>
      <c r="BY44" s="353">
        <v>83306</v>
      </c>
      <c r="BZ44" s="326"/>
      <c r="CA44" s="407">
        <f t="shared" si="218"/>
        <v>0</v>
      </c>
      <c r="CB44" s="230">
        <f t="shared" ca="1" si="219"/>
        <v>157188</v>
      </c>
      <c r="CC44" s="407">
        <f t="shared" ca="1" si="220"/>
        <v>0</v>
      </c>
      <c r="CD44" s="353">
        <v>37737</v>
      </c>
      <c r="CE44" s="353">
        <v>59663</v>
      </c>
      <c r="CF44" s="326"/>
      <c r="CG44" s="407">
        <f t="shared" si="221"/>
        <v>0</v>
      </c>
      <c r="CH44" s="230">
        <f t="shared" ca="1" si="222"/>
        <v>109887</v>
      </c>
      <c r="CI44" s="407">
        <f t="shared" ca="1" si="223"/>
        <v>0</v>
      </c>
      <c r="CJ44" s="353">
        <v>72205</v>
      </c>
      <c r="CK44" s="353">
        <v>30515</v>
      </c>
      <c r="CL44" s="326"/>
      <c r="CM44" s="407">
        <f t="shared" si="224"/>
        <v>0</v>
      </c>
      <c r="CN44" s="230">
        <f t="shared" ca="1" si="225"/>
        <v>117054</v>
      </c>
      <c r="CO44" s="407">
        <f t="shared" ca="1" si="226"/>
        <v>0</v>
      </c>
      <c r="CP44" s="328"/>
      <c r="CQ44" s="328"/>
      <c r="CR44" s="328">
        <f t="shared" si="227"/>
        <v>0</v>
      </c>
      <c r="CS44" s="413">
        <f t="shared" si="228"/>
        <v>0</v>
      </c>
      <c r="CT44" s="445">
        <f t="shared" ca="1" si="229"/>
        <v>384129</v>
      </c>
      <c r="CU44" s="413">
        <f t="shared" ca="1" si="230"/>
        <v>0</v>
      </c>
      <c r="CV44" s="355">
        <v>88778</v>
      </c>
      <c r="CW44" s="355">
        <v>57754</v>
      </c>
      <c r="CX44" s="297">
        <f t="shared" si="231"/>
        <v>0</v>
      </c>
      <c r="CY44" s="424">
        <f t="shared" si="232"/>
        <v>0</v>
      </c>
      <c r="CZ44" s="445">
        <f ca="1">AX44+BV44+CT44</f>
        <v>1208984</v>
      </c>
      <c r="DA44" s="425">
        <f ca="1">IFERROR(CZ44/CX44,0)</f>
        <v>0</v>
      </c>
    </row>
    <row r="45" spans="1:105">
      <c r="A45" s="67" t="s">
        <v>125</v>
      </c>
      <c r="B45" s="68" t="s">
        <v>157</v>
      </c>
      <c r="C45" s="300">
        <v>300</v>
      </c>
      <c r="D45" s="353"/>
      <c r="E45" s="353"/>
      <c r="F45" s="326"/>
      <c r="G45" s="407"/>
      <c r="H45" s="230"/>
      <c r="I45" s="407">
        <f t="shared" si="188"/>
        <v>0</v>
      </c>
      <c r="J45" s="292"/>
      <c r="K45" s="292"/>
      <c r="L45" s="326"/>
      <c r="M45" s="407"/>
      <c r="N45" s="460"/>
      <c r="O45" s="407">
        <f t="shared" si="190"/>
        <v>0</v>
      </c>
      <c r="P45" s="292"/>
      <c r="Q45" s="292"/>
      <c r="R45" s="326"/>
      <c r="S45" s="407"/>
      <c r="T45" s="455"/>
      <c r="U45" s="407">
        <f t="shared" si="192"/>
        <v>0</v>
      </c>
      <c r="V45" s="328"/>
      <c r="W45" s="328"/>
      <c r="X45" s="328"/>
      <c r="Y45" s="413"/>
      <c r="Z45" s="445">
        <f t="shared" si="195"/>
        <v>0</v>
      </c>
      <c r="AA45" s="413"/>
      <c r="AB45" s="353">
        <v>76610</v>
      </c>
      <c r="AC45" s="353">
        <v>61553</v>
      </c>
      <c r="AD45" s="326"/>
      <c r="AE45" s="407"/>
      <c r="AF45" s="230">
        <f t="shared" ca="1" si="238"/>
        <v>157265</v>
      </c>
      <c r="AG45" s="407">
        <f t="shared" ca="1" si="198"/>
        <v>0</v>
      </c>
      <c r="AH45" s="353">
        <v>11378</v>
      </c>
      <c r="AI45" s="353">
        <v>23848</v>
      </c>
      <c r="AJ45" s="326"/>
      <c r="AK45" s="407"/>
      <c r="AL45" s="230">
        <f t="shared" ca="1" si="239"/>
        <v>74057</v>
      </c>
      <c r="AM45" s="407">
        <f t="shared" ca="1" si="200"/>
        <v>0</v>
      </c>
      <c r="AN45" s="353">
        <v>50229</v>
      </c>
      <c r="AO45" s="353">
        <v>55377</v>
      </c>
      <c r="AP45" s="326"/>
      <c r="AQ45" s="407"/>
      <c r="AR45" s="230">
        <f t="shared" ca="1" si="240"/>
        <v>134178</v>
      </c>
      <c r="AS45" s="407">
        <f t="shared" ca="1" si="202"/>
        <v>0</v>
      </c>
      <c r="AT45" s="398">
        <v>85208</v>
      </c>
      <c r="AU45" s="398">
        <v>93414</v>
      </c>
      <c r="AV45" s="328"/>
      <c r="AW45" s="413"/>
      <c r="AX45" s="445">
        <f t="shared" ca="1" si="205"/>
        <v>365500</v>
      </c>
      <c r="AY45" s="413"/>
      <c r="AZ45" s="353">
        <v>70228</v>
      </c>
      <c r="BA45" s="353">
        <v>41538</v>
      </c>
      <c r="BB45" s="326"/>
      <c r="BC45" s="407"/>
      <c r="BD45" s="230">
        <f t="shared" ca="1" si="241"/>
        <v>157558</v>
      </c>
      <c r="BE45" s="407"/>
      <c r="BF45" s="353">
        <v>71306</v>
      </c>
      <c r="BG45" s="353">
        <v>34570</v>
      </c>
      <c r="BH45" s="326"/>
      <c r="BI45" s="407"/>
      <c r="BJ45" s="230">
        <f t="shared" ca="1" si="242"/>
        <v>146132</v>
      </c>
      <c r="BK45" s="407"/>
      <c r="BL45" s="353">
        <v>17095</v>
      </c>
      <c r="BM45" s="353">
        <v>73635</v>
      </c>
      <c r="BN45" s="326"/>
      <c r="BO45" s="407"/>
      <c r="BP45" s="230">
        <f t="shared" ca="1" si="212"/>
        <v>128875</v>
      </c>
      <c r="BQ45" s="407"/>
      <c r="BR45" s="328"/>
      <c r="BS45" s="328"/>
      <c r="BT45" s="328"/>
      <c r="BU45" s="413"/>
      <c r="BV45" s="445">
        <f t="shared" ca="1" si="216"/>
        <v>432565</v>
      </c>
      <c r="BW45" s="413"/>
      <c r="BX45" s="353">
        <v>98645</v>
      </c>
      <c r="BY45" s="353">
        <v>54277</v>
      </c>
      <c r="BZ45" s="326"/>
      <c r="CA45" s="407"/>
      <c r="CB45" s="230">
        <f t="shared" ca="1" si="219"/>
        <v>200508</v>
      </c>
      <c r="CC45" s="407"/>
      <c r="CD45" s="353">
        <v>77049</v>
      </c>
      <c r="CE45" s="353">
        <v>95685</v>
      </c>
      <c r="CF45" s="326"/>
      <c r="CG45" s="407"/>
      <c r="CH45" s="230">
        <f t="shared" ca="1" si="222"/>
        <v>190100</v>
      </c>
      <c r="CI45" s="407"/>
      <c r="CJ45" s="353">
        <v>27734</v>
      </c>
      <c r="CK45" s="353">
        <v>49179</v>
      </c>
      <c r="CL45" s="326"/>
      <c r="CM45" s="407"/>
      <c r="CN45" s="230">
        <f t="shared" ca="1" si="225"/>
        <v>113049</v>
      </c>
      <c r="CO45" s="407"/>
      <c r="CP45" s="328"/>
      <c r="CQ45" s="328"/>
      <c r="CR45" s="328"/>
      <c r="CS45" s="413"/>
      <c r="CT45" s="445">
        <f t="shared" ca="1" si="229"/>
        <v>503657</v>
      </c>
      <c r="CU45" s="413"/>
      <c r="CV45" s="355">
        <v>82747</v>
      </c>
      <c r="CW45" s="355">
        <v>25342</v>
      </c>
      <c r="CX45" s="297">
        <f t="shared" si="231"/>
        <v>0</v>
      </c>
      <c r="CY45" s="424"/>
      <c r="CZ45" s="445">
        <f ca="1">AX45+BV45+CT45</f>
        <v>1301722</v>
      </c>
      <c r="DA45" s="425">
        <f ca="1">IFERROR(CZ45/CX45,0)</f>
        <v>0</v>
      </c>
    </row>
    <row r="46" spans="1:105">
      <c r="A46" s="67"/>
      <c r="B46" s="68"/>
      <c r="C46" s="401"/>
      <c r="D46" s="292"/>
      <c r="E46" s="292"/>
      <c r="F46" s="326"/>
      <c r="G46" s="407"/>
      <c r="H46" s="460"/>
      <c r="I46" s="407"/>
      <c r="J46" s="292"/>
      <c r="K46" s="292"/>
      <c r="L46" s="326"/>
      <c r="M46" s="407"/>
      <c r="N46" s="460"/>
      <c r="O46" s="407"/>
      <c r="P46" s="292"/>
      <c r="Q46" s="292"/>
      <c r="R46" s="326"/>
      <c r="S46" s="407"/>
      <c r="T46" s="455"/>
      <c r="U46" s="407"/>
      <c r="V46" s="328"/>
      <c r="W46" s="328"/>
      <c r="X46" s="328"/>
      <c r="Y46" s="413"/>
      <c r="Z46" s="445"/>
      <c r="AA46" s="413"/>
      <c r="AB46" s="292"/>
      <c r="AC46" s="292"/>
      <c r="AD46" s="326"/>
      <c r="AE46" s="407"/>
      <c r="AF46" s="460"/>
      <c r="AG46" s="407"/>
      <c r="AH46" s="292"/>
      <c r="AI46" s="292"/>
      <c r="AJ46" s="326"/>
      <c r="AK46" s="407"/>
      <c r="AL46" s="230"/>
      <c r="AM46" s="407">
        <f t="shared" si="200"/>
        <v>0</v>
      </c>
      <c r="AN46" s="292"/>
      <c r="AO46" s="292"/>
      <c r="AP46" s="326"/>
      <c r="AQ46" s="407"/>
      <c r="AR46" s="460"/>
      <c r="AS46" s="407">
        <f t="shared" si="202"/>
        <v>0</v>
      </c>
      <c r="AT46" s="328"/>
      <c r="AU46" s="328"/>
      <c r="AV46" s="328"/>
      <c r="AW46" s="413"/>
      <c r="AX46" s="445">
        <f t="shared" si="205"/>
        <v>0</v>
      </c>
      <c r="AY46" s="413"/>
      <c r="AZ46" s="292"/>
      <c r="BA46" s="292"/>
      <c r="BB46" s="326"/>
      <c r="BC46" s="407"/>
      <c r="BD46" s="460"/>
      <c r="BE46" s="407"/>
      <c r="BF46" s="292"/>
      <c r="BG46" s="292"/>
      <c r="BH46" s="326"/>
      <c r="BI46" s="407"/>
      <c r="BJ46" s="460"/>
      <c r="BK46" s="407"/>
      <c r="BL46" s="292"/>
      <c r="BM46" s="292"/>
      <c r="BN46" s="326"/>
      <c r="BO46" s="407"/>
      <c r="BP46" s="460"/>
      <c r="BQ46" s="407"/>
      <c r="BR46" s="328"/>
      <c r="BS46" s="328"/>
      <c r="BT46" s="328"/>
      <c r="BU46" s="413"/>
      <c r="BV46" s="445"/>
      <c r="BW46" s="413"/>
      <c r="BX46" s="292"/>
      <c r="BY46" s="292"/>
      <c r="BZ46" s="326"/>
      <c r="CA46" s="407"/>
      <c r="CB46" s="460"/>
      <c r="CC46" s="407"/>
      <c r="CD46" s="292"/>
      <c r="CE46" s="292"/>
      <c r="CF46" s="326"/>
      <c r="CG46" s="407"/>
      <c r="CH46" s="460"/>
      <c r="CI46" s="407"/>
      <c r="CJ46" s="292"/>
      <c r="CK46" s="292"/>
      <c r="CL46" s="326"/>
      <c r="CM46" s="407"/>
      <c r="CN46" s="460"/>
      <c r="CO46" s="407"/>
      <c r="CP46" s="328"/>
      <c r="CQ46" s="328"/>
      <c r="CR46" s="328"/>
      <c r="CS46" s="413"/>
      <c r="CT46" s="445"/>
      <c r="CU46" s="413"/>
      <c r="CV46" s="297"/>
      <c r="CW46" s="297"/>
      <c r="CX46" s="297"/>
      <c r="CY46" s="424"/>
      <c r="CZ46" s="445">
        <f>AX46+BV46+CT46</f>
        <v>0</v>
      </c>
      <c r="DA46" s="425"/>
    </row>
    <row r="47" spans="1:105">
      <c r="A47" s="67"/>
      <c r="B47" s="68"/>
      <c r="C47" s="300"/>
      <c r="D47" s="292"/>
      <c r="E47" s="292"/>
      <c r="F47" s="326"/>
      <c r="G47" s="407"/>
      <c r="H47" s="460"/>
      <c r="I47" s="407"/>
      <c r="J47" s="292"/>
      <c r="K47" s="292"/>
      <c r="L47" s="326"/>
      <c r="M47" s="407"/>
      <c r="N47" s="460"/>
      <c r="O47" s="407"/>
      <c r="P47" s="292"/>
      <c r="Q47" s="292"/>
      <c r="R47" s="326"/>
      <c r="S47" s="407"/>
      <c r="T47" s="455"/>
      <c r="U47" s="407"/>
      <c r="V47" s="328"/>
      <c r="W47" s="328"/>
      <c r="X47" s="328"/>
      <c r="Y47" s="413"/>
      <c r="Z47" s="445"/>
      <c r="AA47" s="413"/>
      <c r="AB47" s="292"/>
      <c r="AC47" s="292"/>
      <c r="AD47" s="326"/>
      <c r="AE47" s="407"/>
      <c r="AF47" s="460"/>
      <c r="AG47" s="407"/>
      <c r="AH47" s="292"/>
      <c r="AI47" s="292"/>
      <c r="AJ47" s="326"/>
      <c r="AK47" s="407"/>
      <c r="AL47" s="460"/>
      <c r="AM47" s="407"/>
      <c r="AN47" s="292"/>
      <c r="AO47" s="292"/>
      <c r="AP47" s="326"/>
      <c r="AQ47" s="407"/>
      <c r="AR47" s="460"/>
      <c r="AS47" s="407"/>
      <c r="AT47" s="328"/>
      <c r="AU47" s="328"/>
      <c r="AV47" s="328"/>
      <c r="AW47" s="413"/>
      <c r="AX47" s="445"/>
      <c r="AY47" s="413"/>
      <c r="AZ47" s="292"/>
      <c r="BA47" s="292"/>
      <c r="BB47" s="326"/>
      <c r="BC47" s="407"/>
      <c r="BD47" s="460"/>
      <c r="BE47" s="407"/>
      <c r="BF47" s="292"/>
      <c r="BG47" s="292"/>
      <c r="BH47" s="326"/>
      <c r="BI47" s="407"/>
      <c r="BJ47" s="460"/>
      <c r="BK47" s="407"/>
      <c r="BL47" s="292"/>
      <c r="BM47" s="292"/>
      <c r="BN47" s="326"/>
      <c r="BO47" s="407"/>
      <c r="BP47" s="460"/>
      <c r="BQ47" s="407"/>
      <c r="BR47" s="328"/>
      <c r="BS47" s="328"/>
      <c r="BT47" s="328"/>
      <c r="BU47" s="413"/>
      <c r="BV47" s="445"/>
      <c r="BW47" s="413"/>
      <c r="BX47" s="292"/>
      <c r="BY47" s="292"/>
      <c r="BZ47" s="326"/>
      <c r="CA47" s="407"/>
      <c r="CB47" s="460"/>
      <c r="CC47" s="407"/>
      <c r="CD47" s="292"/>
      <c r="CE47" s="292"/>
      <c r="CF47" s="326"/>
      <c r="CG47" s="407"/>
      <c r="CH47" s="460"/>
      <c r="CI47" s="407"/>
      <c r="CJ47" s="292"/>
      <c r="CK47" s="292"/>
      <c r="CL47" s="326"/>
      <c r="CM47" s="407"/>
      <c r="CN47" s="460"/>
      <c r="CO47" s="407"/>
      <c r="CP47" s="328"/>
      <c r="CQ47" s="328"/>
      <c r="CR47" s="328"/>
      <c r="CS47" s="413"/>
      <c r="CT47" s="445"/>
      <c r="CU47" s="413"/>
      <c r="CV47" s="297"/>
      <c r="CW47" s="297"/>
      <c r="CX47" s="297"/>
      <c r="CY47" s="424"/>
      <c r="CZ47" s="445"/>
      <c r="DA47" s="425"/>
    </row>
    <row r="48" spans="1:105">
      <c r="A48" s="67"/>
      <c r="B48" s="68"/>
      <c r="C48" s="300"/>
      <c r="D48" s="292"/>
      <c r="E48" s="292"/>
      <c r="F48" s="326"/>
      <c r="G48" s="407"/>
      <c r="H48" s="460"/>
      <c r="I48" s="407"/>
      <c r="J48" s="292"/>
      <c r="K48" s="292"/>
      <c r="L48" s="326"/>
      <c r="M48" s="407"/>
      <c r="N48" s="460"/>
      <c r="O48" s="407"/>
      <c r="P48" s="292"/>
      <c r="Q48" s="292"/>
      <c r="R48" s="326"/>
      <c r="S48" s="407"/>
      <c r="T48" s="455"/>
      <c r="U48" s="407"/>
      <c r="V48" s="328"/>
      <c r="W48" s="328"/>
      <c r="X48" s="328"/>
      <c r="Y48" s="413"/>
      <c r="Z48" s="445"/>
      <c r="AA48" s="413"/>
      <c r="AB48" s="292"/>
      <c r="AC48" s="292"/>
      <c r="AD48" s="326"/>
      <c r="AE48" s="407"/>
      <c r="AF48" s="460"/>
      <c r="AG48" s="407"/>
      <c r="AH48" s="292"/>
      <c r="AI48" s="292"/>
      <c r="AJ48" s="326"/>
      <c r="AK48" s="407"/>
      <c r="AL48" s="460"/>
      <c r="AM48" s="407"/>
      <c r="AN48" s="292"/>
      <c r="AO48" s="292"/>
      <c r="AP48" s="326"/>
      <c r="AQ48" s="407"/>
      <c r="AR48" s="460"/>
      <c r="AS48" s="407"/>
      <c r="AT48" s="328"/>
      <c r="AU48" s="328"/>
      <c r="AV48" s="328"/>
      <c r="AW48" s="413"/>
      <c r="AX48" s="445"/>
      <c r="AY48" s="413"/>
      <c r="AZ48" s="292"/>
      <c r="BA48" s="292"/>
      <c r="BB48" s="326"/>
      <c r="BC48" s="407"/>
      <c r="BD48" s="460"/>
      <c r="BE48" s="407"/>
      <c r="BF48" s="292"/>
      <c r="BG48" s="292"/>
      <c r="BH48" s="326"/>
      <c r="BI48" s="407"/>
      <c r="BJ48" s="460"/>
      <c r="BK48" s="407"/>
      <c r="BL48" s="292"/>
      <c r="BM48" s="292"/>
      <c r="BN48" s="326"/>
      <c r="BO48" s="407"/>
      <c r="BP48" s="460"/>
      <c r="BQ48" s="407"/>
      <c r="BR48" s="328"/>
      <c r="BS48" s="328"/>
      <c r="BT48" s="328"/>
      <c r="BU48" s="413"/>
      <c r="BV48" s="445"/>
      <c r="BW48" s="413"/>
      <c r="BX48" s="292"/>
      <c r="BY48" s="292"/>
      <c r="BZ48" s="326"/>
      <c r="CA48" s="407"/>
      <c r="CB48" s="460"/>
      <c r="CC48" s="407"/>
      <c r="CD48" s="292"/>
      <c r="CE48" s="292"/>
      <c r="CF48" s="326"/>
      <c r="CG48" s="407"/>
      <c r="CH48" s="460"/>
      <c r="CI48" s="407"/>
      <c r="CJ48" s="292"/>
      <c r="CK48" s="292"/>
      <c r="CL48" s="326"/>
      <c r="CM48" s="407"/>
      <c r="CN48" s="460"/>
      <c r="CO48" s="407"/>
      <c r="CP48" s="328"/>
      <c r="CQ48" s="328"/>
      <c r="CR48" s="328"/>
      <c r="CS48" s="413"/>
      <c r="CT48" s="445"/>
      <c r="CU48" s="413"/>
      <c r="CV48" s="297"/>
      <c r="CW48" s="297"/>
      <c r="CX48" s="297"/>
      <c r="CY48" s="424"/>
      <c r="CZ48" s="445"/>
      <c r="DA48" s="425"/>
    </row>
    <row r="49" spans="1:105">
      <c r="A49" s="67"/>
      <c r="B49" s="68"/>
      <c r="C49" s="300"/>
      <c r="D49" s="292"/>
      <c r="E49" s="292"/>
      <c r="F49" s="326"/>
      <c r="G49" s="407"/>
      <c r="H49" s="460"/>
      <c r="I49" s="407"/>
      <c r="J49" s="292"/>
      <c r="K49" s="292"/>
      <c r="L49" s="326"/>
      <c r="M49" s="407"/>
      <c r="N49" s="460"/>
      <c r="O49" s="407"/>
      <c r="P49" s="292"/>
      <c r="Q49" s="292"/>
      <c r="R49" s="326"/>
      <c r="S49" s="407"/>
      <c r="T49" s="455"/>
      <c r="U49" s="407"/>
      <c r="V49" s="328"/>
      <c r="W49" s="328"/>
      <c r="X49" s="328"/>
      <c r="Y49" s="413"/>
      <c r="Z49" s="445"/>
      <c r="AA49" s="413"/>
      <c r="AB49" s="292"/>
      <c r="AC49" s="292"/>
      <c r="AD49" s="326"/>
      <c r="AE49" s="407"/>
      <c r="AF49" s="460"/>
      <c r="AG49" s="407"/>
      <c r="AH49" s="292"/>
      <c r="AI49" s="292"/>
      <c r="AJ49" s="326"/>
      <c r="AK49" s="407"/>
      <c r="AL49" s="460"/>
      <c r="AM49" s="407"/>
      <c r="AN49" s="292"/>
      <c r="AO49" s="292"/>
      <c r="AP49" s="326"/>
      <c r="AQ49" s="407"/>
      <c r="AR49" s="460"/>
      <c r="AS49" s="407"/>
      <c r="AT49" s="328"/>
      <c r="AU49" s="328"/>
      <c r="AV49" s="328"/>
      <c r="AW49" s="413"/>
      <c r="AX49" s="445"/>
      <c r="AY49" s="413"/>
      <c r="AZ49" s="292"/>
      <c r="BA49" s="292"/>
      <c r="BB49" s="326"/>
      <c r="BC49" s="407"/>
      <c r="BD49" s="460"/>
      <c r="BE49" s="407"/>
      <c r="BF49" s="292"/>
      <c r="BG49" s="292"/>
      <c r="BH49" s="326"/>
      <c r="BI49" s="407"/>
      <c r="BJ49" s="460"/>
      <c r="BK49" s="407"/>
      <c r="BL49" s="292"/>
      <c r="BM49" s="292"/>
      <c r="BN49" s="326"/>
      <c r="BO49" s="407"/>
      <c r="BP49" s="460"/>
      <c r="BQ49" s="407"/>
      <c r="BR49" s="328"/>
      <c r="BS49" s="328"/>
      <c r="BT49" s="328"/>
      <c r="BU49" s="413"/>
      <c r="BV49" s="445"/>
      <c r="BW49" s="413"/>
      <c r="BX49" s="292"/>
      <c r="BY49" s="292"/>
      <c r="BZ49" s="326"/>
      <c r="CA49" s="407"/>
      <c r="CB49" s="460"/>
      <c r="CC49" s="407"/>
      <c r="CD49" s="292"/>
      <c r="CE49" s="292"/>
      <c r="CF49" s="326"/>
      <c r="CG49" s="407"/>
      <c r="CH49" s="460"/>
      <c r="CI49" s="407"/>
      <c r="CJ49" s="292"/>
      <c r="CK49" s="292"/>
      <c r="CL49" s="326"/>
      <c r="CM49" s="407"/>
      <c r="CN49" s="460"/>
      <c r="CO49" s="407"/>
      <c r="CP49" s="328"/>
      <c r="CQ49" s="328"/>
      <c r="CR49" s="328"/>
      <c r="CS49" s="413"/>
      <c r="CT49" s="445"/>
      <c r="CU49" s="413"/>
      <c r="CV49" s="297"/>
      <c r="CW49" s="297"/>
      <c r="CX49" s="297"/>
      <c r="CY49" s="424"/>
      <c r="CZ49" s="445"/>
      <c r="DA49" s="425"/>
    </row>
    <row r="50" spans="1:105">
      <c r="A50" s="67"/>
      <c r="B50" s="68"/>
      <c r="C50" s="339"/>
      <c r="D50" s="292"/>
      <c r="E50" s="292"/>
      <c r="F50" s="326"/>
      <c r="G50" s="407">
        <f t="shared" si="187"/>
        <v>0</v>
      </c>
      <c r="H50" s="460"/>
      <c r="I50" s="407">
        <f t="shared" si="188"/>
        <v>0</v>
      </c>
      <c r="J50" s="292"/>
      <c r="K50" s="292"/>
      <c r="L50" s="326"/>
      <c r="M50" s="407">
        <f t="shared" si="189"/>
        <v>0</v>
      </c>
      <c r="N50" s="460"/>
      <c r="O50" s="407">
        <f t="shared" si="190"/>
        <v>0</v>
      </c>
      <c r="P50" s="292"/>
      <c r="Q50" s="292"/>
      <c r="R50" s="326"/>
      <c r="S50" s="407">
        <f t="shared" si="191"/>
        <v>0</v>
      </c>
      <c r="T50" s="455"/>
      <c r="U50" s="407">
        <f t="shared" si="192"/>
        <v>0</v>
      </c>
      <c r="V50" s="328"/>
      <c r="W50" s="328"/>
      <c r="X50" s="328">
        <f t="shared" si="193"/>
        <v>0</v>
      </c>
      <c r="Y50" s="413">
        <f t="shared" si="194"/>
        <v>0</v>
      </c>
      <c r="Z50" s="445">
        <f t="shared" si="195"/>
        <v>0</v>
      </c>
      <c r="AA50" s="413">
        <f t="shared" si="196"/>
        <v>0</v>
      </c>
      <c r="AB50" s="292"/>
      <c r="AC50" s="292"/>
      <c r="AD50" s="326"/>
      <c r="AE50" s="407">
        <f t="shared" si="197"/>
        <v>0</v>
      </c>
      <c r="AF50" s="460"/>
      <c r="AG50" s="407">
        <f t="shared" si="198"/>
        <v>0</v>
      </c>
      <c r="AH50" s="292"/>
      <c r="AI50" s="292"/>
      <c r="AJ50" s="326"/>
      <c r="AK50" s="407">
        <f t="shared" si="199"/>
        <v>0</v>
      </c>
      <c r="AL50" s="460"/>
      <c r="AM50" s="407">
        <f t="shared" si="200"/>
        <v>0</v>
      </c>
      <c r="AN50" s="292"/>
      <c r="AO50" s="292"/>
      <c r="AP50" s="326"/>
      <c r="AQ50" s="407">
        <f t="shared" si="201"/>
        <v>0</v>
      </c>
      <c r="AR50" s="460"/>
      <c r="AS50" s="407">
        <f t="shared" si="202"/>
        <v>0</v>
      </c>
      <c r="AT50" s="328"/>
      <c r="AU50" s="328"/>
      <c r="AV50" s="328">
        <f t="shared" si="203"/>
        <v>0</v>
      </c>
      <c r="AW50" s="413">
        <f t="shared" si="204"/>
        <v>0</v>
      </c>
      <c r="AX50" s="445">
        <f t="shared" si="205"/>
        <v>0</v>
      </c>
      <c r="AY50" s="413">
        <f t="shared" si="206"/>
        <v>0</v>
      </c>
      <c r="AZ50" s="292"/>
      <c r="BA50" s="292"/>
      <c r="BB50" s="326"/>
      <c r="BC50" s="407">
        <f t="shared" si="207"/>
        <v>0</v>
      </c>
      <c r="BD50" s="460"/>
      <c r="BE50" s="407">
        <f t="shared" si="208"/>
        <v>0</v>
      </c>
      <c r="BF50" s="292"/>
      <c r="BG50" s="292"/>
      <c r="BH50" s="326"/>
      <c r="BI50" s="407">
        <f t="shared" si="209"/>
        <v>0</v>
      </c>
      <c r="BJ50" s="460"/>
      <c r="BK50" s="407">
        <f t="shared" si="210"/>
        <v>0</v>
      </c>
      <c r="BL50" s="292"/>
      <c r="BM50" s="292"/>
      <c r="BN50" s="326"/>
      <c r="BO50" s="407">
        <f t="shared" si="211"/>
        <v>0</v>
      </c>
      <c r="BP50" s="460"/>
      <c r="BQ50" s="407">
        <f t="shared" si="213"/>
        <v>0</v>
      </c>
      <c r="BR50" s="328"/>
      <c r="BS50" s="328"/>
      <c r="BT50" s="328">
        <f t="shared" si="214"/>
        <v>0</v>
      </c>
      <c r="BU50" s="413">
        <f t="shared" si="215"/>
        <v>0</v>
      </c>
      <c r="BV50" s="445">
        <f t="shared" si="216"/>
        <v>0</v>
      </c>
      <c r="BW50" s="413">
        <f t="shared" si="217"/>
        <v>0</v>
      </c>
      <c r="BX50" s="292"/>
      <c r="BY50" s="292"/>
      <c r="BZ50" s="326"/>
      <c r="CA50" s="407">
        <f t="shared" si="218"/>
        <v>0</v>
      </c>
      <c r="CB50" s="460"/>
      <c r="CC50" s="407">
        <f t="shared" si="220"/>
        <v>0</v>
      </c>
      <c r="CD50" s="292"/>
      <c r="CE50" s="292"/>
      <c r="CF50" s="326"/>
      <c r="CG50" s="407">
        <f t="shared" si="221"/>
        <v>0</v>
      </c>
      <c r="CH50" s="460"/>
      <c r="CI50" s="407">
        <f t="shared" si="223"/>
        <v>0</v>
      </c>
      <c r="CJ50" s="292"/>
      <c r="CK50" s="292"/>
      <c r="CL50" s="326"/>
      <c r="CM50" s="407">
        <f t="shared" si="224"/>
        <v>0</v>
      </c>
      <c r="CN50" s="460"/>
      <c r="CO50" s="407">
        <f t="shared" si="226"/>
        <v>0</v>
      </c>
      <c r="CP50" s="328"/>
      <c r="CQ50" s="328"/>
      <c r="CR50" s="328">
        <f t="shared" si="227"/>
        <v>0</v>
      </c>
      <c r="CS50" s="413">
        <f t="shared" si="228"/>
        <v>0</v>
      </c>
      <c r="CT50" s="445">
        <f t="shared" si="229"/>
        <v>0</v>
      </c>
      <c r="CU50" s="413">
        <f t="shared" si="230"/>
        <v>0</v>
      </c>
      <c r="CV50" s="297"/>
      <c r="CW50" s="297"/>
      <c r="CX50" s="297">
        <f t="shared" si="231"/>
        <v>0</v>
      </c>
      <c r="CY50" s="424">
        <f t="shared" si="232"/>
        <v>0</v>
      </c>
      <c r="CZ50" s="445">
        <f t="shared" si="233"/>
        <v>0</v>
      </c>
      <c r="DA50" s="425">
        <f t="shared" si="234"/>
        <v>0</v>
      </c>
    </row>
    <row r="51" spans="1:105">
      <c r="A51" s="66"/>
      <c r="B51" s="66" t="s">
        <v>135</v>
      </c>
      <c r="C51" s="66"/>
      <c r="D51" s="336">
        <v>168529</v>
      </c>
      <c r="E51" s="336">
        <v>234591</v>
      </c>
      <c r="F51" s="336">
        <f>SUM(F42:F50)</f>
        <v>0</v>
      </c>
      <c r="G51" s="406">
        <f t="shared" si="187"/>
        <v>0</v>
      </c>
      <c r="H51" s="446">
        <f ca="1">SUM(H42:H50)</f>
        <v>481737</v>
      </c>
      <c r="I51" s="406">
        <f t="shared" ca="1" si="188"/>
        <v>0</v>
      </c>
      <c r="J51" s="320">
        <v>201497</v>
      </c>
      <c r="K51" s="320">
        <v>121120</v>
      </c>
      <c r="L51" s="320">
        <f>SUM(L42:L44)</f>
        <v>0</v>
      </c>
      <c r="M51" s="406">
        <f t="shared" si="189"/>
        <v>0</v>
      </c>
      <c r="N51" s="446">
        <f ca="1">SUM(N42:N50)</f>
        <v>422355</v>
      </c>
      <c r="O51" s="406">
        <f t="shared" ca="1" si="190"/>
        <v>0</v>
      </c>
      <c r="P51" s="320">
        <v>207337</v>
      </c>
      <c r="Q51" s="320">
        <v>221875</v>
      </c>
      <c r="R51" s="320">
        <f>SUM(R42:R44)</f>
        <v>0</v>
      </c>
      <c r="S51" s="406">
        <f t="shared" si="191"/>
        <v>0</v>
      </c>
      <c r="T51" s="435">
        <f ca="1">SUM(T42:T50)</f>
        <v>493959</v>
      </c>
      <c r="U51" s="406">
        <f t="shared" ca="1" si="192"/>
        <v>0</v>
      </c>
      <c r="V51" s="320">
        <v>190799</v>
      </c>
      <c r="W51" s="320">
        <v>91961</v>
      </c>
      <c r="X51" s="320">
        <f>SUM(X42:X44)</f>
        <v>0</v>
      </c>
      <c r="Y51" s="406">
        <f t="shared" si="194"/>
        <v>0</v>
      </c>
      <c r="Z51" s="446">
        <f ca="1">SUM(Z42:Z50)</f>
        <v>1398051</v>
      </c>
      <c r="AA51" s="406">
        <f t="shared" ca="1" si="196"/>
        <v>0</v>
      </c>
      <c r="AB51" s="320">
        <v>155938</v>
      </c>
      <c r="AC51" s="320">
        <v>243442</v>
      </c>
      <c r="AD51" s="320">
        <f>SUM(AD42:AD44)</f>
        <v>0</v>
      </c>
      <c r="AE51" s="406">
        <f t="shared" si="197"/>
        <v>0</v>
      </c>
      <c r="AF51" s="446">
        <f ca="1">SUM(AF42:AF50)</f>
        <v>507613</v>
      </c>
      <c r="AG51" s="406">
        <f t="shared" ca="1" si="198"/>
        <v>0</v>
      </c>
      <c r="AH51" s="320">
        <v>172010</v>
      </c>
      <c r="AI51" s="320">
        <v>137315</v>
      </c>
      <c r="AJ51" s="320">
        <f>SUM(AJ42:AJ44)</f>
        <v>0</v>
      </c>
      <c r="AK51" s="406">
        <f t="shared" si="199"/>
        <v>0</v>
      </c>
      <c r="AL51" s="446">
        <f ca="1">SUM(AL42:AL50)</f>
        <v>435778</v>
      </c>
      <c r="AM51" s="406">
        <f t="shared" ca="1" si="200"/>
        <v>0</v>
      </c>
      <c r="AN51" s="320">
        <v>137219</v>
      </c>
      <c r="AO51" s="320">
        <v>240224</v>
      </c>
      <c r="AP51" s="320">
        <f>SUM(AP42:AP44)</f>
        <v>0</v>
      </c>
      <c r="AQ51" s="406">
        <f t="shared" si="201"/>
        <v>0</v>
      </c>
      <c r="AR51" s="446">
        <f ca="1">SUM(AR42:AR50)</f>
        <v>523399</v>
      </c>
      <c r="AS51" s="406">
        <f t="shared" ca="1" si="202"/>
        <v>0</v>
      </c>
      <c r="AT51" s="320">
        <v>287015</v>
      </c>
      <c r="AU51" s="320">
        <v>207820</v>
      </c>
      <c r="AV51" s="320">
        <f>SUM(AV42:AV44)</f>
        <v>0</v>
      </c>
      <c r="AW51" s="406">
        <f t="shared" si="204"/>
        <v>0</v>
      </c>
      <c r="AX51" s="446">
        <f ca="1">SUM(AX42:AX50)</f>
        <v>1466790</v>
      </c>
      <c r="AY51" s="406">
        <f t="shared" ca="1" si="206"/>
        <v>0</v>
      </c>
      <c r="AZ51" s="320">
        <v>249559</v>
      </c>
      <c r="BA51" s="320">
        <v>187324</v>
      </c>
      <c r="BB51" s="320">
        <f>SUM(BB42:BB44)</f>
        <v>0</v>
      </c>
      <c r="BC51" s="406">
        <f t="shared" si="207"/>
        <v>0</v>
      </c>
      <c r="BD51" s="446">
        <f ca="1">SUM(BD42:BD44)</f>
        <v>437888</v>
      </c>
      <c r="BE51" s="406">
        <f t="shared" ca="1" si="208"/>
        <v>0</v>
      </c>
      <c r="BF51" s="320">
        <v>303837</v>
      </c>
      <c r="BG51" s="320">
        <v>259712</v>
      </c>
      <c r="BH51" s="320">
        <f>SUM(BH42:BH44)</f>
        <v>0</v>
      </c>
      <c r="BI51" s="406">
        <f t="shared" si="209"/>
        <v>0</v>
      </c>
      <c r="BJ51" s="446">
        <f ca="1">SUM(BJ42:BJ44)</f>
        <v>546483</v>
      </c>
      <c r="BK51" s="406">
        <f t="shared" ca="1" si="210"/>
        <v>0</v>
      </c>
      <c r="BL51" s="320">
        <v>144862</v>
      </c>
      <c r="BM51" s="320">
        <v>247694</v>
      </c>
      <c r="BN51" s="320">
        <f>SUM(BN42:BN44)</f>
        <v>0</v>
      </c>
      <c r="BO51" s="406">
        <f t="shared" si="211"/>
        <v>0</v>
      </c>
      <c r="BP51" s="446">
        <f ca="1">SUM(BP42:BP44)</f>
        <v>345290</v>
      </c>
      <c r="BQ51" s="406">
        <f t="shared" ca="1" si="213"/>
        <v>0</v>
      </c>
      <c r="BR51" s="320">
        <v>0</v>
      </c>
      <c r="BS51" s="320">
        <v>0</v>
      </c>
      <c r="BT51" s="320">
        <f>SUM(BT42:BT44)</f>
        <v>0</v>
      </c>
      <c r="BU51" s="406">
        <f t="shared" si="215"/>
        <v>0</v>
      </c>
      <c r="BV51" s="446">
        <f ca="1">SUM(BV42:BV44)</f>
        <v>1329661</v>
      </c>
      <c r="BW51" s="406">
        <f t="shared" ca="1" si="217"/>
        <v>0</v>
      </c>
      <c r="BX51" s="320">
        <v>307419</v>
      </c>
      <c r="BY51" s="320">
        <v>305008</v>
      </c>
      <c r="BZ51" s="320">
        <f>SUM(BZ42:BZ44)</f>
        <v>0</v>
      </c>
      <c r="CA51" s="406">
        <f t="shared" si="218"/>
        <v>0</v>
      </c>
      <c r="CB51" s="446">
        <f ca="1">SUM(CB42:CB44)</f>
        <v>510015</v>
      </c>
      <c r="CC51" s="406">
        <f t="shared" ca="1" si="220"/>
        <v>0</v>
      </c>
      <c r="CD51" s="320">
        <v>212619</v>
      </c>
      <c r="CE51" s="320">
        <v>271106</v>
      </c>
      <c r="CF51" s="320">
        <f>SUM(CF42:CF44)</f>
        <v>0</v>
      </c>
      <c r="CG51" s="406">
        <f t="shared" si="221"/>
        <v>0</v>
      </c>
      <c r="CH51" s="446">
        <f ca="1">SUM(CH42:CH44)</f>
        <v>382911</v>
      </c>
      <c r="CI51" s="406">
        <f t="shared" ca="1" si="223"/>
        <v>0</v>
      </c>
      <c r="CJ51" s="320">
        <v>167926</v>
      </c>
      <c r="CK51" s="320">
        <v>188448</v>
      </c>
      <c r="CL51" s="320">
        <f>SUM(CL42:CL44)</f>
        <v>0</v>
      </c>
      <c r="CM51" s="406">
        <f t="shared" si="224"/>
        <v>0</v>
      </c>
      <c r="CN51" s="446">
        <f ca="1">SUM(CN42:CN44)</f>
        <v>355918</v>
      </c>
      <c r="CO51" s="406">
        <f t="shared" ca="1" si="226"/>
        <v>0</v>
      </c>
      <c r="CP51" s="320">
        <v>0</v>
      </c>
      <c r="CQ51" s="320">
        <v>0</v>
      </c>
      <c r="CR51" s="320">
        <f>SUM(CR42:CR44)</f>
        <v>0</v>
      </c>
      <c r="CS51" s="406">
        <f t="shared" si="228"/>
        <v>0</v>
      </c>
      <c r="CT51" s="446">
        <f ca="1">SUM(CT42:CT44)</f>
        <v>1248844</v>
      </c>
      <c r="CU51" s="406">
        <f t="shared" ca="1" si="230"/>
        <v>0</v>
      </c>
      <c r="CV51" s="320">
        <v>286402</v>
      </c>
      <c r="CW51" s="320">
        <v>140643</v>
      </c>
      <c r="CX51" s="320">
        <f>AV51+BT51+CR51</f>
        <v>0</v>
      </c>
      <c r="CY51" s="406">
        <f t="shared" si="232"/>
        <v>0</v>
      </c>
      <c r="CZ51" s="446">
        <f t="shared" ca="1" si="233"/>
        <v>4045295</v>
      </c>
      <c r="DA51" s="406">
        <f t="shared" ca="1" si="234"/>
        <v>0</v>
      </c>
    </row>
  </sheetData>
  <mergeCells count="18">
    <mergeCell ref="A1:C1"/>
    <mergeCell ref="BR1:BW1"/>
    <mergeCell ref="BX1:CC1"/>
    <mergeCell ref="CD1:CI1"/>
    <mergeCell ref="CJ1:CO1"/>
    <mergeCell ref="D1:I1"/>
    <mergeCell ref="J1:O1"/>
    <mergeCell ref="P1:U1"/>
    <mergeCell ref="V1:AA1"/>
    <mergeCell ref="AB1:AG1"/>
    <mergeCell ref="CP1:CU1"/>
    <mergeCell ref="CV1:DA1"/>
    <mergeCell ref="AH1:AM1"/>
    <mergeCell ref="AN1:AS1"/>
    <mergeCell ref="AT1:AY1"/>
    <mergeCell ref="AZ1:BE1"/>
    <mergeCell ref="BF1:BK1"/>
    <mergeCell ref="BL1:BQ1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088A-C227-4C4D-8570-6CBE62B8E584}">
  <sheetPr codeName="Sheet8">
    <tabColor theme="9" tint="0.39997558519241921"/>
  </sheetPr>
  <dimension ref="A1:BB5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0" sqref="G20"/>
    </sheetView>
  </sheetViews>
  <sheetFormatPr defaultColWidth="8.796875" defaultRowHeight="14.25"/>
  <cols>
    <col min="1" max="1" width="13.06640625" bestFit="1" customWidth="1"/>
    <col min="2" max="2" width="23.86328125" customWidth="1"/>
    <col min="3" max="3" width="10.46484375" bestFit="1" customWidth="1"/>
    <col min="4" max="4" width="11.59765625" bestFit="1" customWidth="1"/>
    <col min="5" max="5" width="11.59765625" customWidth="1"/>
    <col min="6" max="6" width="11.19921875" bestFit="1" customWidth="1"/>
    <col min="7" max="7" width="11.59765625" bestFit="1" customWidth="1"/>
    <col min="8" max="8" width="11.59765625" customWidth="1"/>
    <col min="9" max="9" width="11.19921875" bestFit="1" customWidth="1"/>
    <col min="10" max="10" width="12.796875" customWidth="1"/>
    <col min="11" max="11" width="11.59765625" customWidth="1"/>
    <col min="12" max="12" width="12" bestFit="1" customWidth="1"/>
    <col min="13" max="13" width="11.59765625" bestFit="1" customWidth="1"/>
    <col min="14" max="14" width="11.59765625" customWidth="1"/>
    <col min="15" max="15" width="11.796875" bestFit="1" customWidth="1"/>
    <col min="16" max="16" width="11.46484375" customWidth="1"/>
    <col min="17" max="17" width="11.59765625" customWidth="1"/>
    <col min="18" max="18" width="12.33203125" customWidth="1"/>
    <col min="19" max="19" width="11.796875" customWidth="1"/>
    <col min="20" max="20" width="11.59765625" customWidth="1"/>
    <col min="21" max="21" width="12" bestFit="1" customWidth="1"/>
    <col min="22" max="22" width="11.19921875" bestFit="1" customWidth="1"/>
    <col min="23" max="23" width="11.59765625" customWidth="1"/>
    <col min="24" max="24" width="12" bestFit="1" customWidth="1"/>
    <col min="25" max="25" width="11.796875" bestFit="1" customWidth="1"/>
    <col min="26" max="26" width="11.796875" customWidth="1"/>
    <col min="27" max="27" width="13.59765625" bestFit="1" customWidth="1"/>
    <col min="28" max="28" width="11" bestFit="1" customWidth="1"/>
    <col min="29" max="29" width="11.59765625" customWidth="1"/>
    <col min="30" max="31" width="12" bestFit="1" customWidth="1"/>
    <col min="32" max="32" width="11.59765625" customWidth="1"/>
    <col min="33" max="33" width="12" bestFit="1" customWidth="1"/>
    <col min="34" max="34" width="11.3984375" bestFit="1" customWidth="1"/>
    <col min="35" max="35" width="11.59765625" customWidth="1"/>
    <col min="36" max="36" width="12" bestFit="1" customWidth="1"/>
    <col min="37" max="37" width="12" customWidth="1"/>
    <col min="38" max="38" width="11.796875" customWidth="1"/>
    <col min="39" max="39" width="13.59765625" bestFit="1" customWidth="1"/>
    <col min="40" max="40" width="12" bestFit="1" customWidth="1"/>
    <col min="41" max="41" width="11.59765625" customWidth="1"/>
    <col min="42" max="43" width="12" bestFit="1" customWidth="1"/>
    <col min="44" max="44" width="11.59765625" customWidth="1"/>
    <col min="45" max="46" width="12" bestFit="1" customWidth="1"/>
    <col min="47" max="47" width="11.59765625" customWidth="1"/>
    <col min="48" max="49" width="12" bestFit="1" customWidth="1"/>
    <col min="50" max="50" width="11.796875" customWidth="1"/>
    <col min="51" max="51" width="12" bestFit="1" customWidth="1"/>
    <col min="52" max="54" width="13.59765625" bestFit="1" customWidth="1"/>
  </cols>
  <sheetData>
    <row r="1" spans="1:54" ht="15" customHeight="1" thickBot="1">
      <c r="A1" s="531" t="s">
        <v>172</v>
      </c>
      <c r="B1" s="531"/>
      <c r="C1" s="532"/>
      <c r="D1" s="545" t="s">
        <v>16</v>
      </c>
      <c r="E1" s="546"/>
      <c r="F1" s="546"/>
      <c r="G1" s="548" t="s">
        <v>22</v>
      </c>
      <c r="H1" s="549"/>
      <c r="I1" s="549"/>
      <c r="J1" s="545" t="s">
        <v>23</v>
      </c>
      <c r="K1" s="546"/>
      <c r="L1" s="546"/>
      <c r="M1" s="551" t="s">
        <v>24</v>
      </c>
      <c r="N1" s="552"/>
      <c r="O1" s="552"/>
      <c r="P1" s="545" t="s">
        <v>10</v>
      </c>
      <c r="Q1" s="546"/>
      <c r="R1" s="546"/>
      <c r="S1" s="498" t="s">
        <v>9</v>
      </c>
      <c r="T1" s="499"/>
      <c r="U1" s="499"/>
      <c r="V1" s="542" t="s">
        <v>15</v>
      </c>
      <c r="W1" s="543"/>
      <c r="X1" s="543"/>
      <c r="Y1" s="537" t="s">
        <v>25</v>
      </c>
      <c r="Z1" s="538"/>
      <c r="AA1" s="538"/>
      <c r="AB1" s="542" t="s">
        <v>8</v>
      </c>
      <c r="AC1" s="543"/>
      <c r="AD1" s="543"/>
      <c r="AE1" s="498" t="s">
        <v>12</v>
      </c>
      <c r="AF1" s="499"/>
      <c r="AG1" s="499"/>
      <c r="AH1" s="542" t="s">
        <v>14</v>
      </c>
      <c r="AI1" s="543"/>
      <c r="AJ1" s="543"/>
      <c r="AK1" s="537" t="s">
        <v>26</v>
      </c>
      <c r="AL1" s="538"/>
      <c r="AM1" s="538"/>
      <c r="AN1" s="542" t="s">
        <v>27</v>
      </c>
      <c r="AO1" s="543"/>
      <c r="AP1" s="543"/>
      <c r="AQ1" s="498" t="s">
        <v>17</v>
      </c>
      <c r="AR1" s="499"/>
      <c r="AS1" s="499"/>
      <c r="AT1" s="542" t="s">
        <v>28</v>
      </c>
      <c r="AU1" s="543"/>
      <c r="AV1" s="543"/>
      <c r="AW1" s="537" t="s">
        <v>29</v>
      </c>
      <c r="AX1" s="538"/>
      <c r="AY1" s="538"/>
      <c r="AZ1" s="540">
        <v>2021</v>
      </c>
      <c r="BA1" s="541"/>
      <c r="BB1" s="541"/>
    </row>
    <row r="2" spans="1:54" s="474" customFormat="1" ht="26.25">
      <c r="A2" s="66"/>
      <c r="B2" s="66" t="s">
        <v>149</v>
      </c>
      <c r="C2" s="66" t="s">
        <v>173</v>
      </c>
      <c r="D2" s="259" t="s">
        <v>174</v>
      </c>
      <c r="E2" s="259" t="s">
        <v>181</v>
      </c>
      <c r="F2" s="261" t="s">
        <v>34</v>
      </c>
      <c r="G2" s="259" t="s">
        <v>174</v>
      </c>
      <c r="H2" s="259" t="s">
        <v>181</v>
      </c>
      <c r="I2" s="261" t="s">
        <v>34</v>
      </c>
      <c r="J2" s="259" t="s">
        <v>174</v>
      </c>
      <c r="K2" s="259" t="s">
        <v>181</v>
      </c>
      <c r="L2" s="261" t="s">
        <v>34</v>
      </c>
      <c r="M2" s="259" t="s">
        <v>174</v>
      </c>
      <c r="N2" s="259" t="s">
        <v>181</v>
      </c>
      <c r="O2" s="261" t="s">
        <v>34</v>
      </c>
      <c r="P2" s="259" t="s">
        <v>174</v>
      </c>
      <c r="Q2" s="259" t="s">
        <v>181</v>
      </c>
      <c r="R2" s="261" t="s">
        <v>34</v>
      </c>
      <c r="S2" s="259" t="s">
        <v>174</v>
      </c>
      <c r="T2" s="259" t="s">
        <v>181</v>
      </c>
      <c r="U2" s="261" t="s">
        <v>34</v>
      </c>
      <c r="V2" s="259" t="s">
        <v>174</v>
      </c>
      <c r="W2" s="259" t="s">
        <v>181</v>
      </c>
      <c r="X2" s="261" t="s">
        <v>34</v>
      </c>
      <c r="Y2" s="259" t="s">
        <v>174</v>
      </c>
      <c r="Z2" s="259" t="s">
        <v>181</v>
      </c>
      <c r="AA2" s="261" t="s">
        <v>34</v>
      </c>
      <c r="AB2" s="259" t="s">
        <v>174</v>
      </c>
      <c r="AC2" s="259" t="s">
        <v>181</v>
      </c>
      <c r="AD2" s="261" t="s">
        <v>34</v>
      </c>
      <c r="AE2" s="259" t="s">
        <v>174</v>
      </c>
      <c r="AF2" s="259" t="s">
        <v>181</v>
      </c>
      <c r="AG2" s="261" t="s">
        <v>34</v>
      </c>
      <c r="AH2" s="259" t="s">
        <v>174</v>
      </c>
      <c r="AI2" s="259" t="s">
        <v>181</v>
      </c>
      <c r="AJ2" s="261" t="s">
        <v>34</v>
      </c>
      <c r="AK2" s="259" t="s">
        <v>174</v>
      </c>
      <c r="AL2" s="259" t="s">
        <v>181</v>
      </c>
      <c r="AM2" s="261" t="s">
        <v>34</v>
      </c>
      <c r="AN2" s="259" t="s">
        <v>174</v>
      </c>
      <c r="AO2" s="259" t="s">
        <v>181</v>
      </c>
      <c r="AP2" s="261" t="s">
        <v>34</v>
      </c>
      <c r="AQ2" s="259" t="s">
        <v>174</v>
      </c>
      <c r="AR2" s="259" t="s">
        <v>181</v>
      </c>
      <c r="AS2" s="261" t="s">
        <v>34</v>
      </c>
      <c r="AT2" s="259" t="s">
        <v>174</v>
      </c>
      <c r="AU2" s="259" t="s">
        <v>181</v>
      </c>
      <c r="AV2" s="261" t="s">
        <v>34</v>
      </c>
      <c r="AW2" s="259" t="s">
        <v>174</v>
      </c>
      <c r="AX2" s="259" t="s">
        <v>181</v>
      </c>
      <c r="AY2" s="261" t="s">
        <v>34</v>
      </c>
      <c r="AZ2" s="259" t="s">
        <v>174</v>
      </c>
      <c r="BA2" s="259" t="s">
        <v>181</v>
      </c>
      <c r="BB2" s="261" t="s">
        <v>34</v>
      </c>
    </row>
    <row r="3" spans="1:54">
      <c r="A3" s="67" t="s">
        <v>156</v>
      </c>
      <c r="B3" s="68" t="s">
        <v>179</v>
      </c>
      <c r="C3" s="291"/>
      <c r="D3" s="292"/>
      <c r="E3" s="292"/>
      <c r="F3" s="293"/>
      <c r="G3" s="353"/>
      <c r="H3" s="292"/>
      <c r="I3" s="293"/>
      <c r="J3" s="353"/>
      <c r="K3" s="292"/>
      <c r="L3" s="293"/>
      <c r="M3" s="354"/>
      <c r="N3" s="354"/>
      <c r="O3" s="295">
        <f t="shared" ref="O3:O9" si="0">F3+I3+L3</f>
        <v>0</v>
      </c>
      <c r="P3" s="353"/>
      <c r="Q3" s="292"/>
      <c r="R3" s="293"/>
      <c r="S3" s="353"/>
      <c r="T3" s="292"/>
      <c r="U3" s="293"/>
      <c r="V3" s="353"/>
      <c r="W3" s="292"/>
      <c r="X3" s="293"/>
      <c r="Y3" s="354"/>
      <c r="Z3" s="354"/>
      <c r="AA3" s="295"/>
      <c r="AB3" s="353"/>
      <c r="AC3" s="292"/>
      <c r="AD3" s="293"/>
      <c r="AE3" s="353"/>
      <c r="AF3" s="292"/>
      <c r="AG3" s="293"/>
      <c r="AH3" s="353"/>
      <c r="AI3" s="292"/>
      <c r="AJ3" s="293"/>
      <c r="AK3" s="354"/>
      <c r="AL3" s="354"/>
      <c r="AM3" s="295">
        <f t="shared" ref="AM3:AM9" si="1">AD3+AG3+AJ3</f>
        <v>0</v>
      </c>
      <c r="AN3" s="353"/>
      <c r="AO3" s="292"/>
      <c r="AP3" s="293"/>
      <c r="AQ3" s="353"/>
      <c r="AR3" s="292"/>
      <c r="AS3" s="293"/>
      <c r="AT3" s="353"/>
      <c r="AU3" s="292"/>
      <c r="AV3" s="293"/>
      <c r="AW3" s="354"/>
      <c r="AX3" s="354"/>
      <c r="AY3" s="295">
        <f t="shared" ref="AY3:AY9" si="2">AP3+AS3+AV3</f>
        <v>0</v>
      </c>
      <c r="AZ3" s="355"/>
      <c r="BA3" s="355"/>
      <c r="BB3" s="298">
        <f t="shared" ref="BB3:BB9" si="3">O3+AA3+AM3+AY3</f>
        <v>0</v>
      </c>
    </row>
    <row r="4" spans="1:54">
      <c r="A4" s="67"/>
      <c r="B4" s="465" t="s">
        <v>179</v>
      </c>
      <c r="C4" s="300"/>
      <c r="D4" s="353"/>
      <c r="E4" s="353"/>
      <c r="F4" s="293"/>
      <c r="G4" s="353"/>
      <c r="H4" s="353"/>
      <c r="I4" s="293"/>
      <c r="J4" s="353"/>
      <c r="K4" s="353"/>
      <c r="L4" s="293"/>
      <c r="M4" s="354"/>
      <c r="N4" s="354"/>
      <c r="O4" s="295">
        <f t="shared" si="0"/>
        <v>0</v>
      </c>
      <c r="P4" s="353"/>
      <c r="Q4" s="353"/>
      <c r="R4" s="293"/>
      <c r="S4" s="353"/>
      <c r="T4" s="353"/>
      <c r="U4" s="293"/>
      <c r="V4" s="353"/>
      <c r="W4" s="353"/>
      <c r="X4" s="293"/>
      <c r="Y4" s="354"/>
      <c r="Z4" s="354"/>
      <c r="AA4" s="295"/>
      <c r="AB4" s="353"/>
      <c r="AC4" s="353"/>
      <c r="AD4" s="293"/>
      <c r="AE4" s="353"/>
      <c r="AF4" s="353"/>
      <c r="AG4" s="293"/>
      <c r="AH4" s="353"/>
      <c r="AI4" s="353"/>
      <c r="AJ4" s="293"/>
      <c r="AK4" s="354"/>
      <c r="AL4" s="354"/>
      <c r="AM4" s="295">
        <f t="shared" si="1"/>
        <v>0</v>
      </c>
      <c r="AN4" s="353"/>
      <c r="AO4" s="353"/>
      <c r="AP4" s="293"/>
      <c r="AQ4" s="353"/>
      <c r="AR4" s="353"/>
      <c r="AS4" s="293"/>
      <c r="AT4" s="353"/>
      <c r="AU4" s="353"/>
      <c r="AV4" s="293"/>
      <c r="AW4" s="354"/>
      <c r="AX4" s="354"/>
      <c r="AY4" s="295">
        <f t="shared" si="2"/>
        <v>0</v>
      </c>
      <c r="AZ4" s="355"/>
      <c r="BA4" s="355"/>
      <c r="BB4" s="298">
        <f t="shared" si="3"/>
        <v>0</v>
      </c>
    </row>
    <row r="5" spans="1:54">
      <c r="A5" s="67"/>
      <c r="B5" s="465" t="s">
        <v>178</v>
      </c>
      <c r="C5" s="300"/>
      <c r="D5" s="353"/>
      <c r="E5" s="353"/>
      <c r="F5" s="293"/>
      <c r="G5" s="353"/>
      <c r="H5" s="353"/>
      <c r="I5" s="293"/>
      <c r="J5" s="353"/>
      <c r="K5" s="353"/>
      <c r="L5" s="293"/>
      <c r="M5" s="354"/>
      <c r="N5" s="354"/>
      <c r="O5" s="295">
        <f t="shared" si="0"/>
        <v>0</v>
      </c>
      <c r="P5" s="353"/>
      <c r="Q5" s="353"/>
      <c r="R5" s="293"/>
      <c r="S5" s="353"/>
      <c r="T5" s="353"/>
      <c r="U5" s="293"/>
      <c r="V5" s="353"/>
      <c r="W5" s="353"/>
      <c r="X5" s="293"/>
      <c r="Y5" s="354"/>
      <c r="Z5" s="354"/>
      <c r="AA5" s="295"/>
      <c r="AB5" s="292"/>
      <c r="AC5" s="353"/>
      <c r="AD5" s="293"/>
      <c r="AE5" s="292"/>
      <c r="AF5" s="353"/>
      <c r="AG5" s="293"/>
      <c r="AH5" s="292"/>
      <c r="AI5" s="353"/>
      <c r="AJ5" s="293"/>
      <c r="AK5" s="294"/>
      <c r="AL5" s="354"/>
      <c r="AM5" s="295">
        <f t="shared" si="1"/>
        <v>0</v>
      </c>
      <c r="AN5" s="292"/>
      <c r="AO5" s="353"/>
      <c r="AP5" s="293"/>
      <c r="AQ5" s="292"/>
      <c r="AR5" s="353"/>
      <c r="AS5" s="293"/>
      <c r="AT5" s="292"/>
      <c r="AU5" s="353"/>
      <c r="AV5" s="293"/>
      <c r="AW5" s="294"/>
      <c r="AX5" s="354"/>
      <c r="AY5" s="295">
        <f t="shared" si="2"/>
        <v>0</v>
      </c>
      <c r="AZ5" s="355"/>
      <c r="BA5" s="355"/>
      <c r="BB5" s="298">
        <f t="shared" si="3"/>
        <v>0</v>
      </c>
    </row>
    <row r="6" spans="1:54">
      <c r="A6" s="67"/>
      <c r="B6" s="68" t="s">
        <v>179</v>
      </c>
      <c r="C6" s="291"/>
      <c r="D6" s="292"/>
      <c r="E6" s="292"/>
      <c r="F6" s="293"/>
      <c r="G6" s="292"/>
      <c r="H6" s="292"/>
      <c r="I6" s="293"/>
      <c r="J6" s="292"/>
      <c r="K6" s="292"/>
      <c r="L6" s="293"/>
      <c r="M6" s="294"/>
      <c r="N6" s="294"/>
      <c r="O6" s="295">
        <f t="shared" si="0"/>
        <v>0</v>
      </c>
      <c r="P6" s="353"/>
      <c r="Q6" s="292"/>
      <c r="R6" s="293"/>
      <c r="S6" s="353"/>
      <c r="T6" s="292"/>
      <c r="U6" s="293"/>
      <c r="V6" s="353"/>
      <c r="W6" s="292"/>
      <c r="X6" s="293"/>
      <c r="Y6" s="354"/>
      <c r="Z6" s="354"/>
      <c r="AA6" s="295"/>
      <c r="AB6" s="353"/>
      <c r="AC6" s="292"/>
      <c r="AD6" s="293"/>
      <c r="AE6" s="353"/>
      <c r="AF6" s="292"/>
      <c r="AG6" s="293"/>
      <c r="AH6" s="353"/>
      <c r="AI6" s="292"/>
      <c r="AJ6" s="293"/>
      <c r="AK6" s="354"/>
      <c r="AL6" s="354"/>
      <c r="AM6" s="295">
        <f t="shared" si="1"/>
        <v>0</v>
      </c>
      <c r="AN6" s="353"/>
      <c r="AO6" s="292"/>
      <c r="AP6" s="293"/>
      <c r="AQ6" s="353"/>
      <c r="AR6" s="292"/>
      <c r="AS6" s="293"/>
      <c r="AT6" s="353"/>
      <c r="AU6" s="292"/>
      <c r="AV6" s="293"/>
      <c r="AW6" s="354"/>
      <c r="AX6" s="354"/>
      <c r="AY6" s="295">
        <f t="shared" si="2"/>
        <v>0</v>
      </c>
      <c r="AZ6" s="355"/>
      <c r="BA6" s="355"/>
      <c r="BB6" s="298">
        <f t="shared" si="3"/>
        <v>0</v>
      </c>
    </row>
    <row r="7" spans="1:54">
      <c r="A7" s="67"/>
      <c r="B7" s="68" t="s">
        <v>178</v>
      </c>
      <c r="C7" s="291"/>
      <c r="D7" s="292"/>
      <c r="E7" s="292"/>
      <c r="F7" s="293"/>
      <c r="G7" s="292"/>
      <c r="H7" s="292"/>
      <c r="I7" s="293"/>
      <c r="J7" s="292"/>
      <c r="K7" s="292"/>
      <c r="L7" s="293"/>
      <c r="M7" s="294"/>
      <c r="N7" s="294"/>
      <c r="O7" s="295">
        <f t="shared" si="0"/>
        <v>0</v>
      </c>
      <c r="P7" s="292"/>
      <c r="Q7" s="292"/>
      <c r="R7" s="293"/>
      <c r="S7" s="292"/>
      <c r="T7" s="292"/>
      <c r="U7" s="293"/>
      <c r="V7" s="292"/>
      <c r="W7" s="292"/>
      <c r="X7" s="293"/>
      <c r="Y7" s="294"/>
      <c r="Z7" s="294"/>
      <c r="AA7" s="295"/>
      <c r="AB7" s="292"/>
      <c r="AC7" s="292"/>
      <c r="AD7" s="293"/>
      <c r="AE7" s="292"/>
      <c r="AF7" s="292"/>
      <c r="AG7" s="293"/>
      <c r="AH7" s="292"/>
      <c r="AI7" s="292"/>
      <c r="AJ7" s="293"/>
      <c r="AK7" s="294"/>
      <c r="AL7" s="294"/>
      <c r="AM7" s="295">
        <f t="shared" si="1"/>
        <v>0</v>
      </c>
      <c r="AN7" s="292"/>
      <c r="AO7" s="292"/>
      <c r="AP7" s="293"/>
      <c r="AQ7" s="292"/>
      <c r="AR7" s="292"/>
      <c r="AS7" s="293"/>
      <c r="AT7" s="292"/>
      <c r="AU7" s="292"/>
      <c r="AV7" s="293"/>
      <c r="AW7" s="294"/>
      <c r="AX7" s="294"/>
      <c r="AY7" s="295">
        <f t="shared" si="2"/>
        <v>0</v>
      </c>
      <c r="AZ7" s="297"/>
      <c r="BA7" s="297"/>
      <c r="BB7" s="298">
        <f t="shared" si="3"/>
        <v>0</v>
      </c>
    </row>
    <row r="8" spans="1:54">
      <c r="A8" s="67"/>
      <c r="B8" s="68" t="s">
        <v>178</v>
      </c>
      <c r="C8" s="291"/>
      <c r="D8" s="292"/>
      <c r="E8" s="292"/>
      <c r="F8" s="293"/>
      <c r="G8" s="292"/>
      <c r="H8" s="292"/>
      <c r="I8" s="293"/>
      <c r="J8" s="292"/>
      <c r="K8" s="292"/>
      <c r="L8" s="293"/>
      <c r="M8" s="294"/>
      <c r="N8" s="294"/>
      <c r="O8" s="295">
        <f t="shared" si="0"/>
        <v>0</v>
      </c>
      <c r="P8" s="292"/>
      <c r="Q8" s="292"/>
      <c r="R8" s="293"/>
      <c r="S8" s="292"/>
      <c r="T8" s="292"/>
      <c r="U8" s="293"/>
      <c r="V8" s="292"/>
      <c r="W8" s="292"/>
      <c r="X8" s="293"/>
      <c r="Y8" s="294"/>
      <c r="Z8" s="294"/>
      <c r="AA8" s="295"/>
      <c r="AB8" s="292"/>
      <c r="AC8" s="292"/>
      <c r="AD8" s="293"/>
      <c r="AE8" s="292"/>
      <c r="AF8" s="292"/>
      <c r="AG8" s="293"/>
      <c r="AH8" s="292"/>
      <c r="AI8" s="292"/>
      <c r="AJ8" s="293"/>
      <c r="AK8" s="294"/>
      <c r="AL8" s="294"/>
      <c r="AM8" s="295">
        <f t="shared" si="1"/>
        <v>0</v>
      </c>
      <c r="AN8" s="292"/>
      <c r="AO8" s="292"/>
      <c r="AP8" s="293"/>
      <c r="AQ8" s="292"/>
      <c r="AR8" s="292"/>
      <c r="AS8" s="293"/>
      <c r="AT8" s="292"/>
      <c r="AU8" s="292"/>
      <c r="AV8" s="293"/>
      <c r="AW8" s="294"/>
      <c r="AX8" s="294"/>
      <c r="AY8" s="295">
        <f t="shared" si="2"/>
        <v>0</v>
      </c>
      <c r="AZ8" s="297"/>
      <c r="BA8" s="297"/>
      <c r="BB8" s="298">
        <f t="shared" si="3"/>
        <v>0</v>
      </c>
    </row>
    <row r="9" spans="1:54">
      <c r="A9" s="67"/>
      <c r="B9" s="386" t="s">
        <v>178</v>
      </c>
      <c r="C9" s="387"/>
      <c r="D9" s="388"/>
      <c r="E9" s="388"/>
      <c r="F9" s="389"/>
      <c r="G9" s="388"/>
      <c r="H9" s="388"/>
      <c r="I9" s="389"/>
      <c r="J9" s="388"/>
      <c r="K9" s="388"/>
      <c r="L9" s="389"/>
      <c r="M9" s="390"/>
      <c r="N9" s="390"/>
      <c r="O9" s="295">
        <f t="shared" si="0"/>
        <v>0</v>
      </c>
      <c r="P9" s="388"/>
      <c r="Q9" s="388"/>
      <c r="R9" s="389"/>
      <c r="S9" s="388"/>
      <c r="T9" s="388"/>
      <c r="U9" s="389"/>
      <c r="V9" s="388"/>
      <c r="W9" s="388"/>
      <c r="X9" s="389"/>
      <c r="Y9" s="390"/>
      <c r="Z9" s="390"/>
      <c r="AA9" s="295"/>
      <c r="AB9" s="388"/>
      <c r="AC9" s="388"/>
      <c r="AD9" s="389"/>
      <c r="AE9" s="388"/>
      <c r="AF9" s="388"/>
      <c r="AG9" s="389"/>
      <c r="AH9" s="388"/>
      <c r="AI9" s="388"/>
      <c r="AJ9" s="389"/>
      <c r="AK9" s="390"/>
      <c r="AL9" s="390"/>
      <c r="AM9" s="295">
        <f t="shared" si="1"/>
        <v>0</v>
      </c>
      <c r="AN9" s="388"/>
      <c r="AO9" s="388"/>
      <c r="AP9" s="389"/>
      <c r="AQ9" s="388"/>
      <c r="AR9" s="388"/>
      <c r="AS9" s="389"/>
      <c r="AT9" s="388"/>
      <c r="AU9" s="388"/>
      <c r="AV9" s="389"/>
      <c r="AW9" s="390"/>
      <c r="AX9" s="390"/>
      <c r="AY9" s="295">
        <f t="shared" si="2"/>
        <v>0</v>
      </c>
      <c r="AZ9" s="393"/>
      <c r="BA9" s="393"/>
      <c r="BB9" s="298">
        <f t="shared" si="3"/>
        <v>0</v>
      </c>
    </row>
    <row r="10" spans="1:54" ht="4.05" customHeight="1">
      <c r="A10" s="253"/>
      <c r="B10" s="254"/>
      <c r="C10" s="255"/>
      <c r="D10" s="255"/>
      <c r="E10" s="255"/>
      <c r="F10" s="255"/>
      <c r="G10" s="256"/>
      <c r="H10" s="255"/>
      <c r="I10" s="255"/>
      <c r="J10" s="255"/>
      <c r="K10" s="255"/>
      <c r="L10" s="256"/>
      <c r="M10" s="255"/>
      <c r="N10" s="255"/>
      <c r="O10" s="255"/>
      <c r="P10" s="255"/>
      <c r="Q10" s="255"/>
      <c r="R10" s="255"/>
      <c r="S10" s="255"/>
      <c r="T10" s="255"/>
      <c r="U10" s="255"/>
      <c r="V10" s="257"/>
      <c r="W10" s="255"/>
      <c r="X10" s="258"/>
      <c r="Y10" s="258"/>
      <c r="Z10" s="258"/>
      <c r="AA10" s="258"/>
      <c r="AB10" s="258"/>
      <c r="AC10" s="255"/>
      <c r="AD10" s="258"/>
      <c r="AE10" s="258"/>
      <c r="AF10" s="255"/>
      <c r="AG10" s="258"/>
      <c r="AH10" s="258"/>
      <c r="AI10" s="255"/>
      <c r="AJ10" s="258"/>
      <c r="AK10" s="258"/>
      <c r="AL10" s="258"/>
      <c r="AM10" s="258"/>
      <c r="AN10" s="258"/>
      <c r="AO10" s="255"/>
      <c r="AP10" s="258"/>
      <c r="AQ10" s="258"/>
      <c r="AR10" s="255"/>
      <c r="AS10" s="258"/>
      <c r="AT10" s="258"/>
      <c r="AU10" s="255"/>
      <c r="AV10" s="258"/>
      <c r="AW10" s="258"/>
      <c r="AX10" s="258"/>
      <c r="AY10" s="258"/>
      <c r="AZ10" s="258"/>
      <c r="BA10" s="258"/>
      <c r="BB10" s="258"/>
    </row>
    <row r="11" spans="1:54">
      <c r="A11" s="70" t="s">
        <v>89</v>
      </c>
      <c r="B11" s="341" t="s">
        <v>90</v>
      </c>
      <c r="C11" s="342"/>
      <c r="D11" s="229">
        <f t="shared" ref="D11:L11" si="4">D25</f>
        <v>0</v>
      </c>
      <c r="E11" s="229">
        <f t="shared" ref="E11" si="5">E25</f>
        <v>0</v>
      </c>
      <c r="F11" s="312">
        <f t="shared" si="4"/>
        <v>0</v>
      </c>
      <c r="G11" s="229">
        <f t="shared" si="4"/>
        <v>0</v>
      </c>
      <c r="H11" s="229">
        <f t="shared" si="4"/>
        <v>0</v>
      </c>
      <c r="I11" s="312">
        <f t="shared" si="4"/>
        <v>0</v>
      </c>
      <c r="J11" s="229">
        <f t="shared" si="4"/>
        <v>99769</v>
      </c>
      <c r="K11" s="229">
        <f t="shared" si="4"/>
        <v>34596</v>
      </c>
      <c r="L11" s="312">
        <f t="shared" ca="1" si="4"/>
        <v>183406</v>
      </c>
      <c r="M11" s="294">
        <f t="shared" ref="M11:N14" si="6">D11+G11+J11</f>
        <v>99769</v>
      </c>
      <c r="N11" s="294">
        <f t="shared" si="6"/>
        <v>34596</v>
      </c>
      <c r="O11" s="314">
        <f t="shared" ref="O11:O14" ca="1" si="7">F11+I11+L11</f>
        <v>183406</v>
      </c>
      <c r="P11" s="229">
        <f t="shared" ref="P11:X11" si="8">P25</f>
        <v>78209</v>
      </c>
      <c r="Q11" s="229">
        <f t="shared" si="8"/>
        <v>48849</v>
      </c>
      <c r="R11" s="312">
        <f t="shared" ca="1" si="8"/>
        <v>145978</v>
      </c>
      <c r="S11" s="229">
        <f t="shared" si="8"/>
        <v>62403</v>
      </c>
      <c r="T11" s="229">
        <f t="shared" ref="T11" si="9">T25</f>
        <v>23569</v>
      </c>
      <c r="U11" s="312">
        <f t="shared" ca="1" si="8"/>
        <v>96975</v>
      </c>
      <c r="V11" s="229">
        <f t="shared" si="8"/>
        <v>36105</v>
      </c>
      <c r="W11" s="229">
        <f t="shared" si="8"/>
        <v>99592</v>
      </c>
      <c r="X11" s="312">
        <f t="shared" ca="1" si="8"/>
        <v>151629</v>
      </c>
      <c r="Y11" s="294">
        <f t="shared" ref="Y11:Z14" si="10">P11+S11+V11</f>
        <v>176717</v>
      </c>
      <c r="Z11" s="294">
        <f t="shared" si="10"/>
        <v>172010</v>
      </c>
      <c r="AA11" s="314">
        <f t="shared" ref="AA11:AA14" ca="1" si="11">R11+U11+X11</f>
        <v>394582</v>
      </c>
      <c r="AB11" s="229">
        <f t="shared" ref="AB11:AJ11" si="12">AB25</f>
        <v>27774</v>
      </c>
      <c r="AC11" s="229">
        <f t="shared" si="12"/>
        <v>47368</v>
      </c>
      <c r="AD11" s="312">
        <f t="shared" ca="1" si="12"/>
        <v>123568</v>
      </c>
      <c r="AE11" s="229">
        <f t="shared" si="12"/>
        <v>61999</v>
      </c>
      <c r="AF11" s="229">
        <f t="shared" ref="AF11" si="13">AF25</f>
        <v>13384</v>
      </c>
      <c r="AG11" s="312">
        <f t="shared" ca="1" si="12"/>
        <v>107209</v>
      </c>
      <c r="AH11" s="229">
        <f t="shared" si="12"/>
        <v>62499</v>
      </c>
      <c r="AI11" s="229">
        <f t="shared" ref="AI11" si="14">AI25</f>
        <v>27270</v>
      </c>
      <c r="AJ11" s="312">
        <f t="shared" ca="1" si="12"/>
        <v>95539</v>
      </c>
      <c r="AK11" s="294">
        <f t="shared" ref="AK11:AM14" si="15">AB11+AE11+AH11</f>
        <v>152272</v>
      </c>
      <c r="AL11" s="294">
        <f t="shared" si="15"/>
        <v>88022</v>
      </c>
      <c r="AM11" s="314">
        <f t="shared" ca="1" si="15"/>
        <v>326316</v>
      </c>
      <c r="AN11" s="229">
        <f t="shared" ref="AN11:AV11" si="16">AN25</f>
        <v>98159</v>
      </c>
      <c r="AO11" s="229">
        <f t="shared" si="16"/>
        <v>64707</v>
      </c>
      <c r="AP11" s="312">
        <f t="shared" ca="1" si="16"/>
        <v>202124</v>
      </c>
      <c r="AQ11" s="229">
        <f t="shared" si="16"/>
        <v>85655</v>
      </c>
      <c r="AR11" s="229">
        <f t="shared" ref="AR11" si="17">AR25</f>
        <v>21618</v>
      </c>
      <c r="AS11" s="312">
        <f t="shared" ca="1" si="16"/>
        <v>117240</v>
      </c>
      <c r="AT11" s="229">
        <f t="shared" si="16"/>
        <v>39926</v>
      </c>
      <c r="AU11" s="229">
        <f t="shared" si="16"/>
        <v>53684</v>
      </c>
      <c r="AV11" s="312">
        <f t="shared" ca="1" si="16"/>
        <v>135353</v>
      </c>
      <c r="AW11" s="294">
        <f t="shared" ref="AW11:AX14" si="18">AN11+AQ11+AT11</f>
        <v>223740</v>
      </c>
      <c r="AX11" s="294">
        <f t="shared" si="18"/>
        <v>140009</v>
      </c>
      <c r="AY11" s="314">
        <f t="shared" ref="AY11:AY14" ca="1" si="19">AP11+AS11+AV11</f>
        <v>454717</v>
      </c>
      <c r="AZ11" s="297">
        <f t="shared" ref="AZ11:BA15" si="20">M11+Y11+AK11+AW11</f>
        <v>652498</v>
      </c>
      <c r="BA11" s="297">
        <f t="shared" si="20"/>
        <v>434637</v>
      </c>
      <c r="BB11" s="317">
        <f t="shared" ref="BB11:BB15" ca="1" si="21">O11+AA11+AM11+AY11</f>
        <v>1359021</v>
      </c>
    </row>
    <row r="12" spans="1:54">
      <c r="A12" s="67" t="s">
        <v>91</v>
      </c>
      <c r="B12" s="343" t="s">
        <v>90</v>
      </c>
      <c r="C12" s="344"/>
      <c r="D12" s="229">
        <f t="shared" ref="D12:L12" si="22">D34</f>
        <v>0</v>
      </c>
      <c r="E12" s="229">
        <f t="shared" ref="E12" si="23">E34</f>
        <v>0</v>
      </c>
      <c r="F12" s="319">
        <f t="shared" si="22"/>
        <v>0</v>
      </c>
      <c r="G12" s="229">
        <f t="shared" si="22"/>
        <v>0</v>
      </c>
      <c r="H12" s="229">
        <f t="shared" si="22"/>
        <v>0</v>
      </c>
      <c r="I12" s="319">
        <f t="shared" si="22"/>
        <v>0</v>
      </c>
      <c r="J12" s="229">
        <f t="shared" si="22"/>
        <v>0</v>
      </c>
      <c r="K12" s="229">
        <f t="shared" si="22"/>
        <v>0</v>
      </c>
      <c r="L12" s="319">
        <f t="shared" si="22"/>
        <v>0</v>
      </c>
      <c r="M12" s="294">
        <f t="shared" si="6"/>
        <v>0</v>
      </c>
      <c r="N12" s="294">
        <f t="shared" si="6"/>
        <v>0</v>
      </c>
      <c r="O12" s="295">
        <f t="shared" si="7"/>
        <v>0</v>
      </c>
      <c r="P12" s="229">
        <f t="shared" ref="P12:X12" si="24">P34</f>
        <v>65497</v>
      </c>
      <c r="Q12" s="229">
        <f t="shared" si="24"/>
        <v>97172</v>
      </c>
      <c r="R12" s="319">
        <f t="shared" ca="1" si="24"/>
        <v>174338</v>
      </c>
      <c r="S12" s="229">
        <f t="shared" si="24"/>
        <v>26758</v>
      </c>
      <c r="T12" s="229">
        <f t="shared" ref="T12" si="25">T34</f>
        <v>56144</v>
      </c>
      <c r="U12" s="319">
        <f t="shared" ca="1" si="24"/>
        <v>125790</v>
      </c>
      <c r="V12" s="229">
        <f t="shared" si="24"/>
        <v>28567</v>
      </c>
      <c r="W12" s="229">
        <f t="shared" si="24"/>
        <v>88760</v>
      </c>
      <c r="X12" s="319">
        <f t="shared" ca="1" si="24"/>
        <v>153138</v>
      </c>
      <c r="Y12" s="294">
        <f t="shared" si="10"/>
        <v>120822</v>
      </c>
      <c r="Z12" s="294">
        <f t="shared" si="10"/>
        <v>242076</v>
      </c>
      <c r="AA12" s="295">
        <f t="shared" ca="1" si="11"/>
        <v>453266</v>
      </c>
      <c r="AB12" s="229">
        <f t="shared" ref="AB12:AJ12" si="26">AB34</f>
        <v>10538</v>
      </c>
      <c r="AC12" s="229">
        <f t="shared" si="26"/>
        <v>75375</v>
      </c>
      <c r="AD12" s="319">
        <f t="shared" ca="1" si="26"/>
        <v>120832</v>
      </c>
      <c r="AE12" s="229">
        <f t="shared" si="26"/>
        <v>87093</v>
      </c>
      <c r="AF12" s="229">
        <f t="shared" ref="AF12" si="27">AF34</f>
        <v>75513</v>
      </c>
      <c r="AG12" s="319">
        <f t="shared" ca="1" si="26"/>
        <v>170519</v>
      </c>
      <c r="AH12" s="229">
        <f t="shared" si="26"/>
        <v>16084</v>
      </c>
      <c r="AI12" s="229">
        <f t="shared" ref="AI12" si="28">AI34</f>
        <v>88504</v>
      </c>
      <c r="AJ12" s="319">
        <f t="shared" ca="1" si="26"/>
        <v>121527</v>
      </c>
      <c r="AK12" s="294">
        <f t="shared" si="15"/>
        <v>113715</v>
      </c>
      <c r="AL12" s="294">
        <f t="shared" si="15"/>
        <v>239392</v>
      </c>
      <c r="AM12" s="295">
        <f t="shared" ca="1" si="15"/>
        <v>412878</v>
      </c>
      <c r="AN12" s="229">
        <f t="shared" ref="AN12:AV12" si="29">AN34</f>
        <v>96368</v>
      </c>
      <c r="AO12" s="229">
        <f t="shared" si="29"/>
        <v>77546</v>
      </c>
      <c r="AP12" s="319">
        <f t="shared" ca="1" si="29"/>
        <v>189157</v>
      </c>
      <c r="AQ12" s="229">
        <f t="shared" si="29"/>
        <v>51448</v>
      </c>
      <c r="AR12" s="229">
        <f t="shared" ref="AR12" si="30">AR34</f>
        <v>24540</v>
      </c>
      <c r="AS12" s="319">
        <f t="shared" ca="1" si="29"/>
        <v>102037</v>
      </c>
      <c r="AT12" s="229">
        <f t="shared" si="29"/>
        <v>14786</v>
      </c>
      <c r="AU12" s="229">
        <f t="shared" si="29"/>
        <v>35542</v>
      </c>
      <c r="AV12" s="319">
        <f t="shared" ca="1" si="29"/>
        <v>88937</v>
      </c>
      <c r="AW12" s="294">
        <f t="shared" si="18"/>
        <v>162602</v>
      </c>
      <c r="AX12" s="294">
        <f t="shared" si="18"/>
        <v>137628</v>
      </c>
      <c r="AY12" s="295">
        <f t="shared" ca="1" si="19"/>
        <v>380131</v>
      </c>
      <c r="AZ12" s="297">
        <f t="shared" si="20"/>
        <v>397139</v>
      </c>
      <c r="BA12" s="297">
        <f t="shared" si="20"/>
        <v>619096</v>
      </c>
      <c r="BB12" s="298">
        <f t="shared" ca="1" si="21"/>
        <v>1246275</v>
      </c>
    </row>
    <row r="13" spans="1:54">
      <c r="A13" s="67" t="s">
        <v>92</v>
      </c>
      <c r="B13" s="343" t="s">
        <v>90</v>
      </c>
      <c r="C13" s="344"/>
      <c r="D13" s="229">
        <f t="shared" ref="D13:L13" si="31">D42</f>
        <v>0</v>
      </c>
      <c r="E13" s="229">
        <f t="shared" ref="E13" si="32">E42</f>
        <v>0</v>
      </c>
      <c r="F13" s="319">
        <f t="shared" si="31"/>
        <v>0</v>
      </c>
      <c r="G13" s="229">
        <f t="shared" si="31"/>
        <v>0</v>
      </c>
      <c r="H13" s="229">
        <f t="shared" si="31"/>
        <v>0</v>
      </c>
      <c r="I13" s="319">
        <f t="shared" si="31"/>
        <v>0</v>
      </c>
      <c r="J13" s="229">
        <f t="shared" si="31"/>
        <v>0</v>
      </c>
      <c r="K13" s="229">
        <f t="shared" si="31"/>
        <v>0</v>
      </c>
      <c r="L13" s="319">
        <f t="shared" si="31"/>
        <v>0</v>
      </c>
      <c r="M13" s="294">
        <f t="shared" si="6"/>
        <v>0</v>
      </c>
      <c r="N13" s="294">
        <f t="shared" si="6"/>
        <v>0</v>
      </c>
      <c r="O13" s="295">
        <f t="shared" si="7"/>
        <v>0</v>
      </c>
      <c r="P13" s="229">
        <f t="shared" ref="P13:X13" si="33">P42</f>
        <v>50666</v>
      </c>
      <c r="Q13" s="229">
        <f t="shared" si="33"/>
        <v>47613</v>
      </c>
      <c r="R13" s="319">
        <f t="shared" ca="1" si="33"/>
        <v>131707</v>
      </c>
      <c r="S13" s="229">
        <f t="shared" si="33"/>
        <v>62892</v>
      </c>
      <c r="T13" s="229">
        <f t="shared" ref="T13" si="34">T42</f>
        <v>96384</v>
      </c>
      <c r="U13" s="319">
        <f t="shared" ca="1" si="33"/>
        <v>199194</v>
      </c>
      <c r="V13" s="229">
        <f t="shared" si="33"/>
        <v>95767</v>
      </c>
      <c r="W13" s="229">
        <f t="shared" si="33"/>
        <v>64375</v>
      </c>
      <c r="X13" s="319">
        <f t="shared" ca="1" si="33"/>
        <v>174212</v>
      </c>
      <c r="Y13" s="294">
        <f t="shared" si="10"/>
        <v>209325</v>
      </c>
      <c r="Z13" s="294">
        <f t="shared" si="10"/>
        <v>208372</v>
      </c>
      <c r="AA13" s="295">
        <f t="shared" ca="1" si="11"/>
        <v>505113</v>
      </c>
      <c r="AB13" s="229">
        <f t="shared" ref="AB13:AJ13" si="35">AB42</f>
        <v>34989</v>
      </c>
      <c r="AC13" s="229">
        <f t="shared" si="35"/>
        <v>69087</v>
      </c>
      <c r="AD13" s="319">
        <f t="shared" ca="1" si="35"/>
        <v>120128</v>
      </c>
      <c r="AE13" s="229">
        <f t="shared" si="35"/>
        <v>25787</v>
      </c>
      <c r="AF13" s="229">
        <f t="shared" ref="AF13" si="36">AF42</f>
        <v>34783</v>
      </c>
      <c r="AG13" s="319">
        <f t="shared" ca="1" si="35"/>
        <v>110479</v>
      </c>
      <c r="AH13" s="229">
        <f t="shared" si="35"/>
        <v>45639</v>
      </c>
      <c r="AI13" s="229">
        <f t="shared" ref="AI13" si="37">AI42</f>
        <v>31184</v>
      </c>
      <c r="AJ13" s="319">
        <f t="shared" ca="1" si="35"/>
        <v>84626</v>
      </c>
      <c r="AK13" s="294">
        <f t="shared" si="15"/>
        <v>106415</v>
      </c>
      <c r="AL13" s="294">
        <f t="shared" si="15"/>
        <v>135054</v>
      </c>
      <c r="AM13" s="295">
        <f t="shared" ca="1" si="15"/>
        <v>315233</v>
      </c>
      <c r="AN13" s="229">
        <f t="shared" ref="AN13:AV13" si="38">AN42</f>
        <v>43135</v>
      </c>
      <c r="AO13" s="229">
        <f t="shared" si="38"/>
        <v>16085</v>
      </c>
      <c r="AP13" s="319">
        <f t="shared" ca="1" si="38"/>
        <v>65662</v>
      </c>
      <c r="AQ13" s="229">
        <f t="shared" si="38"/>
        <v>77966</v>
      </c>
      <c r="AR13" s="229">
        <f t="shared" ref="AR13" si="39">AR42</f>
        <v>67382</v>
      </c>
      <c r="AS13" s="319">
        <f t="shared" ca="1" si="38"/>
        <v>186657</v>
      </c>
      <c r="AT13" s="229">
        <f t="shared" si="38"/>
        <v>94891</v>
      </c>
      <c r="AU13" s="229">
        <f t="shared" si="38"/>
        <v>11553</v>
      </c>
      <c r="AV13" s="319">
        <f t="shared" ca="1" si="38"/>
        <v>118925</v>
      </c>
      <c r="AW13" s="294">
        <f t="shared" si="18"/>
        <v>215992</v>
      </c>
      <c r="AX13" s="294">
        <f t="shared" si="18"/>
        <v>95020</v>
      </c>
      <c r="AY13" s="295">
        <f t="shared" ca="1" si="19"/>
        <v>371244</v>
      </c>
      <c r="AZ13" s="297">
        <f t="shared" si="20"/>
        <v>531732</v>
      </c>
      <c r="BA13" s="297">
        <f t="shared" si="20"/>
        <v>438446</v>
      </c>
      <c r="BB13" s="298">
        <f t="shared" ca="1" si="21"/>
        <v>1191590</v>
      </c>
    </row>
    <row r="14" spans="1:54">
      <c r="A14" s="67" t="s">
        <v>93</v>
      </c>
      <c r="B14" s="343" t="s">
        <v>90</v>
      </c>
      <c r="C14" s="344"/>
      <c r="D14" s="229">
        <f t="shared" ref="D14:L14" si="40">D51</f>
        <v>0</v>
      </c>
      <c r="E14" s="229">
        <f t="shared" ref="E14" si="41">E51</f>
        <v>0</v>
      </c>
      <c r="F14" s="319">
        <f t="shared" si="40"/>
        <v>0</v>
      </c>
      <c r="G14" s="229">
        <f t="shared" si="40"/>
        <v>0</v>
      </c>
      <c r="H14" s="229">
        <f t="shared" si="40"/>
        <v>0</v>
      </c>
      <c r="I14" s="319">
        <f t="shared" si="40"/>
        <v>0</v>
      </c>
      <c r="J14" s="229">
        <f t="shared" si="40"/>
        <v>0</v>
      </c>
      <c r="K14" s="229">
        <f t="shared" si="40"/>
        <v>0</v>
      </c>
      <c r="L14" s="319">
        <f t="shared" si="40"/>
        <v>0</v>
      </c>
      <c r="M14" s="294">
        <f t="shared" si="6"/>
        <v>0</v>
      </c>
      <c r="N14" s="294">
        <f t="shared" si="6"/>
        <v>0</v>
      </c>
      <c r="O14" s="295">
        <f t="shared" si="7"/>
        <v>0</v>
      </c>
      <c r="P14" s="229">
        <f t="shared" ref="P14:X14" si="42">P51</f>
        <v>0</v>
      </c>
      <c r="Q14" s="229">
        <f t="shared" si="42"/>
        <v>0</v>
      </c>
      <c r="R14" s="319">
        <f t="shared" si="42"/>
        <v>0</v>
      </c>
      <c r="S14" s="229">
        <f t="shared" si="42"/>
        <v>0</v>
      </c>
      <c r="T14" s="229">
        <f t="shared" ref="T14" si="43">T51</f>
        <v>0</v>
      </c>
      <c r="U14" s="319">
        <f t="shared" si="42"/>
        <v>0</v>
      </c>
      <c r="V14" s="229">
        <f t="shared" si="42"/>
        <v>0</v>
      </c>
      <c r="W14" s="229">
        <f t="shared" si="42"/>
        <v>0</v>
      </c>
      <c r="X14" s="319">
        <f t="shared" si="42"/>
        <v>0</v>
      </c>
      <c r="Y14" s="294">
        <f t="shared" si="10"/>
        <v>0</v>
      </c>
      <c r="Z14" s="294">
        <f t="shared" si="10"/>
        <v>0</v>
      </c>
      <c r="AA14" s="295">
        <f t="shared" si="11"/>
        <v>0</v>
      </c>
      <c r="AB14" s="229">
        <f t="shared" ref="AB14:AJ14" si="44">AB51</f>
        <v>0</v>
      </c>
      <c r="AC14" s="229">
        <f t="shared" si="44"/>
        <v>0</v>
      </c>
      <c r="AD14" s="319">
        <f t="shared" si="44"/>
        <v>0</v>
      </c>
      <c r="AE14" s="229">
        <f t="shared" si="44"/>
        <v>0</v>
      </c>
      <c r="AF14" s="229">
        <f t="shared" ref="AF14" si="45">AF51</f>
        <v>0</v>
      </c>
      <c r="AG14" s="319">
        <f t="shared" si="44"/>
        <v>0</v>
      </c>
      <c r="AH14" s="229">
        <f t="shared" si="44"/>
        <v>0</v>
      </c>
      <c r="AI14" s="229">
        <f t="shared" ref="AI14" si="46">AI51</f>
        <v>0</v>
      </c>
      <c r="AJ14" s="319">
        <f t="shared" si="44"/>
        <v>0</v>
      </c>
      <c r="AK14" s="294">
        <f t="shared" si="15"/>
        <v>0</v>
      </c>
      <c r="AL14" s="294">
        <f t="shared" si="15"/>
        <v>0</v>
      </c>
      <c r="AM14" s="295">
        <f t="shared" si="15"/>
        <v>0</v>
      </c>
      <c r="AN14" s="229">
        <f t="shared" ref="AN14:AV14" si="47">AN51</f>
        <v>0</v>
      </c>
      <c r="AO14" s="229">
        <f t="shared" si="47"/>
        <v>0</v>
      </c>
      <c r="AP14" s="319">
        <f t="shared" si="47"/>
        <v>0</v>
      </c>
      <c r="AQ14" s="229">
        <f t="shared" si="47"/>
        <v>0</v>
      </c>
      <c r="AR14" s="229">
        <f t="shared" ref="AR14" si="48">AR51</f>
        <v>0</v>
      </c>
      <c r="AS14" s="319">
        <f t="shared" si="47"/>
        <v>0</v>
      </c>
      <c r="AT14" s="229">
        <f t="shared" si="47"/>
        <v>0</v>
      </c>
      <c r="AU14" s="229">
        <f t="shared" si="47"/>
        <v>0</v>
      </c>
      <c r="AV14" s="319">
        <f t="shared" si="47"/>
        <v>0</v>
      </c>
      <c r="AW14" s="294">
        <f t="shared" si="18"/>
        <v>0</v>
      </c>
      <c r="AX14" s="294">
        <f t="shared" si="18"/>
        <v>0</v>
      </c>
      <c r="AY14" s="295">
        <f t="shared" si="19"/>
        <v>0</v>
      </c>
      <c r="AZ14" s="297">
        <f t="shared" si="20"/>
        <v>0</v>
      </c>
      <c r="BA14" s="297">
        <f t="shared" si="20"/>
        <v>0</v>
      </c>
      <c r="BB14" s="298">
        <f t="shared" si="21"/>
        <v>0</v>
      </c>
    </row>
    <row r="15" spans="1:54" ht="26.25">
      <c r="A15" s="64"/>
      <c r="B15" s="64" t="s">
        <v>177</v>
      </c>
      <c r="C15" s="64"/>
      <c r="D15" s="320">
        <f t="shared" ref="D15:Y15" si="49">SUM(D3:D14)</f>
        <v>0</v>
      </c>
      <c r="E15" s="320">
        <f t="shared" ref="E15" si="50">SUM(E3:E14)</f>
        <v>0</v>
      </c>
      <c r="F15" s="320">
        <f t="shared" si="49"/>
        <v>0</v>
      </c>
      <c r="G15" s="320">
        <f t="shared" si="49"/>
        <v>0</v>
      </c>
      <c r="H15" s="320">
        <f t="shared" si="49"/>
        <v>0</v>
      </c>
      <c r="I15" s="320">
        <f t="shared" si="49"/>
        <v>0</v>
      </c>
      <c r="J15" s="320">
        <f t="shared" si="49"/>
        <v>99769</v>
      </c>
      <c r="K15" s="320">
        <f t="shared" si="49"/>
        <v>34596</v>
      </c>
      <c r="L15" s="320">
        <f t="shared" ca="1" si="49"/>
        <v>183406</v>
      </c>
      <c r="M15" s="320">
        <f t="shared" si="49"/>
        <v>99769</v>
      </c>
      <c r="N15" s="320">
        <f t="shared" ref="N15" si="51">SUM(N3:N14)</f>
        <v>34596</v>
      </c>
      <c r="O15" s="320">
        <f t="shared" ca="1" si="49"/>
        <v>183406</v>
      </c>
      <c r="P15" s="464">
        <f>SUM(P3:P14)</f>
        <v>194372</v>
      </c>
      <c r="Q15" s="320">
        <f t="shared" ref="Q15" si="52">SUM(Q3:Q14)</f>
        <v>193634</v>
      </c>
      <c r="R15" s="320">
        <f t="shared" ca="1" si="49"/>
        <v>452023</v>
      </c>
      <c r="S15" s="320">
        <f t="shared" si="49"/>
        <v>152053</v>
      </c>
      <c r="T15" s="320">
        <f t="shared" si="49"/>
        <v>176097</v>
      </c>
      <c r="U15" s="320">
        <f t="shared" ca="1" si="49"/>
        <v>421959</v>
      </c>
      <c r="V15" s="320">
        <f t="shared" si="49"/>
        <v>160439</v>
      </c>
      <c r="W15" s="320">
        <f t="shared" ref="W15" si="53">SUM(W3:W14)</f>
        <v>252727</v>
      </c>
      <c r="X15" s="320">
        <f t="shared" ca="1" si="49"/>
        <v>478979</v>
      </c>
      <c r="Y15" s="320">
        <f t="shared" si="49"/>
        <v>506864</v>
      </c>
      <c r="Z15" s="320">
        <f t="shared" ref="Z15" si="54">SUM(Z3:Z14)</f>
        <v>622458</v>
      </c>
      <c r="AA15" s="323">
        <f ca="1">R15+U15+X15</f>
        <v>1352961</v>
      </c>
      <c r="AB15" s="320">
        <f>SUM(AB3:AB14)</f>
        <v>73301</v>
      </c>
      <c r="AC15" s="320">
        <f t="shared" ref="AC15" si="55">SUM(AC3:AC14)</f>
        <v>191830</v>
      </c>
      <c r="AD15" s="320">
        <f ca="1">SUM(AD3:AD14)</f>
        <v>364528</v>
      </c>
      <c r="AE15" s="320">
        <f>SUM(AE3:AE14)</f>
        <v>174879</v>
      </c>
      <c r="AF15" s="320">
        <f t="shared" ref="AF15" si="56">SUM(AF3:AF14)</f>
        <v>123680</v>
      </c>
      <c r="AG15" s="320">
        <f ca="1">SUM(AG3:AG14)</f>
        <v>388207</v>
      </c>
      <c r="AH15" s="464">
        <f>SUM(AH3:AH14)</f>
        <v>124222</v>
      </c>
      <c r="AI15" s="320">
        <f t="shared" ref="AI15" si="57">SUM(AI3:AI14)</f>
        <v>146958</v>
      </c>
      <c r="AJ15" s="320">
        <f ca="1">SUM(AJ3:AJ14)</f>
        <v>301692</v>
      </c>
      <c r="AK15" s="320">
        <f>SUM(AK3:AK14)</f>
        <v>372402</v>
      </c>
      <c r="AL15" s="320">
        <f t="shared" ref="AL15" si="58">SUM(AL3:AL14)</f>
        <v>462468</v>
      </c>
      <c r="AM15" s="323">
        <f ca="1">AD15+AG15+AJ15</f>
        <v>1054427</v>
      </c>
      <c r="AN15" s="320">
        <f t="shared" ref="AN15:AY15" si="59">SUM(AN3:AN14)</f>
        <v>237662</v>
      </c>
      <c r="AO15" s="320">
        <f t="shared" ref="AO15" si="60">SUM(AO3:AO14)</f>
        <v>158338</v>
      </c>
      <c r="AP15" s="320">
        <f t="shared" ca="1" si="59"/>
        <v>456943</v>
      </c>
      <c r="AQ15" s="320">
        <f t="shared" si="59"/>
        <v>215069</v>
      </c>
      <c r="AR15" s="320">
        <f t="shared" ref="AR15" si="61">SUM(AR3:AR14)</f>
        <v>113540</v>
      </c>
      <c r="AS15" s="320">
        <f t="shared" ca="1" si="59"/>
        <v>405934</v>
      </c>
      <c r="AT15" s="320">
        <f t="shared" si="59"/>
        <v>149603</v>
      </c>
      <c r="AU15" s="320">
        <f t="shared" ref="AU15" si="62">SUM(AU3:AU14)</f>
        <v>100779</v>
      </c>
      <c r="AV15" s="320">
        <f t="shared" ca="1" si="59"/>
        <v>343215</v>
      </c>
      <c r="AW15" s="320">
        <f t="shared" si="59"/>
        <v>602334</v>
      </c>
      <c r="AX15" s="320">
        <f t="shared" ref="AX15" si="63">SUM(AX3:AX14)</f>
        <v>372657</v>
      </c>
      <c r="AY15" s="320">
        <f t="shared" ca="1" si="59"/>
        <v>1206092</v>
      </c>
      <c r="AZ15" s="320">
        <f t="shared" si="20"/>
        <v>1581369</v>
      </c>
      <c r="BA15" s="320">
        <f t="shared" si="20"/>
        <v>1492179</v>
      </c>
      <c r="BB15" s="320">
        <f t="shared" ca="1" si="21"/>
        <v>3796886</v>
      </c>
    </row>
    <row r="17" spans="1:54" ht="14.65" thickBot="1"/>
    <row r="18" spans="1:54" ht="26.25">
      <c r="A18" s="66" t="s">
        <v>94</v>
      </c>
      <c r="B18" s="66" t="s">
        <v>149</v>
      </c>
      <c r="C18" s="66" t="s">
        <v>173</v>
      </c>
      <c r="D18" s="259" t="s">
        <v>174</v>
      </c>
      <c r="E18" s="259" t="s">
        <v>181</v>
      </c>
      <c r="F18" s="261" t="s">
        <v>34</v>
      </c>
      <c r="G18" s="259" t="s">
        <v>174</v>
      </c>
      <c r="H18" s="259" t="s">
        <v>181</v>
      </c>
      <c r="I18" s="261" t="s">
        <v>34</v>
      </c>
      <c r="J18" s="259" t="s">
        <v>174</v>
      </c>
      <c r="K18" s="259" t="s">
        <v>181</v>
      </c>
      <c r="L18" s="261" t="s">
        <v>34</v>
      </c>
      <c r="M18" s="259" t="s">
        <v>174</v>
      </c>
      <c r="N18" s="259" t="s">
        <v>181</v>
      </c>
      <c r="O18" s="261" t="s">
        <v>34</v>
      </c>
      <c r="P18" s="259" t="s">
        <v>174</v>
      </c>
      <c r="Q18" s="259" t="s">
        <v>181</v>
      </c>
      <c r="R18" s="261" t="s">
        <v>34</v>
      </c>
      <c r="S18" s="259" t="s">
        <v>174</v>
      </c>
      <c r="T18" s="259" t="s">
        <v>181</v>
      </c>
      <c r="U18" s="261" t="s">
        <v>34</v>
      </c>
      <c r="V18" s="259" t="s">
        <v>174</v>
      </c>
      <c r="W18" s="259" t="s">
        <v>181</v>
      </c>
      <c r="X18" s="261" t="s">
        <v>34</v>
      </c>
      <c r="Y18" s="259" t="s">
        <v>174</v>
      </c>
      <c r="Z18" s="259" t="s">
        <v>181</v>
      </c>
      <c r="AA18" s="261" t="s">
        <v>34</v>
      </c>
      <c r="AB18" s="259" t="s">
        <v>174</v>
      </c>
      <c r="AC18" s="259" t="s">
        <v>181</v>
      </c>
      <c r="AD18" s="261" t="s">
        <v>34</v>
      </c>
      <c r="AE18" s="259" t="s">
        <v>174</v>
      </c>
      <c r="AF18" s="259" t="s">
        <v>181</v>
      </c>
      <c r="AG18" s="261" t="s">
        <v>34</v>
      </c>
      <c r="AH18" s="259" t="s">
        <v>174</v>
      </c>
      <c r="AI18" s="259" t="s">
        <v>181</v>
      </c>
      <c r="AJ18" s="261" t="s">
        <v>34</v>
      </c>
      <c r="AK18" s="259" t="s">
        <v>174</v>
      </c>
      <c r="AL18" s="259" t="s">
        <v>181</v>
      </c>
      <c r="AM18" s="261" t="s">
        <v>34</v>
      </c>
      <c r="AN18" s="259" t="s">
        <v>174</v>
      </c>
      <c r="AO18" s="259" t="s">
        <v>181</v>
      </c>
      <c r="AP18" s="261" t="s">
        <v>34</v>
      </c>
      <c r="AQ18" s="259" t="s">
        <v>174</v>
      </c>
      <c r="AR18" s="259" t="s">
        <v>181</v>
      </c>
      <c r="AS18" s="261" t="s">
        <v>34</v>
      </c>
      <c r="AT18" s="259" t="s">
        <v>174</v>
      </c>
      <c r="AU18" s="259" t="s">
        <v>181</v>
      </c>
      <c r="AV18" s="261" t="s">
        <v>34</v>
      </c>
      <c r="AW18" s="259" t="s">
        <v>174</v>
      </c>
      <c r="AX18" s="259" t="s">
        <v>181</v>
      </c>
      <c r="AY18" s="261" t="s">
        <v>34</v>
      </c>
      <c r="AZ18" s="259" t="s">
        <v>174</v>
      </c>
      <c r="BA18" s="259" t="s">
        <v>181</v>
      </c>
      <c r="BB18" s="261" t="s">
        <v>34</v>
      </c>
    </row>
    <row r="19" spans="1:54">
      <c r="A19" s="67" t="s">
        <v>95</v>
      </c>
      <c r="B19" s="68" t="s">
        <v>171</v>
      </c>
      <c r="C19" s="300"/>
      <c r="D19" s="292"/>
      <c r="E19" s="292"/>
      <c r="F19" s="326"/>
      <c r="G19" s="292"/>
      <c r="H19" s="292"/>
      <c r="I19" s="326"/>
      <c r="J19" s="481">
        <v>99769</v>
      </c>
      <c r="K19" s="353">
        <v>34596</v>
      </c>
      <c r="L19" s="230">
        <f ca="1">K19+J19+RANDBETWEEN(5000,50000)</f>
        <v>183406</v>
      </c>
      <c r="M19" s="398">
        <v>50721</v>
      </c>
      <c r="N19" s="398">
        <v>54056</v>
      </c>
      <c r="O19" s="295">
        <f t="shared" ref="O19:O24" ca="1" si="64">F19+I19+L19</f>
        <v>183406</v>
      </c>
      <c r="P19" s="353">
        <v>78209</v>
      </c>
      <c r="Q19" s="353">
        <v>48849</v>
      </c>
      <c r="R19" s="230">
        <f ca="1">Q19+P19+RANDBETWEEN(5000,50000)</f>
        <v>145978</v>
      </c>
      <c r="S19" s="353">
        <v>62403</v>
      </c>
      <c r="T19" s="353">
        <v>23569</v>
      </c>
      <c r="U19" s="230">
        <f ca="1">T19+S19+RANDBETWEEN(5000,50000)</f>
        <v>96975</v>
      </c>
      <c r="V19" s="353">
        <v>36105</v>
      </c>
      <c r="W19" s="353">
        <v>99592</v>
      </c>
      <c r="X19" s="230">
        <f ca="1">W19+V19+RANDBETWEEN(5000,50000)</f>
        <v>151629</v>
      </c>
      <c r="Y19" s="294">
        <f t="shared" ref="Y19:Z19" si="65">P19+S19+V19</f>
        <v>176717</v>
      </c>
      <c r="Z19" s="294">
        <f t="shared" si="65"/>
        <v>172010</v>
      </c>
      <c r="AA19" s="295">
        <f t="shared" ref="AA19:AA24" ca="1" si="66">R19+U19+X19</f>
        <v>394582</v>
      </c>
      <c r="AB19" s="353">
        <v>27774</v>
      </c>
      <c r="AC19" s="353">
        <v>47368</v>
      </c>
      <c r="AD19" s="230">
        <f ca="1">AC19+AB19+RANDBETWEEN(5000,50000)</f>
        <v>123568</v>
      </c>
      <c r="AE19" s="353">
        <v>61999</v>
      </c>
      <c r="AF19" s="353">
        <v>13384</v>
      </c>
      <c r="AG19" s="230">
        <f ca="1">AF19+AE19+RANDBETWEEN(5000,50000)</f>
        <v>107209</v>
      </c>
      <c r="AH19" s="353">
        <v>62499</v>
      </c>
      <c r="AI19" s="353">
        <v>27270</v>
      </c>
      <c r="AJ19" s="230">
        <f ca="1">AI19+AH19+RANDBETWEEN(5000,50000)</f>
        <v>95539</v>
      </c>
      <c r="AK19" s="294">
        <f t="shared" ref="AK19" si="67">AB19+AE19+AH19</f>
        <v>152272</v>
      </c>
      <c r="AL19" s="294">
        <f t="shared" ref="AL19" si="68">AC19+AF19+AI19</f>
        <v>88022</v>
      </c>
      <c r="AM19" s="314">
        <f t="shared" ref="AM19" ca="1" si="69">AD19+AG19+AJ19</f>
        <v>326316</v>
      </c>
      <c r="AN19" s="353">
        <v>98159</v>
      </c>
      <c r="AO19" s="353">
        <v>64707</v>
      </c>
      <c r="AP19" s="230">
        <f ca="1">AO19+AN19+RANDBETWEEN(5000,50000)</f>
        <v>202124</v>
      </c>
      <c r="AQ19" s="353">
        <v>85655</v>
      </c>
      <c r="AR19" s="353">
        <v>21618</v>
      </c>
      <c r="AS19" s="230">
        <f ca="1">AR19+AQ19+RANDBETWEEN(5000,50000)</f>
        <v>117240</v>
      </c>
      <c r="AT19" s="353">
        <v>39926</v>
      </c>
      <c r="AU19" s="353">
        <v>53684</v>
      </c>
      <c r="AV19" s="230">
        <f ca="1">AU19+AT19+RANDBETWEEN(5000,50000)</f>
        <v>135353</v>
      </c>
      <c r="AW19" s="294">
        <f t="shared" ref="AW19" si="70">AN19+AQ19+AT19</f>
        <v>223740</v>
      </c>
      <c r="AX19" s="294">
        <f t="shared" ref="AX19" si="71">AO19+AR19+AU19</f>
        <v>140009</v>
      </c>
      <c r="AY19" s="314">
        <f t="shared" ref="AY19" ca="1" si="72">AP19+AS19+AV19</f>
        <v>454717</v>
      </c>
      <c r="AZ19" s="297">
        <f t="shared" ref="AZ19" si="73">M19+Y19+AK19+AW19</f>
        <v>603450</v>
      </c>
      <c r="BA19" s="297">
        <f t="shared" ref="BA19" si="74">N19+Z19+AL19+AX19</f>
        <v>454097</v>
      </c>
      <c r="BB19" s="317">
        <f t="shared" ref="BB19" ca="1" si="75">O19+AA19+AM19+AY19</f>
        <v>1359021</v>
      </c>
    </row>
    <row r="20" spans="1:54">
      <c r="A20" s="67"/>
      <c r="B20" s="68" t="s">
        <v>179</v>
      </c>
      <c r="C20" s="300"/>
      <c r="D20" s="292"/>
      <c r="E20" s="292"/>
      <c r="F20" s="326"/>
      <c r="G20" s="292"/>
      <c r="H20" s="292"/>
      <c r="I20" s="326"/>
      <c r="J20" s="292"/>
      <c r="K20" s="292"/>
      <c r="L20" s="326"/>
      <c r="M20" s="328"/>
      <c r="N20" s="328"/>
      <c r="O20" s="295">
        <f t="shared" si="64"/>
        <v>0</v>
      </c>
      <c r="P20" s="292"/>
      <c r="Q20" s="292"/>
      <c r="R20" s="326"/>
      <c r="S20" s="292"/>
      <c r="T20" s="292"/>
      <c r="U20" s="326"/>
      <c r="V20" s="292"/>
      <c r="W20" s="292"/>
      <c r="X20" s="326"/>
      <c r="Y20" s="328"/>
      <c r="Z20" s="328"/>
      <c r="AA20" s="295">
        <f t="shared" si="66"/>
        <v>0</v>
      </c>
      <c r="AB20" s="292"/>
      <c r="AC20" s="292"/>
      <c r="AD20" s="326"/>
      <c r="AE20" s="292"/>
      <c r="AF20" s="292"/>
      <c r="AG20" s="326"/>
      <c r="AH20" s="292"/>
      <c r="AI20" s="292"/>
      <c r="AJ20" s="326"/>
      <c r="AK20" s="328"/>
      <c r="AL20" s="328"/>
      <c r="AM20" s="295">
        <f t="shared" ref="AM19:AM24" si="76">AD20+AG20+AJ20</f>
        <v>0</v>
      </c>
      <c r="AN20" s="292"/>
      <c r="AO20" s="292"/>
      <c r="AP20" s="326"/>
      <c r="AQ20" s="292"/>
      <c r="AR20" s="292"/>
      <c r="AS20" s="326"/>
      <c r="AT20" s="292"/>
      <c r="AU20" s="292"/>
      <c r="AV20" s="326"/>
      <c r="AW20" s="328"/>
      <c r="AX20" s="328"/>
      <c r="AY20" s="295">
        <f t="shared" ref="AY19:AY24" si="77">AP20+AS20+AV20</f>
        <v>0</v>
      </c>
      <c r="AZ20" s="297"/>
      <c r="BA20" s="297"/>
      <c r="BB20" s="295">
        <f t="shared" ref="BB19:BB25" si="78">AA20+AM20+AY20</f>
        <v>0</v>
      </c>
    </row>
    <row r="21" spans="1:54">
      <c r="A21" s="67"/>
      <c r="B21" s="68" t="s">
        <v>178</v>
      </c>
      <c r="C21" s="300"/>
      <c r="D21" s="292"/>
      <c r="E21" s="292"/>
      <c r="F21" s="326"/>
      <c r="G21" s="292"/>
      <c r="H21" s="292"/>
      <c r="I21" s="326"/>
      <c r="J21" s="292"/>
      <c r="K21" s="292"/>
      <c r="L21" s="326"/>
      <c r="M21" s="328"/>
      <c r="N21" s="328"/>
      <c r="O21" s="295">
        <f t="shared" si="64"/>
        <v>0</v>
      </c>
      <c r="P21" s="292"/>
      <c r="Q21" s="292"/>
      <c r="R21" s="326"/>
      <c r="S21" s="292"/>
      <c r="T21" s="292"/>
      <c r="U21" s="326"/>
      <c r="V21" s="292"/>
      <c r="W21" s="292"/>
      <c r="X21" s="326"/>
      <c r="Y21" s="328"/>
      <c r="Z21" s="328"/>
      <c r="AA21" s="295">
        <f t="shared" si="66"/>
        <v>0</v>
      </c>
      <c r="AB21" s="292"/>
      <c r="AC21" s="292"/>
      <c r="AD21" s="326"/>
      <c r="AE21" s="292"/>
      <c r="AF21" s="292"/>
      <c r="AG21" s="326"/>
      <c r="AH21" s="292"/>
      <c r="AI21" s="292"/>
      <c r="AJ21" s="326"/>
      <c r="AK21" s="328"/>
      <c r="AL21" s="328"/>
      <c r="AM21" s="295">
        <f t="shared" si="76"/>
        <v>0</v>
      </c>
      <c r="AN21" s="292"/>
      <c r="AO21" s="292"/>
      <c r="AP21" s="326"/>
      <c r="AQ21" s="292"/>
      <c r="AR21" s="292"/>
      <c r="AS21" s="326"/>
      <c r="AT21" s="292"/>
      <c r="AU21" s="292"/>
      <c r="AV21" s="326"/>
      <c r="AW21" s="328"/>
      <c r="AX21" s="328"/>
      <c r="AY21" s="295">
        <f t="shared" si="77"/>
        <v>0</v>
      </c>
      <c r="AZ21" s="297"/>
      <c r="BA21" s="297"/>
      <c r="BB21" s="295">
        <f t="shared" si="78"/>
        <v>0</v>
      </c>
    </row>
    <row r="22" spans="1:54">
      <c r="A22" s="67"/>
      <c r="B22" s="68" t="s">
        <v>178</v>
      </c>
      <c r="C22" s="300"/>
      <c r="D22" s="292"/>
      <c r="E22" s="292"/>
      <c r="F22" s="326"/>
      <c r="G22" s="292"/>
      <c r="H22" s="292"/>
      <c r="I22" s="326"/>
      <c r="J22" s="292"/>
      <c r="K22" s="292"/>
      <c r="L22" s="326"/>
      <c r="M22" s="328"/>
      <c r="N22" s="328"/>
      <c r="O22" s="295">
        <f t="shared" si="64"/>
        <v>0</v>
      </c>
      <c r="P22" s="292"/>
      <c r="Q22" s="292"/>
      <c r="R22" s="326"/>
      <c r="S22" s="292"/>
      <c r="T22" s="292"/>
      <c r="U22" s="326"/>
      <c r="V22" s="292"/>
      <c r="W22" s="292"/>
      <c r="X22" s="326"/>
      <c r="Y22" s="328"/>
      <c r="Z22" s="328"/>
      <c r="AA22" s="295">
        <f t="shared" si="66"/>
        <v>0</v>
      </c>
      <c r="AB22" s="292"/>
      <c r="AC22" s="292"/>
      <c r="AD22" s="326"/>
      <c r="AE22" s="292"/>
      <c r="AF22" s="292"/>
      <c r="AG22" s="326"/>
      <c r="AH22" s="292"/>
      <c r="AI22" s="292"/>
      <c r="AJ22" s="326"/>
      <c r="AK22" s="328"/>
      <c r="AL22" s="328"/>
      <c r="AM22" s="295">
        <f t="shared" si="76"/>
        <v>0</v>
      </c>
      <c r="AN22" s="292"/>
      <c r="AO22" s="292"/>
      <c r="AP22" s="326"/>
      <c r="AQ22" s="292"/>
      <c r="AR22" s="292"/>
      <c r="AS22" s="326"/>
      <c r="AT22" s="292"/>
      <c r="AU22" s="292"/>
      <c r="AV22" s="326"/>
      <c r="AW22" s="328"/>
      <c r="AX22" s="328"/>
      <c r="AY22" s="295">
        <f t="shared" si="77"/>
        <v>0</v>
      </c>
      <c r="AZ22" s="297"/>
      <c r="BA22" s="297"/>
      <c r="BB22" s="295">
        <f t="shared" si="78"/>
        <v>0</v>
      </c>
    </row>
    <row r="23" spans="1:54">
      <c r="A23" s="67"/>
      <c r="B23" s="68" t="s">
        <v>178</v>
      </c>
      <c r="C23" s="300"/>
      <c r="D23" s="292"/>
      <c r="E23" s="292"/>
      <c r="F23" s="326"/>
      <c r="G23" s="292"/>
      <c r="H23" s="292"/>
      <c r="I23" s="326"/>
      <c r="J23" s="292"/>
      <c r="K23" s="292"/>
      <c r="L23" s="326"/>
      <c r="M23" s="328"/>
      <c r="N23" s="328"/>
      <c r="O23" s="295">
        <f t="shared" si="64"/>
        <v>0</v>
      </c>
      <c r="P23" s="292"/>
      <c r="Q23" s="292"/>
      <c r="R23" s="326"/>
      <c r="S23" s="292"/>
      <c r="T23" s="292"/>
      <c r="U23" s="326"/>
      <c r="V23" s="292"/>
      <c r="W23" s="292"/>
      <c r="X23" s="326"/>
      <c r="Y23" s="328"/>
      <c r="Z23" s="328"/>
      <c r="AA23" s="295">
        <f t="shared" si="66"/>
        <v>0</v>
      </c>
      <c r="AB23" s="292"/>
      <c r="AC23" s="292"/>
      <c r="AD23" s="326"/>
      <c r="AE23" s="292"/>
      <c r="AF23" s="292"/>
      <c r="AG23" s="326"/>
      <c r="AH23" s="292"/>
      <c r="AI23" s="292"/>
      <c r="AJ23" s="326"/>
      <c r="AK23" s="328"/>
      <c r="AL23" s="328"/>
      <c r="AM23" s="295">
        <f t="shared" si="76"/>
        <v>0</v>
      </c>
      <c r="AN23" s="292"/>
      <c r="AO23" s="292"/>
      <c r="AP23" s="326"/>
      <c r="AQ23" s="292"/>
      <c r="AR23" s="292"/>
      <c r="AS23" s="326"/>
      <c r="AT23" s="292"/>
      <c r="AU23" s="292"/>
      <c r="AV23" s="326"/>
      <c r="AW23" s="328"/>
      <c r="AX23" s="328"/>
      <c r="AY23" s="295">
        <f t="shared" si="77"/>
        <v>0</v>
      </c>
      <c r="AZ23" s="297"/>
      <c r="BA23" s="297"/>
      <c r="BB23" s="295">
        <f t="shared" si="78"/>
        <v>0</v>
      </c>
    </row>
    <row r="24" spans="1:54">
      <c r="A24" s="67"/>
      <c r="B24" s="68" t="s">
        <v>178</v>
      </c>
      <c r="C24" s="300"/>
      <c r="D24" s="292"/>
      <c r="E24" s="292"/>
      <c r="F24" s="326"/>
      <c r="G24" s="292"/>
      <c r="H24" s="292"/>
      <c r="I24" s="326"/>
      <c r="J24" s="292"/>
      <c r="K24" s="292"/>
      <c r="L24" s="326"/>
      <c r="M24" s="328"/>
      <c r="N24" s="328"/>
      <c r="O24" s="295">
        <f t="shared" si="64"/>
        <v>0</v>
      </c>
      <c r="P24" s="292"/>
      <c r="Q24" s="292"/>
      <c r="R24" s="326"/>
      <c r="S24" s="292"/>
      <c r="T24" s="292"/>
      <c r="U24" s="326"/>
      <c r="V24" s="292"/>
      <c r="W24" s="292"/>
      <c r="X24" s="326"/>
      <c r="Y24" s="328"/>
      <c r="Z24" s="328"/>
      <c r="AA24" s="295">
        <f t="shared" si="66"/>
        <v>0</v>
      </c>
      <c r="AB24" s="292"/>
      <c r="AC24" s="292"/>
      <c r="AD24" s="326"/>
      <c r="AE24" s="292"/>
      <c r="AF24" s="292"/>
      <c r="AG24" s="326"/>
      <c r="AH24" s="292"/>
      <c r="AI24" s="292"/>
      <c r="AJ24" s="326"/>
      <c r="AK24" s="328"/>
      <c r="AL24" s="328"/>
      <c r="AM24" s="295">
        <f t="shared" si="76"/>
        <v>0</v>
      </c>
      <c r="AN24" s="292"/>
      <c r="AO24" s="292"/>
      <c r="AP24" s="326"/>
      <c r="AQ24" s="292"/>
      <c r="AR24" s="292"/>
      <c r="AS24" s="326"/>
      <c r="AT24" s="292"/>
      <c r="AU24" s="292"/>
      <c r="AV24" s="326"/>
      <c r="AW24" s="328"/>
      <c r="AX24" s="328"/>
      <c r="AY24" s="295">
        <f t="shared" si="77"/>
        <v>0</v>
      </c>
      <c r="AZ24" s="297"/>
      <c r="BA24" s="297"/>
      <c r="BB24" s="295">
        <f t="shared" si="78"/>
        <v>0</v>
      </c>
    </row>
    <row r="25" spans="1:54">
      <c r="A25" s="66"/>
      <c r="B25" s="64" t="s">
        <v>174</v>
      </c>
      <c r="C25" s="64"/>
      <c r="D25" s="320"/>
      <c r="E25" s="483"/>
      <c r="F25" s="320">
        <f>SUM(F19:F24)</f>
        <v>0</v>
      </c>
      <c r="G25" s="320"/>
      <c r="H25" s="320"/>
      <c r="I25" s="320">
        <f>SUM(I19:I24)</f>
        <v>0</v>
      </c>
      <c r="J25" s="320">
        <v>99769</v>
      </c>
      <c r="K25" s="483">
        <v>34596</v>
      </c>
      <c r="L25" s="483">
        <f ca="1">SUM(L19:L24)</f>
        <v>183406</v>
      </c>
      <c r="M25" s="365">
        <v>50721</v>
      </c>
      <c r="N25" s="365">
        <v>54056</v>
      </c>
      <c r="O25" s="320">
        <f ca="1">SUM(O19:O24)</f>
        <v>183406</v>
      </c>
      <c r="P25" s="464">
        <v>78209</v>
      </c>
      <c r="Q25" s="483">
        <v>48849</v>
      </c>
      <c r="R25" s="320">
        <f ca="1">SUM(R19:R24)</f>
        <v>145978</v>
      </c>
      <c r="S25" s="320">
        <v>62403</v>
      </c>
      <c r="T25" s="483">
        <v>23569</v>
      </c>
      <c r="U25" s="320">
        <f ca="1">SUM(U19:U24)</f>
        <v>96975</v>
      </c>
      <c r="V25" s="320">
        <v>36105</v>
      </c>
      <c r="W25" s="483">
        <v>99592</v>
      </c>
      <c r="X25" s="320">
        <f ca="1">SUM(X19:X24)</f>
        <v>151629</v>
      </c>
      <c r="Y25" s="365">
        <v>88737</v>
      </c>
      <c r="Z25" s="365">
        <v>15707</v>
      </c>
      <c r="AA25" s="320">
        <f ca="1">SUM(AA19:AA24)</f>
        <v>394582</v>
      </c>
      <c r="AB25" s="320">
        <v>27774</v>
      </c>
      <c r="AC25" s="483">
        <v>47368</v>
      </c>
      <c r="AD25" s="320">
        <f ca="1">SUM(AD19:AD24)</f>
        <v>123568</v>
      </c>
      <c r="AE25" s="320">
        <v>61999</v>
      </c>
      <c r="AF25" s="483">
        <v>13384</v>
      </c>
      <c r="AG25" s="320">
        <f ca="1">SUM(AG19:AG24)</f>
        <v>107209</v>
      </c>
      <c r="AH25" s="320">
        <v>62499</v>
      </c>
      <c r="AI25" s="483">
        <v>27270</v>
      </c>
      <c r="AJ25" s="320">
        <f ca="1">SUM(AJ19:AJ24)</f>
        <v>95539</v>
      </c>
      <c r="AK25" s="294">
        <f t="shared" ref="AK25" si="79">AB25+AE25+AH25</f>
        <v>152272</v>
      </c>
      <c r="AL25" s="294">
        <f t="shared" ref="AL25" si="80">AC25+AF25+AI25</f>
        <v>88022</v>
      </c>
      <c r="AM25" s="320">
        <f ca="1">SUM(AM19:AM24)</f>
        <v>326316</v>
      </c>
      <c r="AN25" s="320">
        <v>98159</v>
      </c>
      <c r="AO25" s="483">
        <v>64707</v>
      </c>
      <c r="AP25" s="320">
        <f ca="1">SUM(AP19:AP24)</f>
        <v>202124</v>
      </c>
      <c r="AQ25" s="320">
        <v>85655</v>
      </c>
      <c r="AR25" s="483">
        <v>21618</v>
      </c>
      <c r="AS25" s="320">
        <f ca="1">SUM(AS19:AS24)</f>
        <v>117240</v>
      </c>
      <c r="AT25" s="320">
        <v>39926</v>
      </c>
      <c r="AU25" s="483">
        <v>53684</v>
      </c>
      <c r="AV25" s="320">
        <f ca="1">SUM(AV19:AV24)</f>
        <v>135353</v>
      </c>
      <c r="AW25" s="320">
        <f t="shared" ref="AW25:AX25" si="81">SUM(AW19:AW24)</f>
        <v>223740</v>
      </c>
      <c r="AX25" s="320">
        <f t="shared" si="81"/>
        <v>140009</v>
      </c>
      <c r="AY25" s="320">
        <f ca="1">SUM(AY19:AY24)</f>
        <v>454717</v>
      </c>
      <c r="AZ25" s="320">
        <f t="shared" ref="AZ25" si="82">SUM(AZ19:AZ24)</f>
        <v>603450</v>
      </c>
      <c r="BA25" s="320">
        <f t="shared" ref="BA25:BB25" si="83">SUM(BA19:BA24)</f>
        <v>454097</v>
      </c>
      <c r="BB25" s="320">
        <f t="shared" ca="1" si="83"/>
        <v>1359021</v>
      </c>
    </row>
    <row r="26" spans="1:54" ht="14.65" thickBo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</row>
    <row r="27" spans="1:54" ht="26.25">
      <c r="A27" s="66" t="s">
        <v>98</v>
      </c>
      <c r="B27" s="66" t="s">
        <v>149</v>
      </c>
      <c r="C27" s="66" t="s">
        <v>173</v>
      </c>
      <c r="D27" s="259"/>
      <c r="E27" s="259"/>
      <c r="F27" s="261" t="s">
        <v>34</v>
      </c>
      <c r="G27" s="259"/>
      <c r="H27" s="259"/>
      <c r="I27" s="261" t="s">
        <v>34</v>
      </c>
      <c r="J27" s="259" t="s">
        <v>174</v>
      </c>
      <c r="K27" s="259" t="s">
        <v>181</v>
      </c>
      <c r="L27" s="261" t="s">
        <v>34</v>
      </c>
      <c r="M27" s="259" t="s">
        <v>174</v>
      </c>
      <c r="N27" s="259" t="s">
        <v>181</v>
      </c>
      <c r="O27" s="261" t="s">
        <v>34</v>
      </c>
      <c r="P27" s="259" t="s">
        <v>174</v>
      </c>
      <c r="Q27" s="259" t="s">
        <v>181</v>
      </c>
      <c r="R27" s="261" t="s">
        <v>34</v>
      </c>
      <c r="S27" s="259" t="s">
        <v>174</v>
      </c>
      <c r="T27" s="259" t="s">
        <v>181</v>
      </c>
      <c r="U27" s="261" t="s">
        <v>34</v>
      </c>
      <c r="V27" s="259" t="s">
        <v>174</v>
      </c>
      <c r="W27" s="259" t="s">
        <v>181</v>
      </c>
      <c r="X27" s="261" t="s">
        <v>34</v>
      </c>
      <c r="Y27" s="259" t="s">
        <v>174</v>
      </c>
      <c r="Z27" s="259" t="s">
        <v>181</v>
      </c>
      <c r="AA27" s="261" t="s">
        <v>34</v>
      </c>
      <c r="AB27" s="259" t="s">
        <v>174</v>
      </c>
      <c r="AC27" s="259" t="s">
        <v>181</v>
      </c>
      <c r="AD27" s="261" t="s">
        <v>34</v>
      </c>
      <c r="AE27" s="259" t="s">
        <v>174</v>
      </c>
      <c r="AF27" s="259" t="s">
        <v>181</v>
      </c>
      <c r="AG27" s="261" t="s">
        <v>34</v>
      </c>
      <c r="AH27" s="259" t="s">
        <v>174</v>
      </c>
      <c r="AI27" s="259" t="s">
        <v>181</v>
      </c>
      <c r="AJ27" s="261" t="s">
        <v>34</v>
      </c>
      <c r="AK27" s="259" t="s">
        <v>174</v>
      </c>
      <c r="AL27" s="259" t="s">
        <v>181</v>
      </c>
      <c r="AM27" s="261" t="s">
        <v>34</v>
      </c>
      <c r="AN27" s="259" t="s">
        <v>174</v>
      </c>
      <c r="AO27" s="259" t="s">
        <v>181</v>
      </c>
      <c r="AP27" s="261" t="s">
        <v>34</v>
      </c>
      <c r="AQ27" s="259" t="s">
        <v>174</v>
      </c>
      <c r="AR27" s="259" t="s">
        <v>181</v>
      </c>
      <c r="AS27" s="261" t="s">
        <v>34</v>
      </c>
      <c r="AT27" s="259" t="s">
        <v>174</v>
      </c>
      <c r="AU27" s="259" t="s">
        <v>181</v>
      </c>
      <c r="AV27" s="261" t="s">
        <v>34</v>
      </c>
      <c r="AW27" s="259" t="s">
        <v>174</v>
      </c>
      <c r="AX27" s="259" t="s">
        <v>181</v>
      </c>
      <c r="AY27" s="261" t="s">
        <v>34</v>
      </c>
      <c r="AZ27" s="259" t="s">
        <v>174</v>
      </c>
      <c r="BA27" s="259" t="s">
        <v>181</v>
      </c>
      <c r="BB27" s="261" t="s">
        <v>34</v>
      </c>
    </row>
    <row r="28" spans="1:54">
      <c r="A28" s="67" t="s">
        <v>99</v>
      </c>
      <c r="B28" s="68" t="s">
        <v>106</v>
      </c>
      <c r="C28" s="291"/>
      <c r="D28" s="353"/>
      <c r="E28" s="353"/>
      <c r="F28" s="326"/>
      <c r="G28" s="353"/>
      <c r="H28" s="353"/>
      <c r="I28" s="326"/>
      <c r="J28" s="353"/>
      <c r="K28" s="353"/>
      <c r="L28" s="326"/>
      <c r="M28" s="398"/>
      <c r="N28" s="398"/>
      <c r="O28" s="295">
        <f t="shared" ref="O28:O33" si="84">F28+I28+L28</f>
        <v>0</v>
      </c>
      <c r="P28" s="229">
        <v>65497</v>
      </c>
      <c r="Q28" s="353">
        <v>97172</v>
      </c>
      <c r="R28" s="230">
        <f ca="1">Q28+P28+RANDBETWEEN(5000,50000)</f>
        <v>174338</v>
      </c>
      <c r="S28" s="353">
        <v>26758</v>
      </c>
      <c r="T28" s="353">
        <v>56144</v>
      </c>
      <c r="U28" s="230">
        <f ca="1">T28+S28+RANDBETWEEN(5000,50000)</f>
        <v>125790</v>
      </c>
      <c r="V28" s="353">
        <v>28567</v>
      </c>
      <c r="W28" s="353">
        <v>88760</v>
      </c>
      <c r="X28" s="230">
        <f ca="1">W28+V28+RANDBETWEEN(5000,50000)</f>
        <v>153138</v>
      </c>
      <c r="Y28" s="398">
        <v>32669</v>
      </c>
      <c r="Z28" s="398">
        <v>14108</v>
      </c>
      <c r="AA28" s="295">
        <f t="shared" ref="AA28:AA33" ca="1" si="85">R28+U28+X28</f>
        <v>453266</v>
      </c>
      <c r="AB28" s="353">
        <v>10538</v>
      </c>
      <c r="AC28" s="353">
        <v>75375</v>
      </c>
      <c r="AD28" s="230">
        <f ca="1">AC28+AB28+RANDBETWEEN(5000,50000)</f>
        <v>120832</v>
      </c>
      <c r="AE28" s="353">
        <v>87093</v>
      </c>
      <c r="AF28" s="353">
        <v>75513</v>
      </c>
      <c r="AG28" s="230">
        <f ca="1">AF28+AE28+RANDBETWEEN(5000,50000)</f>
        <v>170519</v>
      </c>
      <c r="AH28" s="353">
        <v>16084</v>
      </c>
      <c r="AI28" s="353">
        <v>88504</v>
      </c>
      <c r="AJ28" s="230">
        <f ca="1">AI28+AH28+RANDBETWEEN(5000,50000)</f>
        <v>121527</v>
      </c>
      <c r="AK28" s="294">
        <f t="shared" ref="AK28" si="86">AB28+AE28+AH28</f>
        <v>113715</v>
      </c>
      <c r="AL28" s="294">
        <f t="shared" ref="AL28" si="87">AC28+AF28+AI28</f>
        <v>239392</v>
      </c>
      <c r="AM28" s="295">
        <f t="shared" ref="AM28:AM33" ca="1" si="88">AD28+AG28+AJ28</f>
        <v>412878</v>
      </c>
      <c r="AN28" s="353">
        <v>96368</v>
      </c>
      <c r="AO28" s="353">
        <v>77546</v>
      </c>
      <c r="AP28" s="230">
        <f ca="1">AO28+AN28+RANDBETWEEN(5000,50000)</f>
        <v>189157</v>
      </c>
      <c r="AQ28" s="353">
        <v>51448</v>
      </c>
      <c r="AR28" s="353">
        <v>24540</v>
      </c>
      <c r="AS28" s="230">
        <f ca="1">AR28+AQ28+RANDBETWEEN(5000,50000)</f>
        <v>102037</v>
      </c>
      <c r="AT28" s="353">
        <v>14786</v>
      </c>
      <c r="AU28" s="353">
        <v>35542</v>
      </c>
      <c r="AV28" s="230">
        <f ca="1">AU28+AT28+RANDBETWEEN(5000,50000)</f>
        <v>88937</v>
      </c>
      <c r="AW28" s="294">
        <f t="shared" ref="AW28" si="89">AN28+AQ28+AT28</f>
        <v>162602</v>
      </c>
      <c r="AX28" s="294">
        <f t="shared" ref="AX28" si="90">AO28+AR28+AU28</f>
        <v>137628</v>
      </c>
      <c r="AY28" s="295">
        <f t="shared" ref="AY28:AY33" ca="1" si="91">AP28+AS28+AV28</f>
        <v>380131</v>
      </c>
      <c r="AZ28" s="297">
        <f t="shared" ref="AZ28" si="92">M28+Y28+AK28+AW28</f>
        <v>308986</v>
      </c>
      <c r="BA28" s="297">
        <f t="shared" ref="BA28" si="93">N28+Z28+AL28+AX28</f>
        <v>391128</v>
      </c>
      <c r="BB28" s="295">
        <f t="shared" ref="BB28:BB34" ca="1" si="94">AA28+AM28+AY28</f>
        <v>1246275</v>
      </c>
    </row>
    <row r="29" spans="1:54">
      <c r="A29" s="67"/>
      <c r="B29" s="68" t="s">
        <v>178</v>
      </c>
      <c r="C29" s="300"/>
      <c r="D29" s="292"/>
      <c r="E29" s="292"/>
      <c r="F29" s="326"/>
      <c r="G29" s="292"/>
      <c r="H29" s="292"/>
      <c r="I29" s="326"/>
      <c r="J29" s="292"/>
      <c r="K29" s="292"/>
      <c r="L29" s="326"/>
      <c r="M29" s="328"/>
      <c r="N29" s="328"/>
      <c r="O29" s="295">
        <f t="shared" si="84"/>
        <v>0</v>
      </c>
      <c r="P29" s="292"/>
      <c r="Q29" s="292"/>
      <c r="R29" s="326"/>
      <c r="S29" s="292"/>
      <c r="T29" s="292"/>
      <c r="U29" s="326"/>
      <c r="V29" s="292"/>
      <c r="W29" s="292"/>
      <c r="X29" s="326"/>
      <c r="Y29" s="328"/>
      <c r="Z29" s="328"/>
      <c r="AA29" s="295">
        <f t="shared" si="85"/>
        <v>0</v>
      </c>
      <c r="AB29" s="292"/>
      <c r="AC29" s="292"/>
      <c r="AD29" s="326"/>
      <c r="AE29" s="292"/>
      <c r="AF29" s="292"/>
      <c r="AG29" s="326"/>
      <c r="AH29" s="292"/>
      <c r="AI29" s="292"/>
      <c r="AJ29" s="326"/>
      <c r="AK29" s="328"/>
      <c r="AL29" s="328"/>
      <c r="AM29" s="295">
        <f t="shared" si="88"/>
        <v>0</v>
      </c>
      <c r="AN29" s="292"/>
      <c r="AO29" s="292"/>
      <c r="AP29" s="326"/>
      <c r="AQ29" s="292"/>
      <c r="AR29" s="292"/>
      <c r="AS29" s="326"/>
      <c r="AT29" s="292"/>
      <c r="AU29" s="292"/>
      <c r="AV29" s="326"/>
      <c r="AW29" s="328"/>
      <c r="AX29" s="328"/>
      <c r="AY29" s="295">
        <f t="shared" si="91"/>
        <v>0</v>
      </c>
      <c r="AZ29" s="297"/>
      <c r="BA29" s="297"/>
      <c r="BB29" s="295">
        <f t="shared" si="94"/>
        <v>0</v>
      </c>
    </row>
    <row r="30" spans="1:54">
      <c r="A30" s="67"/>
      <c r="B30" s="68" t="s">
        <v>178</v>
      </c>
      <c r="C30" s="300"/>
      <c r="D30" s="292"/>
      <c r="E30" s="292"/>
      <c r="F30" s="326"/>
      <c r="G30" s="292"/>
      <c r="H30" s="292"/>
      <c r="I30" s="326"/>
      <c r="J30" s="292"/>
      <c r="K30" s="292"/>
      <c r="L30" s="326"/>
      <c r="M30" s="328"/>
      <c r="N30" s="328"/>
      <c r="O30" s="295">
        <f t="shared" si="84"/>
        <v>0</v>
      </c>
      <c r="P30" s="292"/>
      <c r="Q30" s="292"/>
      <c r="R30" s="326"/>
      <c r="S30" s="292"/>
      <c r="T30" s="292"/>
      <c r="U30" s="326"/>
      <c r="V30" s="292"/>
      <c r="W30" s="292"/>
      <c r="X30" s="326"/>
      <c r="Y30" s="328"/>
      <c r="Z30" s="328"/>
      <c r="AA30" s="295">
        <f t="shared" si="85"/>
        <v>0</v>
      </c>
      <c r="AB30" s="292"/>
      <c r="AC30" s="292"/>
      <c r="AD30" s="326"/>
      <c r="AE30" s="292"/>
      <c r="AF30" s="292"/>
      <c r="AG30" s="326"/>
      <c r="AH30" s="292"/>
      <c r="AI30" s="292"/>
      <c r="AJ30" s="326"/>
      <c r="AK30" s="328"/>
      <c r="AL30" s="328"/>
      <c r="AM30" s="295">
        <f t="shared" si="88"/>
        <v>0</v>
      </c>
      <c r="AN30" s="292"/>
      <c r="AO30" s="292"/>
      <c r="AP30" s="326"/>
      <c r="AQ30" s="292"/>
      <c r="AR30" s="292"/>
      <c r="AS30" s="326"/>
      <c r="AT30" s="292"/>
      <c r="AU30" s="292"/>
      <c r="AV30" s="326"/>
      <c r="AW30" s="328"/>
      <c r="AX30" s="328"/>
      <c r="AY30" s="295">
        <f t="shared" si="91"/>
        <v>0</v>
      </c>
      <c r="AZ30" s="297"/>
      <c r="BA30" s="297"/>
      <c r="BB30" s="295">
        <f t="shared" si="94"/>
        <v>0</v>
      </c>
    </row>
    <row r="31" spans="1:54">
      <c r="A31" s="67"/>
      <c r="B31" s="68" t="s">
        <v>178</v>
      </c>
      <c r="C31" s="300"/>
      <c r="D31" s="292"/>
      <c r="E31" s="292"/>
      <c r="F31" s="326"/>
      <c r="G31" s="292"/>
      <c r="H31" s="292"/>
      <c r="I31" s="326"/>
      <c r="J31" s="292"/>
      <c r="K31" s="292"/>
      <c r="L31" s="326"/>
      <c r="M31" s="328"/>
      <c r="N31" s="328"/>
      <c r="O31" s="295">
        <f t="shared" si="84"/>
        <v>0</v>
      </c>
      <c r="P31" s="292"/>
      <c r="Q31" s="292"/>
      <c r="R31" s="326"/>
      <c r="S31" s="292"/>
      <c r="T31" s="292"/>
      <c r="U31" s="326"/>
      <c r="V31" s="292"/>
      <c r="W31" s="292"/>
      <c r="X31" s="326"/>
      <c r="Y31" s="328"/>
      <c r="Z31" s="328"/>
      <c r="AA31" s="295">
        <f t="shared" si="85"/>
        <v>0</v>
      </c>
      <c r="AB31" s="292"/>
      <c r="AC31" s="292"/>
      <c r="AD31" s="326"/>
      <c r="AE31" s="292"/>
      <c r="AF31" s="292"/>
      <c r="AG31" s="326"/>
      <c r="AH31" s="292"/>
      <c r="AI31" s="292"/>
      <c r="AJ31" s="326"/>
      <c r="AK31" s="328"/>
      <c r="AL31" s="328"/>
      <c r="AM31" s="295">
        <f t="shared" si="88"/>
        <v>0</v>
      </c>
      <c r="AN31" s="292"/>
      <c r="AO31" s="292"/>
      <c r="AP31" s="326"/>
      <c r="AQ31" s="292"/>
      <c r="AR31" s="292"/>
      <c r="AS31" s="326"/>
      <c r="AT31" s="292"/>
      <c r="AU31" s="292"/>
      <c r="AV31" s="326"/>
      <c r="AW31" s="328"/>
      <c r="AX31" s="328"/>
      <c r="AY31" s="295">
        <f t="shared" si="91"/>
        <v>0</v>
      </c>
      <c r="AZ31" s="297"/>
      <c r="BA31" s="297"/>
      <c r="BB31" s="295">
        <f t="shared" si="94"/>
        <v>0</v>
      </c>
    </row>
    <row r="32" spans="1:54">
      <c r="A32" s="67"/>
      <c r="B32" s="68" t="s">
        <v>178</v>
      </c>
      <c r="C32" s="300"/>
      <c r="D32" s="292"/>
      <c r="E32" s="292"/>
      <c r="F32" s="326"/>
      <c r="G32" s="292"/>
      <c r="H32" s="292"/>
      <c r="I32" s="326"/>
      <c r="J32" s="292"/>
      <c r="K32" s="292"/>
      <c r="L32" s="326"/>
      <c r="M32" s="328"/>
      <c r="N32" s="328"/>
      <c r="O32" s="295">
        <f t="shared" si="84"/>
        <v>0</v>
      </c>
      <c r="P32" s="292"/>
      <c r="Q32" s="292"/>
      <c r="R32" s="326"/>
      <c r="S32" s="292"/>
      <c r="T32" s="292"/>
      <c r="U32" s="326"/>
      <c r="V32" s="292"/>
      <c r="W32" s="292"/>
      <c r="X32" s="326"/>
      <c r="Y32" s="328"/>
      <c r="Z32" s="328"/>
      <c r="AA32" s="295">
        <f t="shared" si="85"/>
        <v>0</v>
      </c>
      <c r="AB32" s="292"/>
      <c r="AC32" s="292"/>
      <c r="AD32" s="326"/>
      <c r="AE32" s="292"/>
      <c r="AF32" s="292"/>
      <c r="AG32" s="326"/>
      <c r="AH32" s="292"/>
      <c r="AI32" s="292"/>
      <c r="AJ32" s="326"/>
      <c r="AK32" s="328"/>
      <c r="AL32" s="328"/>
      <c r="AM32" s="295">
        <f t="shared" si="88"/>
        <v>0</v>
      </c>
      <c r="AN32" s="292"/>
      <c r="AO32" s="292"/>
      <c r="AP32" s="326"/>
      <c r="AQ32" s="292"/>
      <c r="AR32" s="292"/>
      <c r="AS32" s="326"/>
      <c r="AT32" s="292"/>
      <c r="AU32" s="292"/>
      <c r="AV32" s="326"/>
      <c r="AW32" s="328"/>
      <c r="AX32" s="328"/>
      <c r="AY32" s="295">
        <f t="shared" si="91"/>
        <v>0</v>
      </c>
      <c r="AZ32" s="297"/>
      <c r="BA32" s="297"/>
      <c r="BB32" s="295">
        <f t="shared" si="94"/>
        <v>0</v>
      </c>
    </row>
    <row r="33" spans="1:54">
      <c r="A33" s="67"/>
      <c r="B33" s="68" t="s">
        <v>178</v>
      </c>
      <c r="C33" s="300"/>
      <c r="D33" s="292"/>
      <c r="E33" s="292"/>
      <c r="F33" s="326"/>
      <c r="G33" s="292"/>
      <c r="H33" s="292"/>
      <c r="I33" s="326"/>
      <c r="J33" s="292"/>
      <c r="K33" s="292"/>
      <c r="L33" s="326"/>
      <c r="M33" s="328"/>
      <c r="N33" s="328"/>
      <c r="O33" s="295">
        <f t="shared" si="84"/>
        <v>0</v>
      </c>
      <c r="P33" s="292"/>
      <c r="Q33" s="292"/>
      <c r="R33" s="326"/>
      <c r="S33" s="292"/>
      <c r="T33" s="292"/>
      <c r="U33" s="326"/>
      <c r="V33" s="292"/>
      <c r="W33" s="292"/>
      <c r="X33" s="326"/>
      <c r="Y33" s="328"/>
      <c r="Z33" s="328"/>
      <c r="AA33" s="295">
        <f t="shared" si="85"/>
        <v>0</v>
      </c>
      <c r="AB33" s="292"/>
      <c r="AC33" s="292"/>
      <c r="AD33" s="326"/>
      <c r="AE33" s="292"/>
      <c r="AF33" s="292"/>
      <c r="AG33" s="326"/>
      <c r="AH33" s="292"/>
      <c r="AI33" s="292"/>
      <c r="AJ33" s="326"/>
      <c r="AK33" s="328"/>
      <c r="AL33" s="328"/>
      <c r="AM33" s="295">
        <f t="shared" si="88"/>
        <v>0</v>
      </c>
      <c r="AN33" s="292"/>
      <c r="AO33" s="292"/>
      <c r="AP33" s="326"/>
      <c r="AQ33" s="292"/>
      <c r="AR33" s="292"/>
      <c r="AS33" s="326"/>
      <c r="AT33" s="292"/>
      <c r="AU33" s="292"/>
      <c r="AV33" s="326"/>
      <c r="AW33" s="328"/>
      <c r="AX33" s="328"/>
      <c r="AY33" s="295">
        <f t="shared" si="91"/>
        <v>0</v>
      </c>
      <c r="AZ33" s="297"/>
      <c r="BA33" s="297"/>
      <c r="BB33" s="295">
        <f t="shared" si="94"/>
        <v>0</v>
      </c>
    </row>
    <row r="34" spans="1:54">
      <c r="A34" s="66"/>
      <c r="B34" s="64" t="s">
        <v>174</v>
      </c>
      <c r="C34" s="64"/>
      <c r="D34" s="364"/>
      <c r="E34" s="484"/>
      <c r="F34" s="320">
        <f>SUM(F28:F33)</f>
        <v>0</v>
      </c>
      <c r="G34" s="365"/>
      <c r="H34" s="484"/>
      <c r="I34" s="320">
        <f>SUM(I28:I33)</f>
        <v>0</v>
      </c>
      <c r="J34" s="365">
        <v>0</v>
      </c>
      <c r="K34" s="484">
        <v>0</v>
      </c>
      <c r="L34" s="483">
        <f>SUM(L28:L33)</f>
        <v>0</v>
      </c>
      <c r="M34" s="365">
        <v>0</v>
      </c>
      <c r="N34" s="365">
        <v>0</v>
      </c>
      <c r="O34" s="320">
        <f>SUM(O28:O33)</f>
        <v>0</v>
      </c>
      <c r="P34" s="365">
        <v>65497</v>
      </c>
      <c r="Q34" s="484">
        <v>97172</v>
      </c>
      <c r="R34" s="320">
        <f ca="1">SUM(R28:R33)</f>
        <v>174338</v>
      </c>
      <c r="S34" s="365">
        <v>26758</v>
      </c>
      <c r="T34" s="484">
        <v>56144</v>
      </c>
      <c r="U34" s="320">
        <f ca="1">SUM(U28:U33)</f>
        <v>125790</v>
      </c>
      <c r="V34" s="365">
        <v>28567</v>
      </c>
      <c r="W34" s="484">
        <v>88760</v>
      </c>
      <c r="X34" s="320">
        <f ca="1">SUM(X28:X33)</f>
        <v>153138</v>
      </c>
      <c r="Y34" s="365">
        <v>32669</v>
      </c>
      <c r="Z34" s="365">
        <v>14108</v>
      </c>
      <c r="AA34" s="320">
        <f ca="1">SUM(AA28:AA33)</f>
        <v>453266</v>
      </c>
      <c r="AB34" s="365">
        <v>10538</v>
      </c>
      <c r="AC34" s="484">
        <v>75375</v>
      </c>
      <c r="AD34" s="320">
        <f ca="1">SUM(AD28:AD33)</f>
        <v>120832</v>
      </c>
      <c r="AE34" s="365">
        <v>87093</v>
      </c>
      <c r="AF34" s="484">
        <v>75513</v>
      </c>
      <c r="AG34" s="320">
        <f ca="1">SUM(AG28:AG33)</f>
        <v>170519</v>
      </c>
      <c r="AH34" s="365">
        <v>16084</v>
      </c>
      <c r="AI34" s="484">
        <v>88504</v>
      </c>
      <c r="AJ34" s="320">
        <f ca="1">SUM(AJ28:AJ33)</f>
        <v>121527</v>
      </c>
      <c r="AK34" s="294">
        <f t="shared" ref="AK34" si="95">AB34+AE34+AH34</f>
        <v>113715</v>
      </c>
      <c r="AL34" s="294">
        <f t="shared" ref="AL34" si="96">AC34+AF34+AI34</f>
        <v>239392</v>
      </c>
      <c r="AM34" s="320">
        <f ca="1">SUM(AM28:AM33)</f>
        <v>412878</v>
      </c>
      <c r="AN34" s="365">
        <v>96368</v>
      </c>
      <c r="AO34" s="484">
        <v>77546</v>
      </c>
      <c r="AP34" s="623">
        <f ca="1">SUM(AP28:AP33)</f>
        <v>189157</v>
      </c>
      <c r="AQ34" s="365">
        <v>51448</v>
      </c>
      <c r="AR34" s="484">
        <v>24540</v>
      </c>
      <c r="AS34" s="320">
        <f ca="1">SUM(AS28:AS33)</f>
        <v>102037</v>
      </c>
      <c r="AT34" s="365">
        <v>14786</v>
      </c>
      <c r="AU34" s="484">
        <v>35542</v>
      </c>
      <c r="AV34" s="320">
        <f ca="1">SUM(AV28:AV33)</f>
        <v>88937</v>
      </c>
      <c r="AW34" s="320">
        <f t="shared" ref="AW34" si="97">SUM(AW28:AW33)</f>
        <v>162602</v>
      </c>
      <c r="AX34" s="320">
        <f t="shared" ref="AX34" si="98">SUM(AX28:AX33)</f>
        <v>137628</v>
      </c>
      <c r="AY34" s="294">
        <f ca="1">SUM(AY28:AY33)</f>
        <v>380131</v>
      </c>
      <c r="AZ34" s="320">
        <f t="shared" ref="AZ34" si="99">SUM(AZ28:AZ33)</f>
        <v>308986</v>
      </c>
      <c r="BA34" s="320">
        <f t="shared" ref="BA34" si="100">SUM(BA28:BA33)</f>
        <v>391128</v>
      </c>
      <c r="BB34" s="320">
        <f t="shared" ref="BB34" ca="1" si="101">SUM(BB28:BB33)</f>
        <v>1246275</v>
      </c>
    </row>
    <row r="35" spans="1:54" ht="14.65" thickBot="1"/>
    <row r="36" spans="1:54" ht="26.25">
      <c r="A36" s="66" t="s">
        <v>100</v>
      </c>
      <c r="B36" s="66" t="s">
        <v>149</v>
      </c>
      <c r="C36" s="66" t="s">
        <v>173</v>
      </c>
      <c r="D36" s="259"/>
      <c r="E36" s="259"/>
      <c r="F36" s="261" t="s">
        <v>34</v>
      </c>
      <c r="G36" s="259"/>
      <c r="H36" s="259"/>
      <c r="I36" s="261" t="s">
        <v>34</v>
      </c>
      <c r="J36" s="259" t="s">
        <v>174</v>
      </c>
      <c r="K36" s="259" t="s">
        <v>181</v>
      </c>
      <c r="L36" s="261" t="s">
        <v>34</v>
      </c>
      <c r="M36" s="259" t="s">
        <v>174</v>
      </c>
      <c r="N36" s="259" t="s">
        <v>181</v>
      </c>
      <c r="O36" s="261" t="s">
        <v>34</v>
      </c>
      <c r="P36" s="259" t="s">
        <v>174</v>
      </c>
      <c r="Q36" s="259" t="s">
        <v>181</v>
      </c>
      <c r="R36" s="261" t="s">
        <v>34</v>
      </c>
      <c r="S36" s="259" t="s">
        <v>174</v>
      </c>
      <c r="T36" s="259" t="s">
        <v>181</v>
      </c>
      <c r="U36" s="261" t="s">
        <v>34</v>
      </c>
      <c r="V36" s="259" t="s">
        <v>174</v>
      </c>
      <c r="W36" s="259" t="s">
        <v>181</v>
      </c>
      <c r="X36" s="261" t="s">
        <v>34</v>
      </c>
      <c r="Y36" s="259" t="s">
        <v>174</v>
      </c>
      <c r="Z36" s="259" t="s">
        <v>181</v>
      </c>
      <c r="AA36" s="261" t="s">
        <v>34</v>
      </c>
      <c r="AB36" s="259" t="s">
        <v>174</v>
      </c>
      <c r="AC36" s="259" t="s">
        <v>181</v>
      </c>
      <c r="AD36" s="261" t="s">
        <v>34</v>
      </c>
      <c r="AE36" s="259" t="s">
        <v>174</v>
      </c>
      <c r="AF36" s="259" t="s">
        <v>181</v>
      </c>
      <c r="AG36" s="261" t="s">
        <v>34</v>
      </c>
      <c r="AH36" s="259" t="s">
        <v>174</v>
      </c>
      <c r="AI36" s="259" t="s">
        <v>181</v>
      </c>
      <c r="AJ36" s="261" t="s">
        <v>34</v>
      </c>
      <c r="AK36" s="259" t="s">
        <v>174</v>
      </c>
      <c r="AL36" s="259" t="s">
        <v>181</v>
      </c>
      <c r="AM36" s="261" t="s">
        <v>34</v>
      </c>
      <c r="AN36" s="259" t="s">
        <v>174</v>
      </c>
      <c r="AO36" s="259" t="s">
        <v>181</v>
      </c>
      <c r="AP36" s="261" t="s">
        <v>34</v>
      </c>
      <c r="AQ36" s="259" t="s">
        <v>174</v>
      </c>
      <c r="AR36" s="259" t="s">
        <v>181</v>
      </c>
      <c r="AS36" s="261" t="s">
        <v>34</v>
      </c>
      <c r="AT36" s="259" t="s">
        <v>174</v>
      </c>
      <c r="AU36" s="259" t="s">
        <v>181</v>
      </c>
      <c r="AV36" s="261" t="s">
        <v>34</v>
      </c>
      <c r="AW36" s="259" t="s">
        <v>174</v>
      </c>
      <c r="AX36" s="259" t="s">
        <v>181</v>
      </c>
      <c r="AY36" s="261" t="s">
        <v>34</v>
      </c>
      <c r="AZ36" s="259" t="s">
        <v>174</v>
      </c>
      <c r="BA36" s="259" t="s">
        <v>181</v>
      </c>
      <c r="BB36" s="261" t="s">
        <v>34</v>
      </c>
    </row>
    <row r="37" spans="1:54">
      <c r="A37" s="67" t="s">
        <v>164</v>
      </c>
      <c r="B37" s="68" t="s">
        <v>104</v>
      </c>
      <c r="C37" s="300"/>
      <c r="D37" s="292"/>
      <c r="E37" s="292"/>
      <c r="F37" s="326"/>
      <c r="G37" s="292"/>
      <c r="H37" s="292"/>
      <c r="I37" s="326"/>
      <c r="J37" s="353"/>
      <c r="K37" s="353"/>
      <c r="L37" s="326"/>
      <c r="M37" s="398"/>
      <c r="N37" s="398"/>
      <c r="O37" s="295">
        <f>F37+I37+L37</f>
        <v>0</v>
      </c>
      <c r="P37" s="353">
        <v>50666</v>
      </c>
      <c r="Q37" s="353">
        <v>47613</v>
      </c>
      <c r="R37" s="230">
        <f ca="1">Q37+P37+RANDBETWEEN(5000,50000)</f>
        <v>131707</v>
      </c>
      <c r="S37" s="353">
        <v>62892</v>
      </c>
      <c r="T37" s="353">
        <v>96384</v>
      </c>
      <c r="U37" s="230">
        <f ca="1">T37+S37+RANDBETWEEN(5000,50000)</f>
        <v>199194</v>
      </c>
      <c r="V37" s="353">
        <v>95767</v>
      </c>
      <c r="W37" s="353">
        <v>64375</v>
      </c>
      <c r="X37" s="230">
        <f ca="1">W37+V37+RANDBETWEEN(5000,50000)</f>
        <v>174212</v>
      </c>
      <c r="Y37" s="398">
        <v>43459</v>
      </c>
      <c r="Z37" s="398">
        <v>25280</v>
      </c>
      <c r="AA37" s="295">
        <f ca="1">R37+U37+X37</f>
        <v>505113</v>
      </c>
      <c r="AB37" s="353">
        <v>34989</v>
      </c>
      <c r="AC37" s="353">
        <v>69087</v>
      </c>
      <c r="AD37" s="230">
        <f ca="1">AC37+AB37+RANDBETWEEN(5000,50000)</f>
        <v>120128</v>
      </c>
      <c r="AE37" s="353">
        <v>25787</v>
      </c>
      <c r="AF37" s="353">
        <v>34783</v>
      </c>
      <c r="AG37" s="230">
        <f ca="1">AF37+AE37+RANDBETWEEN(5000,50000)</f>
        <v>110479</v>
      </c>
      <c r="AH37" s="353">
        <v>45639</v>
      </c>
      <c r="AI37" s="353">
        <v>31184</v>
      </c>
      <c r="AJ37" s="230">
        <f ca="1">AI37+AH37+RANDBETWEEN(5000,50000)</f>
        <v>84626</v>
      </c>
      <c r="AK37" s="294">
        <f t="shared" ref="AK37" si="102">AB37+AE37+AH37</f>
        <v>106415</v>
      </c>
      <c r="AL37" s="294">
        <f t="shared" ref="AL37" si="103">AC37+AF37+AI37</f>
        <v>135054</v>
      </c>
      <c r="AM37" s="295">
        <f ca="1">AD37+AG37+AJ37</f>
        <v>315233</v>
      </c>
      <c r="AN37" s="353">
        <v>43135</v>
      </c>
      <c r="AO37" s="353">
        <v>16085</v>
      </c>
      <c r="AP37" s="230">
        <f ca="1">AO37+AN37+RANDBETWEEN(5000,50000)</f>
        <v>65662</v>
      </c>
      <c r="AQ37" s="353">
        <v>77966</v>
      </c>
      <c r="AR37" s="353">
        <v>67382</v>
      </c>
      <c r="AS37" s="230">
        <f ca="1">AR37+AQ37+RANDBETWEEN(5000,50000)</f>
        <v>186657</v>
      </c>
      <c r="AT37" s="353">
        <v>94891</v>
      </c>
      <c r="AU37" s="353">
        <v>11553</v>
      </c>
      <c r="AV37" s="230">
        <f ca="1">AU37+AT37+RANDBETWEEN(5000,50000)</f>
        <v>118925</v>
      </c>
      <c r="AW37" s="294">
        <f t="shared" ref="AW37" si="104">AN37+AQ37+AT37</f>
        <v>215992</v>
      </c>
      <c r="AX37" s="294">
        <f t="shared" ref="AX37" si="105">AO37+AR37+AU37</f>
        <v>95020</v>
      </c>
      <c r="AY37" s="295">
        <f ca="1">AP37+AS37+AV37</f>
        <v>371244</v>
      </c>
      <c r="AZ37" s="297">
        <f t="shared" ref="AZ37" si="106">M37+Y37+AK37+AW37</f>
        <v>365866</v>
      </c>
      <c r="BA37" s="297">
        <f t="shared" ref="BA37" si="107">N37+Z37+AL37+AX37</f>
        <v>255354</v>
      </c>
      <c r="BB37" s="295">
        <f t="shared" ref="BB37:BB42" ca="1" si="108">AA37+AM37+AY37</f>
        <v>1191590</v>
      </c>
    </row>
    <row r="38" spans="1:54">
      <c r="A38" s="67"/>
      <c r="B38" s="68"/>
      <c r="C38" s="300"/>
      <c r="D38" s="292"/>
      <c r="E38" s="292"/>
      <c r="F38" s="326"/>
      <c r="G38" s="292"/>
      <c r="H38" s="292"/>
      <c r="I38" s="326"/>
      <c r="J38" s="292"/>
      <c r="K38" s="292"/>
      <c r="L38" s="326"/>
      <c r="M38" s="328"/>
      <c r="N38" s="328"/>
      <c r="O38" s="295">
        <f>F38+I38+L38</f>
        <v>0</v>
      </c>
      <c r="P38" s="292"/>
      <c r="Q38" s="292"/>
      <c r="R38" s="326"/>
      <c r="S38" s="292"/>
      <c r="T38" s="292"/>
      <c r="U38" s="326"/>
      <c r="V38" s="292"/>
      <c r="W38" s="292"/>
      <c r="X38" s="326"/>
      <c r="Y38" s="328"/>
      <c r="Z38" s="328"/>
      <c r="AA38" s="295">
        <f>R38+U38+X38</f>
        <v>0</v>
      </c>
      <c r="AB38" s="292"/>
      <c r="AC38" s="292"/>
      <c r="AD38" s="326"/>
      <c r="AE38" s="292"/>
      <c r="AF38" s="292"/>
      <c r="AG38" s="326"/>
      <c r="AH38" s="292"/>
      <c r="AI38" s="292"/>
      <c r="AJ38" s="326"/>
      <c r="AK38" s="328"/>
      <c r="AL38" s="328"/>
      <c r="AM38" s="295">
        <f>AD38+AG38+AJ38</f>
        <v>0</v>
      </c>
      <c r="AN38" s="292"/>
      <c r="AO38" s="292"/>
      <c r="AP38" s="326"/>
      <c r="AQ38" s="292"/>
      <c r="AR38" s="292"/>
      <c r="AS38" s="326"/>
      <c r="AT38" s="292"/>
      <c r="AU38" s="292"/>
      <c r="AV38" s="326"/>
      <c r="AW38" s="328"/>
      <c r="AX38" s="328"/>
      <c r="AY38" s="295">
        <f>AP38+AS38+AV38</f>
        <v>0</v>
      </c>
      <c r="AZ38" s="297"/>
      <c r="BA38" s="297"/>
      <c r="BB38" s="295">
        <f t="shared" si="108"/>
        <v>0</v>
      </c>
    </row>
    <row r="39" spans="1:54">
      <c r="A39" s="67"/>
      <c r="B39" s="68"/>
      <c r="C39" s="300"/>
      <c r="D39" s="292"/>
      <c r="E39" s="292"/>
      <c r="F39" s="326"/>
      <c r="G39" s="292"/>
      <c r="H39" s="292"/>
      <c r="I39" s="326"/>
      <c r="J39" s="292"/>
      <c r="K39" s="292"/>
      <c r="L39" s="326"/>
      <c r="M39" s="328"/>
      <c r="N39" s="328"/>
      <c r="O39" s="295">
        <f>F39+I39+L39</f>
        <v>0</v>
      </c>
      <c r="P39" s="292"/>
      <c r="Q39" s="292"/>
      <c r="R39" s="326"/>
      <c r="S39" s="292"/>
      <c r="T39" s="292"/>
      <c r="U39" s="326"/>
      <c r="V39" s="292"/>
      <c r="W39" s="292"/>
      <c r="X39" s="326"/>
      <c r="Y39" s="328"/>
      <c r="Z39" s="328"/>
      <c r="AA39" s="295">
        <f>R39+U39+X39</f>
        <v>0</v>
      </c>
      <c r="AB39" s="292"/>
      <c r="AC39" s="292"/>
      <c r="AD39" s="326"/>
      <c r="AE39" s="292"/>
      <c r="AF39" s="292"/>
      <c r="AG39" s="326"/>
      <c r="AH39" s="292"/>
      <c r="AI39" s="292"/>
      <c r="AJ39" s="326"/>
      <c r="AK39" s="328"/>
      <c r="AL39" s="328"/>
      <c r="AM39" s="295">
        <f>AD39+AG39+AJ39</f>
        <v>0</v>
      </c>
      <c r="AN39" s="292"/>
      <c r="AO39" s="292"/>
      <c r="AP39" s="326"/>
      <c r="AQ39" s="292"/>
      <c r="AR39" s="292"/>
      <c r="AS39" s="326"/>
      <c r="AT39" s="292"/>
      <c r="AU39" s="292"/>
      <c r="AV39" s="326"/>
      <c r="AW39" s="328"/>
      <c r="AX39" s="328"/>
      <c r="AY39" s="295">
        <f>AP39+AS39+AV39</f>
        <v>0</v>
      </c>
      <c r="AZ39" s="297"/>
      <c r="BA39" s="297"/>
      <c r="BB39" s="295">
        <f t="shared" si="108"/>
        <v>0</v>
      </c>
    </row>
    <row r="40" spans="1:54">
      <c r="A40" s="67"/>
      <c r="B40" s="68" t="s">
        <v>178</v>
      </c>
      <c r="C40" s="300"/>
      <c r="D40" s="292"/>
      <c r="E40" s="292"/>
      <c r="F40" s="326"/>
      <c r="G40" s="292"/>
      <c r="H40" s="292"/>
      <c r="I40" s="326"/>
      <c r="J40" s="292"/>
      <c r="K40" s="292"/>
      <c r="L40" s="326"/>
      <c r="M40" s="328"/>
      <c r="N40" s="328"/>
      <c r="O40" s="295">
        <f>F40+I40+L40</f>
        <v>0</v>
      </c>
      <c r="P40" s="292"/>
      <c r="Q40" s="292"/>
      <c r="R40" s="326"/>
      <c r="S40" s="292"/>
      <c r="T40" s="292"/>
      <c r="U40" s="326"/>
      <c r="V40" s="292"/>
      <c r="W40" s="292"/>
      <c r="X40" s="326"/>
      <c r="Y40" s="328"/>
      <c r="Z40" s="328"/>
      <c r="AA40" s="295">
        <f>R40+U40+X40</f>
        <v>0</v>
      </c>
      <c r="AB40" s="292"/>
      <c r="AC40" s="292"/>
      <c r="AD40" s="326"/>
      <c r="AE40" s="292"/>
      <c r="AF40" s="292"/>
      <c r="AG40" s="326"/>
      <c r="AH40" s="292"/>
      <c r="AI40" s="292"/>
      <c r="AJ40" s="326"/>
      <c r="AK40" s="328"/>
      <c r="AL40" s="328"/>
      <c r="AM40" s="295">
        <f>AD40+AG40+AJ40</f>
        <v>0</v>
      </c>
      <c r="AN40" s="292"/>
      <c r="AO40" s="292"/>
      <c r="AP40" s="326"/>
      <c r="AQ40" s="292"/>
      <c r="AR40" s="292"/>
      <c r="AS40" s="326"/>
      <c r="AT40" s="292"/>
      <c r="AU40" s="292"/>
      <c r="AV40" s="326"/>
      <c r="AW40" s="328"/>
      <c r="AX40" s="328"/>
      <c r="AY40" s="295">
        <f>AP40+AS40+AV40</f>
        <v>0</v>
      </c>
      <c r="AZ40" s="297"/>
      <c r="BA40" s="297"/>
      <c r="BB40" s="295">
        <f t="shared" si="108"/>
        <v>0</v>
      </c>
    </row>
    <row r="41" spans="1:54">
      <c r="A41" s="67"/>
      <c r="B41" s="68" t="s">
        <v>178</v>
      </c>
      <c r="C41" s="300"/>
      <c r="D41" s="292"/>
      <c r="E41" s="292"/>
      <c r="F41" s="326"/>
      <c r="G41" s="292"/>
      <c r="H41" s="292"/>
      <c r="I41" s="326"/>
      <c r="J41" s="292"/>
      <c r="K41" s="292"/>
      <c r="L41" s="326"/>
      <c r="M41" s="328"/>
      <c r="N41" s="328"/>
      <c r="O41" s="295">
        <f>F41+I41+L41</f>
        <v>0</v>
      </c>
      <c r="P41" s="292"/>
      <c r="Q41" s="292"/>
      <c r="R41" s="326"/>
      <c r="S41" s="292"/>
      <c r="T41" s="292"/>
      <c r="U41" s="326"/>
      <c r="V41" s="292"/>
      <c r="W41" s="292"/>
      <c r="X41" s="326"/>
      <c r="Y41" s="328"/>
      <c r="Z41" s="328"/>
      <c r="AA41" s="295">
        <f>R41+U41+X41</f>
        <v>0</v>
      </c>
      <c r="AB41" s="292"/>
      <c r="AC41" s="292"/>
      <c r="AD41" s="326"/>
      <c r="AE41" s="292"/>
      <c r="AF41" s="292"/>
      <c r="AG41" s="326"/>
      <c r="AH41" s="292"/>
      <c r="AI41" s="292"/>
      <c r="AJ41" s="326"/>
      <c r="AK41" s="328"/>
      <c r="AL41" s="328"/>
      <c r="AM41" s="295">
        <f>AD41+AG41+AJ41</f>
        <v>0</v>
      </c>
      <c r="AN41" s="292"/>
      <c r="AO41" s="292"/>
      <c r="AP41" s="326"/>
      <c r="AQ41" s="292"/>
      <c r="AR41" s="292"/>
      <c r="AS41" s="326"/>
      <c r="AT41" s="292"/>
      <c r="AU41" s="292"/>
      <c r="AV41" s="326"/>
      <c r="AW41" s="328"/>
      <c r="AX41" s="328"/>
      <c r="AY41" s="295">
        <f>AP41+AS41+AV41</f>
        <v>0</v>
      </c>
      <c r="AZ41" s="297"/>
      <c r="BA41" s="297"/>
      <c r="BB41" s="295">
        <f t="shared" si="108"/>
        <v>0</v>
      </c>
    </row>
    <row r="42" spans="1:54">
      <c r="A42" s="66"/>
      <c r="B42" s="64" t="s">
        <v>174</v>
      </c>
      <c r="C42" s="64"/>
      <c r="D42" s="336"/>
      <c r="E42" s="483"/>
      <c r="F42" s="320">
        <f>SUM(F37:F41)</f>
        <v>0</v>
      </c>
      <c r="G42" s="320"/>
      <c r="H42" s="483"/>
      <c r="I42" s="320">
        <f>SUM(I37:I41)</f>
        <v>0</v>
      </c>
      <c r="J42" s="320">
        <v>0</v>
      </c>
      <c r="K42" s="483">
        <v>0</v>
      </c>
      <c r="L42" s="483">
        <f>SUM(L36:L41)</f>
        <v>0</v>
      </c>
      <c r="M42" s="320">
        <v>0</v>
      </c>
      <c r="N42" s="320">
        <v>0</v>
      </c>
      <c r="O42" s="320">
        <f>SUM(O37:O41)</f>
        <v>0</v>
      </c>
      <c r="P42" s="320">
        <v>50666</v>
      </c>
      <c r="Q42" s="483">
        <v>47613</v>
      </c>
      <c r="R42" s="320">
        <f ca="1">SUM(R37:R41)</f>
        <v>131707</v>
      </c>
      <c r="S42" s="320">
        <v>62892</v>
      </c>
      <c r="T42" s="483">
        <v>96384</v>
      </c>
      <c r="U42" s="320">
        <f ca="1">SUM(U37:U41)</f>
        <v>199194</v>
      </c>
      <c r="V42" s="320">
        <v>95767</v>
      </c>
      <c r="W42" s="483">
        <v>64375</v>
      </c>
      <c r="X42" s="320">
        <f ca="1">SUM(X37:X41)</f>
        <v>174212</v>
      </c>
      <c r="Y42" s="320">
        <v>43459</v>
      </c>
      <c r="Z42" s="320">
        <v>25280</v>
      </c>
      <c r="AA42" s="320">
        <f ca="1">SUM(AA37:AA41)</f>
        <v>505113</v>
      </c>
      <c r="AB42" s="320">
        <v>34989</v>
      </c>
      <c r="AC42" s="483">
        <v>69087</v>
      </c>
      <c r="AD42" s="320">
        <f ca="1">SUM(AD37:AD41)</f>
        <v>120128</v>
      </c>
      <c r="AE42" s="320">
        <v>25787</v>
      </c>
      <c r="AF42" s="483">
        <v>34783</v>
      </c>
      <c r="AG42" s="320">
        <f ca="1">SUM(AG37:AG41)</f>
        <v>110479</v>
      </c>
      <c r="AH42" s="320">
        <v>45639</v>
      </c>
      <c r="AI42" s="483">
        <v>31184</v>
      </c>
      <c r="AJ42" s="320">
        <f ca="1">SUM(AJ37:AJ41)</f>
        <v>84626</v>
      </c>
      <c r="AK42" s="320"/>
      <c r="AL42" s="320"/>
      <c r="AM42" s="320">
        <f ca="1">SUM(AM37:AM41)</f>
        <v>315233</v>
      </c>
      <c r="AN42" s="320">
        <v>43135</v>
      </c>
      <c r="AO42" s="483">
        <v>16085</v>
      </c>
      <c r="AP42" s="320">
        <f ca="1">SUM(AP37:AP41)</f>
        <v>65662</v>
      </c>
      <c r="AQ42" s="320">
        <v>77966</v>
      </c>
      <c r="AR42" s="483">
        <v>67382</v>
      </c>
      <c r="AS42" s="320">
        <f ca="1">SUM(AS37:AS41)</f>
        <v>186657</v>
      </c>
      <c r="AT42" s="320">
        <v>94891</v>
      </c>
      <c r="AU42" s="483">
        <v>11553</v>
      </c>
      <c r="AV42" s="320">
        <f ca="1">SUM(AV36:AV41)</f>
        <v>118925</v>
      </c>
      <c r="AW42" s="320">
        <f t="shared" ref="AW42" si="109">SUM(AW36:AW41)</f>
        <v>215992</v>
      </c>
      <c r="AX42" s="320">
        <f t="shared" ref="AX42" si="110">SUM(AX36:AX41)</f>
        <v>95020</v>
      </c>
      <c r="AY42" s="320">
        <f ca="1">SUM(AY37:AY41)</f>
        <v>371244</v>
      </c>
      <c r="AZ42" s="320">
        <f t="shared" ref="AZ42" si="111">SUM(AZ36:AZ41)</f>
        <v>365866</v>
      </c>
      <c r="BA42" s="320">
        <f t="shared" ref="BA42" si="112">SUM(BA36:BA41)</f>
        <v>255354</v>
      </c>
      <c r="BB42" s="320">
        <f t="shared" ref="BB42" ca="1" si="113">SUM(BB36:BB41)</f>
        <v>1191590</v>
      </c>
    </row>
    <row r="43" spans="1:54" ht="14.65" thickBot="1">
      <c r="A43" s="7"/>
      <c r="B43" s="7"/>
      <c r="C43" s="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7"/>
      <c r="R43" s="337"/>
      <c r="S43" s="337"/>
      <c r="T43" s="337"/>
      <c r="U43" s="337"/>
      <c r="V43" s="337"/>
      <c r="W43" s="337"/>
      <c r="X43" s="337"/>
      <c r="Y43" s="337"/>
      <c r="Z43" s="337"/>
      <c r="AA43" s="337"/>
      <c r="AB43" s="337"/>
      <c r="AC43" s="337"/>
      <c r="AD43" s="337"/>
      <c r="AE43" s="337"/>
      <c r="AF43" s="337"/>
      <c r="AG43" s="337"/>
      <c r="AH43" s="337"/>
      <c r="AI43" s="337"/>
      <c r="AJ43" s="337"/>
      <c r="AK43" s="337"/>
      <c r="AL43" s="337"/>
      <c r="AM43" s="337"/>
      <c r="AN43" s="337"/>
      <c r="AO43" s="337"/>
      <c r="AP43" s="337"/>
      <c r="AQ43" s="337"/>
      <c r="AR43" s="337"/>
      <c r="AS43" s="337"/>
      <c r="AT43" s="337"/>
      <c r="AU43" s="337"/>
      <c r="AV43" s="337"/>
      <c r="AW43" s="337"/>
      <c r="AX43" s="337"/>
      <c r="AY43" s="337"/>
      <c r="AZ43" s="337"/>
      <c r="BA43" s="337"/>
      <c r="BB43" s="337"/>
    </row>
    <row r="44" spans="1:54" ht="26.25">
      <c r="A44" s="66" t="s">
        <v>101</v>
      </c>
      <c r="B44" s="66" t="s">
        <v>149</v>
      </c>
      <c r="C44" s="66" t="s">
        <v>173</v>
      </c>
      <c r="D44" s="259"/>
      <c r="E44" s="259"/>
      <c r="F44" s="261" t="s">
        <v>34</v>
      </c>
      <c r="G44" s="259"/>
      <c r="H44" s="259"/>
      <c r="I44" s="261" t="s">
        <v>34</v>
      </c>
      <c r="J44" s="259" t="s">
        <v>174</v>
      </c>
      <c r="K44" s="259" t="s">
        <v>181</v>
      </c>
      <c r="L44" s="261" t="s">
        <v>34</v>
      </c>
      <c r="M44" s="259" t="s">
        <v>174</v>
      </c>
      <c r="N44" s="259" t="s">
        <v>181</v>
      </c>
      <c r="O44" s="261" t="s">
        <v>34</v>
      </c>
      <c r="P44" s="259" t="s">
        <v>174</v>
      </c>
      <c r="Q44" s="259" t="s">
        <v>181</v>
      </c>
      <c r="R44" s="261" t="s">
        <v>34</v>
      </c>
      <c r="S44" s="259" t="s">
        <v>174</v>
      </c>
      <c r="T44" s="259" t="s">
        <v>181</v>
      </c>
      <c r="U44" s="261" t="s">
        <v>34</v>
      </c>
      <c r="V44" s="259" t="s">
        <v>174</v>
      </c>
      <c r="W44" s="259" t="s">
        <v>181</v>
      </c>
      <c r="X44" s="261" t="s">
        <v>34</v>
      </c>
      <c r="Y44" s="259" t="s">
        <v>174</v>
      </c>
      <c r="Z44" s="259" t="s">
        <v>181</v>
      </c>
      <c r="AA44" s="261" t="s">
        <v>34</v>
      </c>
      <c r="AB44" s="259" t="s">
        <v>174</v>
      </c>
      <c r="AC44" s="259" t="s">
        <v>181</v>
      </c>
      <c r="AD44" s="261" t="s">
        <v>34</v>
      </c>
      <c r="AE44" s="259" t="s">
        <v>174</v>
      </c>
      <c r="AF44" s="259" t="s">
        <v>181</v>
      </c>
      <c r="AG44" s="261" t="s">
        <v>34</v>
      </c>
      <c r="AH44" s="259" t="s">
        <v>174</v>
      </c>
      <c r="AI44" s="259" t="s">
        <v>181</v>
      </c>
      <c r="AJ44" s="261" t="s">
        <v>34</v>
      </c>
      <c r="AK44" s="259" t="s">
        <v>174</v>
      </c>
      <c r="AL44" s="259" t="s">
        <v>181</v>
      </c>
      <c r="AM44" s="261" t="s">
        <v>34</v>
      </c>
      <c r="AN44" s="259" t="s">
        <v>174</v>
      </c>
      <c r="AO44" s="259" t="s">
        <v>181</v>
      </c>
      <c r="AP44" s="261" t="s">
        <v>34</v>
      </c>
      <c r="AQ44" s="259" t="s">
        <v>174</v>
      </c>
      <c r="AR44" s="259" t="s">
        <v>181</v>
      </c>
      <c r="AS44" s="261" t="s">
        <v>34</v>
      </c>
      <c r="AT44" s="259" t="s">
        <v>174</v>
      </c>
      <c r="AU44" s="259" t="s">
        <v>181</v>
      </c>
      <c r="AV44" s="261" t="s">
        <v>34</v>
      </c>
      <c r="AW44" s="259" t="s">
        <v>174</v>
      </c>
      <c r="AX44" s="259" t="s">
        <v>181</v>
      </c>
      <c r="AY44" s="261" t="s">
        <v>34</v>
      </c>
      <c r="AZ44" s="259" t="s">
        <v>174</v>
      </c>
      <c r="BA44" s="259" t="s">
        <v>181</v>
      </c>
      <c r="BB44" s="261" t="s">
        <v>34</v>
      </c>
    </row>
    <row r="45" spans="1:54">
      <c r="A45" s="67" t="s">
        <v>95</v>
      </c>
      <c r="B45" s="68" t="s">
        <v>108</v>
      </c>
      <c r="C45" s="291"/>
      <c r="D45" s="353"/>
      <c r="E45" s="353"/>
      <c r="F45" s="326"/>
      <c r="G45" s="353"/>
      <c r="H45" s="353"/>
      <c r="I45" s="326"/>
      <c r="J45" s="353"/>
      <c r="K45" s="353"/>
      <c r="L45" s="326"/>
      <c r="M45" s="398"/>
      <c r="N45" s="398"/>
      <c r="O45" s="295">
        <f t="shared" ref="O45:O50" si="114">F45+I45+L45</f>
        <v>0</v>
      </c>
      <c r="P45" s="353"/>
      <c r="Q45" s="353"/>
      <c r="R45" s="326"/>
      <c r="S45" s="353"/>
      <c r="T45" s="353"/>
      <c r="U45" s="326"/>
      <c r="V45" s="353"/>
      <c r="W45" s="353"/>
      <c r="X45" s="326"/>
      <c r="Y45" s="398"/>
      <c r="Z45" s="398"/>
      <c r="AA45" s="295">
        <f t="shared" ref="AA45:AA50" si="115">R45+U45+X45</f>
        <v>0</v>
      </c>
      <c r="AB45" s="353"/>
      <c r="AC45" s="353"/>
      <c r="AD45" s="326"/>
      <c r="AE45" s="353"/>
      <c r="AF45" s="353"/>
      <c r="AG45" s="326"/>
      <c r="AH45" s="353"/>
      <c r="AI45" s="353"/>
      <c r="AJ45" s="326"/>
      <c r="AK45" s="398"/>
      <c r="AL45" s="398"/>
      <c r="AM45" s="295">
        <f t="shared" ref="AM45:AM50" si="116">AD45+AG45+AJ45</f>
        <v>0</v>
      </c>
      <c r="AN45" s="353"/>
      <c r="AO45" s="353"/>
      <c r="AP45" s="326"/>
      <c r="AQ45" s="353"/>
      <c r="AR45" s="353"/>
      <c r="AS45" s="326"/>
      <c r="AT45" s="353"/>
      <c r="AU45" s="353"/>
      <c r="AV45" s="326"/>
      <c r="AW45" s="398"/>
      <c r="AX45" s="398"/>
      <c r="AY45" s="295">
        <f t="shared" ref="AY45:AY50" si="117">AP45+AS45+AV45</f>
        <v>0</v>
      </c>
      <c r="AZ45" s="355"/>
      <c r="BA45" s="355"/>
      <c r="BB45" s="295">
        <f t="shared" ref="BB45:BB51" si="118">AA45+AM45+AY45</f>
        <v>0</v>
      </c>
    </row>
    <row r="46" spans="1:54">
      <c r="A46" s="67" t="s">
        <v>95</v>
      </c>
      <c r="B46" s="68" t="s">
        <v>105</v>
      </c>
      <c r="C46" s="291"/>
      <c r="D46" s="353"/>
      <c r="E46" s="353"/>
      <c r="F46" s="326"/>
      <c r="G46" s="353"/>
      <c r="H46" s="353"/>
      <c r="I46" s="326"/>
      <c r="J46" s="353"/>
      <c r="K46" s="353"/>
      <c r="L46" s="326"/>
      <c r="M46" s="398"/>
      <c r="N46" s="398"/>
      <c r="O46" s="295">
        <f t="shared" si="114"/>
        <v>0</v>
      </c>
      <c r="P46" s="353"/>
      <c r="Q46" s="353"/>
      <c r="R46" s="326"/>
      <c r="S46" s="353"/>
      <c r="T46" s="353"/>
      <c r="U46" s="326"/>
      <c r="V46" s="353"/>
      <c r="W46" s="353"/>
      <c r="X46" s="326"/>
      <c r="Y46" s="398"/>
      <c r="Z46" s="398"/>
      <c r="AA46" s="295">
        <f t="shared" si="115"/>
        <v>0</v>
      </c>
      <c r="AB46" s="353"/>
      <c r="AC46" s="353"/>
      <c r="AD46" s="326"/>
      <c r="AE46" s="353"/>
      <c r="AF46" s="353"/>
      <c r="AG46" s="326"/>
      <c r="AH46" s="353"/>
      <c r="AI46" s="353"/>
      <c r="AJ46" s="326"/>
      <c r="AK46" s="398"/>
      <c r="AL46" s="398"/>
      <c r="AM46" s="295">
        <f t="shared" si="116"/>
        <v>0</v>
      </c>
      <c r="AN46" s="353"/>
      <c r="AO46" s="353"/>
      <c r="AP46" s="326"/>
      <c r="AQ46" s="353"/>
      <c r="AR46" s="353"/>
      <c r="AS46" s="326"/>
      <c r="AT46" s="353"/>
      <c r="AU46" s="353"/>
      <c r="AV46" s="326"/>
      <c r="AW46" s="398"/>
      <c r="AX46" s="398"/>
      <c r="AY46" s="295">
        <f t="shared" si="117"/>
        <v>0</v>
      </c>
      <c r="AZ46" s="355"/>
      <c r="BA46" s="355"/>
      <c r="BB46" s="295">
        <f t="shared" si="118"/>
        <v>0</v>
      </c>
    </row>
    <row r="47" spans="1:54">
      <c r="A47" s="67"/>
      <c r="B47" s="465" t="s">
        <v>178</v>
      </c>
      <c r="C47" s="291"/>
      <c r="D47" s="353"/>
      <c r="E47" s="353"/>
      <c r="F47" s="326"/>
      <c r="G47" s="292"/>
      <c r="H47" s="353"/>
      <c r="I47" s="326"/>
      <c r="J47" s="353"/>
      <c r="K47" s="353"/>
      <c r="L47" s="326"/>
      <c r="M47" s="398"/>
      <c r="N47" s="398"/>
      <c r="O47" s="295">
        <f t="shared" si="114"/>
        <v>0</v>
      </c>
      <c r="P47" s="353"/>
      <c r="Q47" s="353"/>
      <c r="R47" s="326"/>
      <c r="S47" s="353"/>
      <c r="T47" s="353"/>
      <c r="U47" s="326"/>
      <c r="V47" s="353"/>
      <c r="W47" s="353"/>
      <c r="X47" s="326"/>
      <c r="Y47" s="398"/>
      <c r="Z47" s="398"/>
      <c r="AA47" s="295">
        <f t="shared" si="115"/>
        <v>0</v>
      </c>
      <c r="AB47" s="353"/>
      <c r="AC47" s="353"/>
      <c r="AD47" s="326"/>
      <c r="AE47" s="353"/>
      <c r="AF47" s="353"/>
      <c r="AG47" s="326"/>
      <c r="AH47" s="353"/>
      <c r="AI47" s="353"/>
      <c r="AJ47" s="326"/>
      <c r="AK47" s="398"/>
      <c r="AL47" s="398"/>
      <c r="AM47" s="295">
        <f t="shared" si="116"/>
        <v>0</v>
      </c>
      <c r="AN47" s="353"/>
      <c r="AO47" s="353"/>
      <c r="AP47" s="326"/>
      <c r="AQ47" s="353"/>
      <c r="AR47" s="353"/>
      <c r="AS47" s="326"/>
      <c r="AT47" s="353"/>
      <c r="AU47" s="353"/>
      <c r="AV47" s="326"/>
      <c r="AW47" s="398"/>
      <c r="AX47" s="398"/>
      <c r="AY47" s="295">
        <f t="shared" si="117"/>
        <v>0</v>
      </c>
      <c r="AZ47" s="355"/>
      <c r="BA47" s="355"/>
      <c r="BB47" s="295">
        <f t="shared" si="118"/>
        <v>0</v>
      </c>
    </row>
    <row r="48" spans="1:54">
      <c r="A48" s="67"/>
      <c r="B48" s="68" t="s">
        <v>178</v>
      </c>
      <c r="C48" s="291"/>
      <c r="D48" s="292"/>
      <c r="E48" s="292"/>
      <c r="F48" s="326"/>
      <c r="G48" s="292"/>
      <c r="H48" s="292"/>
      <c r="I48" s="326"/>
      <c r="J48" s="292"/>
      <c r="K48" s="292"/>
      <c r="L48" s="326"/>
      <c r="M48" s="328"/>
      <c r="N48" s="328"/>
      <c r="O48" s="295">
        <f t="shared" si="114"/>
        <v>0</v>
      </c>
      <c r="P48" s="292"/>
      <c r="Q48" s="292"/>
      <c r="R48" s="326"/>
      <c r="S48" s="292"/>
      <c r="T48" s="292"/>
      <c r="U48" s="326"/>
      <c r="V48" s="292"/>
      <c r="W48" s="292"/>
      <c r="X48" s="326"/>
      <c r="Y48" s="328"/>
      <c r="Z48" s="328"/>
      <c r="AA48" s="295">
        <f t="shared" si="115"/>
        <v>0</v>
      </c>
      <c r="AB48" s="292"/>
      <c r="AC48" s="292"/>
      <c r="AD48" s="326"/>
      <c r="AE48" s="292"/>
      <c r="AF48" s="292"/>
      <c r="AG48" s="326"/>
      <c r="AH48" s="292"/>
      <c r="AI48" s="292"/>
      <c r="AJ48" s="326"/>
      <c r="AK48" s="328"/>
      <c r="AL48" s="328"/>
      <c r="AM48" s="295">
        <f t="shared" si="116"/>
        <v>0</v>
      </c>
      <c r="AN48" s="292"/>
      <c r="AO48" s="292"/>
      <c r="AP48" s="326"/>
      <c r="AQ48" s="292"/>
      <c r="AR48" s="292"/>
      <c r="AS48" s="326"/>
      <c r="AT48" s="292"/>
      <c r="AU48" s="292"/>
      <c r="AV48" s="326"/>
      <c r="AW48" s="328"/>
      <c r="AX48" s="328"/>
      <c r="AY48" s="295">
        <f t="shared" si="117"/>
        <v>0</v>
      </c>
      <c r="AZ48" s="297"/>
      <c r="BA48" s="297"/>
      <c r="BB48" s="295">
        <f t="shared" si="118"/>
        <v>0</v>
      </c>
    </row>
    <row r="49" spans="1:54">
      <c r="A49" s="67"/>
      <c r="B49" s="68" t="s">
        <v>178</v>
      </c>
      <c r="C49" s="291"/>
      <c r="D49" s="292"/>
      <c r="E49" s="292"/>
      <c r="F49" s="326"/>
      <c r="G49" s="292"/>
      <c r="H49" s="292"/>
      <c r="I49" s="326"/>
      <c r="J49" s="292"/>
      <c r="K49" s="292"/>
      <c r="L49" s="326"/>
      <c r="M49" s="328"/>
      <c r="N49" s="328"/>
      <c r="O49" s="295">
        <f t="shared" si="114"/>
        <v>0</v>
      </c>
      <c r="P49" s="292"/>
      <c r="Q49" s="292"/>
      <c r="R49" s="326"/>
      <c r="S49" s="292"/>
      <c r="T49" s="292"/>
      <c r="U49" s="326"/>
      <c r="V49" s="292"/>
      <c r="W49" s="292"/>
      <c r="X49" s="326"/>
      <c r="Y49" s="328"/>
      <c r="Z49" s="328"/>
      <c r="AA49" s="295">
        <f t="shared" si="115"/>
        <v>0</v>
      </c>
      <c r="AB49" s="292"/>
      <c r="AC49" s="292"/>
      <c r="AD49" s="326"/>
      <c r="AE49" s="292"/>
      <c r="AF49" s="292"/>
      <c r="AG49" s="326"/>
      <c r="AH49" s="292"/>
      <c r="AI49" s="292"/>
      <c r="AJ49" s="326"/>
      <c r="AK49" s="328"/>
      <c r="AL49" s="328"/>
      <c r="AM49" s="295">
        <f t="shared" si="116"/>
        <v>0</v>
      </c>
      <c r="AN49" s="292"/>
      <c r="AO49" s="292"/>
      <c r="AP49" s="326"/>
      <c r="AQ49" s="292"/>
      <c r="AR49" s="292"/>
      <c r="AS49" s="326"/>
      <c r="AT49" s="292"/>
      <c r="AU49" s="292"/>
      <c r="AV49" s="326"/>
      <c r="AW49" s="328"/>
      <c r="AX49" s="328"/>
      <c r="AY49" s="295">
        <f t="shared" si="117"/>
        <v>0</v>
      </c>
      <c r="AZ49" s="297"/>
      <c r="BA49" s="297"/>
      <c r="BB49" s="295">
        <f t="shared" si="118"/>
        <v>0</v>
      </c>
    </row>
    <row r="50" spans="1:54">
      <c r="A50" s="67"/>
      <c r="B50" s="68" t="s">
        <v>178</v>
      </c>
      <c r="C50" s="291"/>
      <c r="D50" s="292"/>
      <c r="E50" s="292"/>
      <c r="F50" s="326"/>
      <c r="G50" s="292"/>
      <c r="H50" s="292"/>
      <c r="I50" s="326"/>
      <c r="J50" s="292"/>
      <c r="K50" s="292"/>
      <c r="L50" s="326"/>
      <c r="M50" s="328"/>
      <c r="N50" s="328"/>
      <c r="O50" s="295">
        <f t="shared" si="114"/>
        <v>0</v>
      </c>
      <c r="P50" s="292"/>
      <c r="Q50" s="292"/>
      <c r="R50" s="326"/>
      <c r="S50" s="292"/>
      <c r="T50" s="292"/>
      <c r="U50" s="326"/>
      <c r="V50" s="292"/>
      <c r="W50" s="292"/>
      <c r="X50" s="326"/>
      <c r="Y50" s="328"/>
      <c r="Z50" s="328"/>
      <c r="AA50" s="295">
        <f t="shared" si="115"/>
        <v>0</v>
      </c>
      <c r="AB50" s="292"/>
      <c r="AC50" s="292"/>
      <c r="AD50" s="326"/>
      <c r="AE50" s="292"/>
      <c r="AF50" s="292"/>
      <c r="AG50" s="326"/>
      <c r="AH50" s="292"/>
      <c r="AI50" s="292"/>
      <c r="AJ50" s="326"/>
      <c r="AK50" s="328"/>
      <c r="AL50" s="328"/>
      <c r="AM50" s="295">
        <f t="shared" si="116"/>
        <v>0</v>
      </c>
      <c r="AN50" s="292"/>
      <c r="AO50" s="292"/>
      <c r="AP50" s="326"/>
      <c r="AQ50" s="292"/>
      <c r="AR50" s="292"/>
      <c r="AS50" s="326"/>
      <c r="AT50" s="292"/>
      <c r="AU50" s="292"/>
      <c r="AV50" s="326"/>
      <c r="AW50" s="328"/>
      <c r="AX50" s="328"/>
      <c r="AY50" s="295">
        <f t="shared" si="117"/>
        <v>0</v>
      </c>
      <c r="AZ50" s="297"/>
      <c r="BA50" s="297"/>
      <c r="BB50" s="295">
        <f t="shared" si="118"/>
        <v>0</v>
      </c>
    </row>
    <row r="51" spans="1:54">
      <c r="A51" s="66"/>
      <c r="B51" s="64" t="s">
        <v>174</v>
      </c>
      <c r="C51" s="64"/>
      <c r="D51" s="336"/>
      <c r="E51" s="483"/>
      <c r="F51" s="320">
        <f>SUM(F45:F50)</f>
        <v>0</v>
      </c>
      <c r="G51" s="320"/>
      <c r="H51" s="483"/>
      <c r="I51" s="320">
        <f>SUM(I45:I50)</f>
        <v>0</v>
      </c>
      <c r="J51" s="320">
        <v>0</v>
      </c>
      <c r="K51" s="483">
        <v>0</v>
      </c>
      <c r="L51" s="483">
        <f>SUM(L45:L50)</f>
        <v>0</v>
      </c>
      <c r="M51" s="320">
        <v>0</v>
      </c>
      <c r="N51" s="320">
        <v>0</v>
      </c>
      <c r="O51" s="320">
        <f>SUM(O45:O50)</f>
        <v>0</v>
      </c>
      <c r="P51" s="320">
        <v>0</v>
      </c>
      <c r="Q51" s="483">
        <v>0</v>
      </c>
      <c r="R51" s="320">
        <f>SUM(R45:R50)</f>
        <v>0</v>
      </c>
      <c r="S51" s="320">
        <v>0</v>
      </c>
      <c r="T51" s="483">
        <v>0</v>
      </c>
      <c r="U51" s="320">
        <f>SUM(U45:U50)</f>
        <v>0</v>
      </c>
      <c r="V51" s="320">
        <v>0</v>
      </c>
      <c r="W51" s="483">
        <v>0</v>
      </c>
      <c r="X51" s="320">
        <f>SUM(X45:X50)</f>
        <v>0</v>
      </c>
      <c r="Y51" s="320">
        <v>0</v>
      </c>
      <c r="Z51" s="320">
        <v>0</v>
      </c>
      <c r="AA51" s="320">
        <f>SUM(AA45:AA50)</f>
        <v>0</v>
      </c>
      <c r="AB51" s="320">
        <v>0</v>
      </c>
      <c r="AC51" s="483">
        <v>0</v>
      </c>
      <c r="AD51" s="320">
        <f>SUM(AD45:AD50)</f>
        <v>0</v>
      </c>
      <c r="AE51" s="320">
        <v>0</v>
      </c>
      <c r="AF51" s="483">
        <v>0</v>
      </c>
      <c r="AG51" s="320">
        <f>SUM(AG45:AG50)</f>
        <v>0</v>
      </c>
      <c r="AH51" s="320">
        <v>0</v>
      </c>
      <c r="AI51" s="483">
        <v>0</v>
      </c>
      <c r="AJ51" s="320">
        <f>SUM(AJ45:AJ50)</f>
        <v>0</v>
      </c>
      <c r="AK51" s="320"/>
      <c r="AL51" s="320"/>
      <c r="AM51" s="320">
        <f>SUM(AM45:AM50)</f>
        <v>0</v>
      </c>
      <c r="AN51" s="320">
        <v>0</v>
      </c>
      <c r="AO51" s="483">
        <v>0</v>
      </c>
      <c r="AP51" s="320">
        <f>SUM(AP45:AP50)</f>
        <v>0</v>
      </c>
      <c r="AQ51" s="320">
        <v>0</v>
      </c>
      <c r="AR51" s="483">
        <v>0</v>
      </c>
      <c r="AS51" s="320">
        <f>SUM(AS45:AS50)</f>
        <v>0</v>
      </c>
      <c r="AT51" s="320">
        <v>0</v>
      </c>
      <c r="AU51" s="483">
        <v>0</v>
      </c>
      <c r="AV51" s="320">
        <f>SUM(AV45:AV50)</f>
        <v>0</v>
      </c>
      <c r="AW51" s="320">
        <f t="shared" ref="AW51" si="119">SUM(AW45:AW50)</f>
        <v>0</v>
      </c>
      <c r="AX51" s="320">
        <f t="shared" ref="AX51" si="120">SUM(AX45:AX50)</f>
        <v>0</v>
      </c>
      <c r="AY51" s="320">
        <f>SUM(AY45:AY50)</f>
        <v>0</v>
      </c>
      <c r="AZ51" s="320">
        <f t="shared" ref="AZ51" si="121">SUM(AZ45:AZ50)</f>
        <v>0</v>
      </c>
      <c r="BA51" s="320">
        <f t="shared" ref="BA51" si="122">SUM(BA45:BA50)</f>
        <v>0</v>
      </c>
      <c r="BB51" s="320">
        <f t="shared" ref="BB51" si="123">SUM(BB45:BB50)</f>
        <v>0</v>
      </c>
    </row>
  </sheetData>
  <mergeCells count="18">
    <mergeCell ref="P1:R1"/>
    <mergeCell ref="A1:C1"/>
    <mergeCell ref="D1:F1"/>
    <mergeCell ref="G1:I1"/>
    <mergeCell ref="J1:L1"/>
    <mergeCell ref="M1:O1"/>
    <mergeCell ref="AZ1:BB1"/>
    <mergeCell ref="S1:U1"/>
    <mergeCell ref="V1:X1"/>
    <mergeCell ref="Y1:AA1"/>
    <mergeCell ref="AB1:AD1"/>
    <mergeCell ref="AE1:AG1"/>
    <mergeCell ref="AH1:AJ1"/>
    <mergeCell ref="AK1:AM1"/>
    <mergeCell ref="AN1:AP1"/>
    <mergeCell ref="AQ1:AS1"/>
    <mergeCell ref="AT1:AV1"/>
    <mergeCell ref="AW1:AY1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25D6-D2F3-4275-AE30-5920631B3C51}">
  <sheetPr codeName="Sheet1">
    <tabColor theme="7"/>
  </sheetPr>
  <dimension ref="A1:BI264"/>
  <sheetViews>
    <sheetView workbookViewId="0">
      <selection activeCell="BC5" sqref="BC5"/>
    </sheetView>
  </sheetViews>
  <sheetFormatPr defaultColWidth="8.796875" defaultRowHeight="14.25"/>
  <cols>
    <col min="1" max="1" width="8.19921875" customWidth="1"/>
    <col min="2" max="2" width="10.46484375" style="55" customWidth="1"/>
    <col min="3" max="3" width="10.46484375" customWidth="1"/>
    <col min="4" max="5" width="10.46484375" style="142" customWidth="1"/>
    <col min="6" max="6" width="2.796875" customWidth="1"/>
    <col min="7" max="7" width="8.33203125" customWidth="1"/>
    <col min="8" max="8" width="6.796875" style="55" bestFit="1" customWidth="1"/>
    <col min="9" max="9" width="12.59765625" customWidth="1"/>
    <col min="10" max="10" width="9.796875" style="142" bestFit="1" customWidth="1"/>
    <col min="11" max="11" width="11.59765625" style="142" bestFit="1" customWidth="1"/>
    <col min="12" max="12" width="2.796875" customWidth="1"/>
    <col min="14" max="14" width="6.46484375" style="55" bestFit="1" customWidth="1"/>
    <col min="15" max="15" width="15.19921875" customWidth="1"/>
    <col min="16" max="16" width="10.59765625" style="142" bestFit="1" customWidth="1"/>
    <col min="17" max="17" width="11.19921875" style="142" bestFit="1" customWidth="1"/>
    <col min="18" max="18" width="2.796875" customWidth="1"/>
    <col min="20" max="20" width="11" style="55" customWidth="1"/>
    <col min="21" max="21" width="11" customWidth="1"/>
    <col min="22" max="23" width="11" style="142" customWidth="1"/>
    <col min="24" max="24" width="2.796875" customWidth="1"/>
    <col min="27" max="27" width="6.46484375" bestFit="1" customWidth="1"/>
    <col min="28" max="28" width="15.265625" style="227" customWidth="1"/>
    <col min="29" max="29" width="8.19921875" style="142" bestFit="1" customWidth="1"/>
    <col min="30" max="30" width="8.19921875" style="488" bestFit="1" customWidth="1"/>
    <col min="31" max="31" width="2.796875" customWidth="1"/>
    <col min="32" max="32" width="9.33203125" customWidth="1"/>
    <col min="35" max="35" width="8.796875" style="347"/>
    <col min="36" max="36" width="12.19921875" style="142" bestFit="1" customWidth="1"/>
    <col min="37" max="37" width="2.796875" customWidth="1"/>
    <col min="38" max="38" width="9.796875" customWidth="1"/>
    <col min="40" max="40" width="14.19921875" customWidth="1"/>
    <col min="41" max="41" width="5.19921875" style="128" bestFit="1" customWidth="1"/>
    <col min="42" max="42" width="7.46484375" style="20" bestFit="1" customWidth="1"/>
    <col min="43" max="43" width="10.19921875" style="20" bestFit="1" customWidth="1"/>
    <col min="44" max="44" width="2.59765625" customWidth="1"/>
    <col min="45" max="45" width="9.796875" customWidth="1"/>
    <col min="48" max="48" width="9.796875" style="20" bestFit="1" customWidth="1"/>
    <col min="49" max="49" width="9.796875" style="20" customWidth="1"/>
    <col min="50" max="50" width="11.46484375" style="20" bestFit="1" customWidth="1"/>
    <col min="51" max="51" width="2.796875" customWidth="1"/>
    <col min="52" max="52" width="10.33203125" customWidth="1"/>
    <col min="53" max="53" width="7.46484375" customWidth="1"/>
    <col min="54" max="54" width="9.796875" customWidth="1"/>
    <col min="55" max="55" width="12.33203125" style="347" customWidth="1"/>
    <col min="56" max="56" width="7.265625" style="486" bestFit="1" customWidth="1"/>
    <col min="61" max="61" width="8.796875" style="444"/>
  </cols>
  <sheetData>
    <row r="1" spans="1:61" s="2" customFormat="1">
      <c r="A1" s="557" t="s">
        <v>0</v>
      </c>
      <c r="B1" s="54" t="s">
        <v>1</v>
      </c>
      <c r="C1" s="1" t="s">
        <v>2</v>
      </c>
      <c r="D1" s="221" t="s">
        <v>3</v>
      </c>
      <c r="E1" s="221" t="s">
        <v>4</v>
      </c>
      <c r="G1" s="569" t="s">
        <v>60</v>
      </c>
      <c r="H1" s="60" t="s">
        <v>1</v>
      </c>
      <c r="I1" s="61" t="s">
        <v>2</v>
      </c>
      <c r="J1" s="222" t="s">
        <v>86</v>
      </c>
      <c r="K1" s="222" t="s">
        <v>87</v>
      </c>
      <c r="M1" s="560" t="s">
        <v>5</v>
      </c>
      <c r="N1" s="56" t="s">
        <v>1</v>
      </c>
      <c r="O1" s="3" t="s">
        <v>2</v>
      </c>
      <c r="P1" s="223" t="s">
        <v>3</v>
      </c>
      <c r="Q1" s="223" t="s">
        <v>6</v>
      </c>
      <c r="S1" s="563" t="s">
        <v>7</v>
      </c>
      <c r="T1" s="57" t="s">
        <v>1</v>
      </c>
      <c r="U1" s="4" t="s">
        <v>2</v>
      </c>
      <c r="V1" s="224" t="s">
        <v>3</v>
      </c>
      <c r="W1" s="224" t="s">
        <v>6</v>
      </c>
      <c r="Y1" s="566" t="s">
        <v>107</v>
      </c>
      <c r="Z1" s="5" t="s">
        <v>102</v>
      </c>
      <c r="AA1" s="5" t="s">
        <v>1</v>
      </c>
      <c r="AB1" s="226" t="s">
        <v>2</v>
      </c>
      <c r="AC1" s="225" t="s">
        <v>3</v>
      </c>
      <c r="AD1" s="487" t="s">
        <v>103</v>
      </c>
      <c r="AF1" s="554" t="s">
        <v>162</v>
      </c>
      <c r="AG1" s="345" t="s">
        <v>1</v>
      </c>
      <c r="AH1" s="345" t="s">
        <v>140</v>
      </c>
      <c r="AI1" s="349" t="s">
        <v>141</v>
      </c>
      <c r="AJ1" s="346" t="s">
        <v>142</v>
      </c>
      <c r="AL1" s="554" t="s">
        <v>147</v>
      </c>
      <c r="AM1" s="345" t="s">
        <v>1</v>
      </c>
      <c r="AN1" s="345" t="s">
        <v>140</v>
      </c>
      <c r="AO1" s="348" t="s">
        <v>144</v>
      </c>
      <c r="AP1" s="346" t="s">
        <v>145</v>
      </c>
      <c r="AQ1" s="346" t="s">
        <v>146</v>
      </c>
      <c r="AS1" s="554" t="s">
        <v>148</v>
      </c>
      <c r="AT1" s="345" t="s">
        <v>1</v>
      </c>
      <c r="AU1" s="345" t="s">
        <v>140</v>
      </c>
      <c r="AV1" s="350" t="s">
        <v>166</v>
      </c>
      <c r="AW1" s="350" t="s">
        <v>167</v>
      </c>
      <c r="AX1" s="346" t="s">
        <v>87</v>
      </c>
      <c r="AZ1" s="554" t="s">
        <v>176</v>
      </c>
      <c r="BA1" s="345" t="s">
        <v>1</v>
      </c>
      <c r="BB1" s="345" t="s">
        <v>2</v>
      </c>
      <c r="BC1" s="349" t="s">
        <v>175</v>
      </c>
      <c r="BD1" s="485" t="s">
        <v>182</v>
      </c>
      <c r="BI1" s="489"/>
    </row>
    <row r="2" spans="1:61">
      <c r="A2" s="558"/>
      <c r="B2" s="55" t="s">
        <v>23</v>
      </c>
      <c r="C2" t="s">
        <v>40</v>
      </c>
      <c r="D2" s="142">
        <f ca="1">RANDBETWEEN(100000,1000000)</f>
        <v>913126</v>
      </c>
      <c r="E2" s="142">
        <f ca="1">RANDBETWEEN(D2,D2+RANDBETWEEN(1000,10000))</f>
        <v>915355</v>
      </c>
      <c r="G2" s="570"/>
      <c r="H2" s="55" t="s">
        <v>27</v>
      </c>
      <c r="I2" t="s">
        <v>49</v>
      </c>
      <c r="J2" s="142">
        <f ca="1">RANDBETWEEN(100000,1000000)</f>
        <v>680494</v>
      </c>
      <c r="K2" s="142">
        <f ca="1">RANDBETWEEN(J2,J2+RANDBETWEEN(1000,10000))</f>
        <v>680603</v>
      </c>
      <c r="M2" s="561"/>
      <c r="N2" s="55" t="s">
        <v>26</v>
      </c>
      <c r="O2" t="s">
        <v>49</v>
      </c>
      <c r="P2" s="142">
        <f ca="1">RANDBETWEEN(100000,1000000)</f>
        <v>951807</v>
      </c>
      <c r="Q2" s="142">
        <f ca="1">RANDBETWEEN(P2,P2+RANDBETWEEN(1000,10000))</f>
        <v>954961</v>
      </c>
      <c r="S2" s="564"/>
      <c r="T2" s="55" t="s">
        <v>24</v>
      </c>
      <c r="U2" t="s">
        <v>75</v>
      </c>
      <c r="V2" s="142">
        <f ca="1">RANDBETWEEN(100000,1000000)</f>
        <v>729626</v>
      </c>
      <c r="W2" s="142">
        <f ca="1">RANDBETWEEN(V2,V2+RANDBETWEEN(1000,10000))</f>
        <v>732196</v>
      </c>
      <c r="Y2" s="567"/>
      <c r="Z2" t="s">
        <v>164</v>
      </c>
      <c r="AA2">
        <v>2021</v>
      </c>
      <c r="AB2" s="227" t="s">
        <v>104</v>
      </c>
      <c r="AC2" s="142">
        <f ca="1">RANDBETWEEN(100000,1000000)</f>
        <v>336097</v>
      </c>
      <c r="AD2" s="142">
        <f ca="1">RANDBETWEEN(AC2,AC2+RANDBETWEEN(1000,10000))</f>
        <v>343463</v>
      </c>
      <c r="AF2" s="555"/>
      <c r="AG2">
        <v>2021</v>
      </c>
      <c r="AH2" t="s">
        <v>139</v>
      </c>
      <c r="AI2" s="142">
        <f ca="1">RANDBETWEEN(1000,10000)</f>
        <v>8842</v>
      </c>
      <c r="AJ2" s="142">
        <f ca="1">RANDBETWEEN(AI2,AI2+RANDBETWEEN(100,1000))</f>
        <v>9334</v>
      </c>
      <c r="AL2" s="555"/>
      <c r="AM2">
        <v>2021</v>
      </c>
      <c r="AN2" t="s">
        <v>171</v>
      </c>
      <c r="AO2" s="128">
        <v>0</v>
      </c>
      <c r="AP2" s="142">
        <f ca="1">RANDBETWEEN(10000,100000)</f>
        <v>49381</v>
      </c>
      <c r="AQ2" s="142">
        <f ca="1">RANDBETWEEN(AP2,AP2+RANDBETWEEN(1000,10000))</f>
        <v>50848</v>
      </c>
      <c r="AS2" s="555"/>
      <c r="AT2">
        <v>2021</v>
      </c>
      <c r="AU2" t="s">
        <v>104</v>
      </c>
      <c r="AV2" s="142">
        <f ca="1">RANDBETWEEN(10000,100000)</f>
        <v>23906</v>
      </c>
      <c r="AW2" s="142">
        <f ca="1">RANDBETWEEN(10000,100000)</f>
        <v>44794</v>
      </c>
      <c r="AX2" s="142">
        <f ca="1">RANDBETWEEN(AV2+AW2,AV2+AW2+RANDBETWEEN(1000,10000))</f>
        <v>69971</v>
      </c>
      <c r="AZ2" s="555"/>
      <c r="BA2" t="s">
        <v>25</v>
      </c>
      <c r="BB2" t="s">
        <v>106</v>
      </c>
      <c r="BC2" s="142">
        <f ca="1">RANDBETWEEN(10000,100000)</f>
        <v>24513</v>
      </c>
      <c r="BD2" s="142">
        <f ca="1">RANDBETWEEN(10000,100000)</f>
        <v>44055</v>
      </c>
    </row>
    <row r="3" spans="1:61" ht="14.65" thickBot="1">
      <c r="A3" s="559"/>
      <c r="B3" s="55" t="s">
        <v>10</v>
      </c>
      <c r="C3" t="s">
        <v>47</v>
      </c>
      <c r="D3" s="142">
        <f t="shared" ref="D3:D66" ca="1" si="0">RANDBETWEEN(100000,1000000)</f>
        <v>875124</v>
      </c>
      <c r="E3" s="142">
        <f t="shared" ref="E3:E66" ca="1" si="1">RANDBETWEEN(D3,D3+RANDBETWEEN(1000,10000))</f>
        <v>877275</v>
      </c>
      <c r="G3" s="571"/>
      <c r="H3" s="55" t="s">
        <v>22</v>
      </c>
      <c r="I3" t="s">
        <v>49</v>
      </c>
      <c r="J3" s="142">
        <f t="shared" ref="J3:J66" ca="1" si="2">RANDBETWEEN(100000,1000000)</f>
        <v>227845</v>
      </c>
      <c r="K3" s="142">
        <f t="shared" ref="K3:K66" ca="1" si="3">RANDBETWEEN(J3,J3+RANDBETWEEN(1000,10000))</f>
        <v>230604</v>
      </c>
      <c r="M3" s="562"/>
      <c r="N3" s="55" t="s">
        <v>29</v>
      </c>
      <c r="O3" t="s">
        <v>50</v>
      </c>
      <c r="P3" s="142">
        <f t="shared" ref="P3:P66" ca="1" si="4">RANDBETWEEN(100000,1000000)</f>
        <v>442368</v>
      </c>
      <c r="Q3" s="142">
        <f t="shared" ref="Q3:Q66" ca="1" si="5">RANDBETWEEN(P3,P3+RANDBETWEEN(1000,10000))</f>
        <v>442727</v>
      </c>
      <c r="S3" s="565"/>
      <c r="T3" s="55" t="s">
        <v>25</v>
      </c>
      <c r="U3" t="s">
        <v>75</v>
      </c>
      <c r="V3" s="142">
        <f t="shared" ref="V3:V66" ca="1" si="6">RANDBETWEEN(100000,1000000)</f>
        <v>791609</v>
      </c>
      <c r="W3" s="142">
        <f t="shared" ref="W3:W66" ca="1" si="7">RANDBETWEEN(V3,V3+RANDBETWEEN(1000,10000))</f>
        <v>794845</v>
      </c>
      <c r="Y3" s="568"/>
      <c r="Z3" t="s">
        <v>164</v>
      </c>
      <c r="AA3" t="s">
        <v>24</v>
      </c>
      <c r="AB3" s="227" t="s">
        <v>104</v>
      </c>
      <c r="AC3" s="142">
        <f t="shared" ref="AC3:AC34" ca="1" si="8">RANDBETWEEN(100000,1000000)</f>
        <v>510140</v>
      </c>
      <c r="AD3" s="142">
        <f t="shared" ref="AD3:AD34" ca="1" si="9">RANDBETWEEN(AC3,AC3+RANDBETWEEN(1000,10000))</f>
        <v>510815</v>
      </c>
      <c r="AF3" s="556"/>
      <c r="AG3">
        <v>2021</v>
      </c>
      <c r="AH3" t="s">
        <v>134</v>
      </c>
      <c r="AI3" s="142">
        <f t="shared" ref="AI3:AJ66" ca="1" si="10">RANDBETWEEN(1000,10000)</f>
        <v>1235</v>
      </c>
      <c r="AJ3" s="142">
        <f t="shared" ref="AJ3:AJ66" ca="1" si="11">RANDBETWEEN(AI3,AI3+RANDBETWEEN(100,1000))</f>
        <v>1794</v>
      </c>
      <c r="AL3" s="556"/>
      <c r="AM3">
        <v>2021</v>
      </c>
      <c r="AN3" t="s">
        <v>158</v>
      </c>
      <c r="AO3" s="128">
        <v>0.2</v>
      </c>
      <c r="AP3" s="142">
        <f t="shared" ref="AP3:AQ68" ca="1" si="12">RANDBETWEEN(10000,100000)</f>
        <v>87247</v>
      </c>
      <c r="AQ3" s="142">
        <f t="shared" ref="AQ3:AQ68" ca="1" si="13">RANDBETWEEN(AP3,AP3+RANDBETWEEN(1000,10000))</f>
        <v>92728</v>
      </c>
      <c r="AS3" s="556"/>
      <c r="AT3">
        <v>2021</v>
      </c>
      <c r="AU3" t="s">
        <v>158</v>
      </c>
      <c r="AV3" s="142">
        <f t="shared" ref="AV3:AY66" ca="1" si="14">RANDBETWEEN(10000,100000)</f>
        <v>77034</v>
      </c>
      <c r="AW3" s="142">
        <f t="shared" ca="1" si="14"/>
        <v>73305</v>
      </c>
      <c r="AX3" s="142">
        <f t="shared" ref="AX3:AX64" ca="1" si="15">RANDBETWEEN(AV3+AW3,AV3+AW3+RANDBETWEEN(1000,10000))</f>
        <v>154247</v>
      </c>
      <c r="AZ3" s="556"/>
      <c r="BA3">
        <v>2021</v>
      </c>
      <c r="BB3" t="s">
        <v>106</v>
      </c>
      <c r="BC3" s="142">
        <f t="shared" ref="BC3:BD18" ca="1" si="16">RANDBETWEEN(10000,100000)</f>
        <v>39437</v>
      </c>
      <c r="BD3" s="142">
        <f t="shared" ca="1" si="16"/>
        <v>40678</v>
      </c>
    </row>
    <row r="4" spans="1:61">
      <c r="B4" s="55" t="s">
        <v>10</v>
      </c>
      <c r="C4" t="s">
        <v>52</v>
      </c>
      <c r="D4" s="142">
        <f t="shared" ca="1" si="0"/>
        <v>605519</v>
      </c>
      <c r="E4" s="142">
        <f t="shared" ca="1" si="1"/>
        <v>613126</v>
      </c>
      <c r="H4" s="55" t="s">
        <v>12</v>
      </c>
      <c r="I4" t="s">
        <v>50</v>
      </c>
      <c r="J4" s="142">
        <f t="shared" ca="1" si="2"/>
        <v>430388</v>
      </c>
      <c r="K4" s="142">
        <f t="shared" ca="1" si="3"/>
        <v>434270</v>
      </c>
      <c r="N4" s="55" t="s">
        <v>29</v>
      </c>
      <c r="O4" t="s">
        <v>49</v>
      </c>
      <c r="P4" s="142">
        <f t="shared" ca="1" si="4"/>
        <v>498146</v>
      </c>
      <c r="Q4" s="142">
        <f t="shared" ca="1" si="5"/>
        <v>499100</v>
      </c>
      <c r="T4" s="55" t="s">
        <v>29</v>
      </c>
      <c r="U4" t="s">
        <v>75</v>
      </c>
      <c r="V4" s="142">
        <f t="shared" ca="1" si="6"/>
        <v>966952</v>
      </c>
      <c r="W4" s="142">
        <f t="shared" ca="1" si="7"/>
        <v>973350</v>
      </c>
      <c r="Z4" t="s">
        <v>164</v>
      </c>
      <c r="AA4" t="s">
        <v>25</v>
      </c>
      <c r="AB4" s="227" t="s">
        <v>104</v>
      </c>
      <c r="AC4" s="142">
        <f t="shared" ca="1" si="8"/>
        <v>649025</v>
      </c>
      <c r="AD4" s="142">
        <f t="shared" ca="1" si="9"/>
        <v>652554</v>
      </c>
      <c r="AG4">
        <v>2021</v>
      </c>
      <c r="AH4" t="s">
        <v>126</v>
      </c>
      <c r="AI4" s="142">
        <f t="shared" ca="1" si="10"/>
        <v>8624</v>
      </c>
      <c r="AJ4" s="142">
        <f t="shared" ca="1" si="11"/>
        <v>9213</v>
      </c>
      <c r="AM4">
        <v>2021</v>
      </c>
      <c r="AN4" t="s">
        <v>139</v>
      </c>
      <c r="AO4" s="128">
        <v>0.15</v>
      </c>
      <c r="AP4" s="142">
        <f t="shared" ca="1" si="12"/>
        <v>80715</v>
      </c>
      <c r="AQ4" s="142">
        <f t="shared" ca="1" si="13"/>
        <v>83991</v>
      </c>
      <c r="AT4">
        <v>2021</v>
      </c>
      <c r="AU4" t="s">
        <v>171</v>
      </c>
      <c r="AV4" s="142">
        <f t="shared" ca="1" si="14"/>
        <v>33905</v>
      </c>
      <c r="AW4" s="142">
        <f t="shared" ca="1" si="14"/>
        <v>28430</v>
      </c>
      <c r="AX4" s="142">
        <f t="shared" ca="1" si="15"/>
        <v>63881</v>
      </c>
      <c r="BA4" t="s">
        <v>9</v>
      </c>
      <c r="BB4" t="s">
        <v>104</v>
      </c>
      <c r="BC4" s="142">
        <f t="shared" ca="1" si="16"/>
        <v>99092</v>
      </c>
      <c r="BD4" s="142">
        <f t="shared" ca="1" si="16"/>
        <v>42893</v>
      </c>
    </row>
    <row r="5" spans="1:61">
      <c r="B5" s="55" t="s">
        <v>23</v>
      </c>
      <c r="C5" t="s">
        <v>18</v>
      </c>
      <c r="D5" s="142">
        <f t="shared" ca="1" si="0"/>
        <v>913132</v>
      </c>
      <c r="E5" s="142">
        <f t="shared" ca="1" si="1"/>
        <v>916942</v>
      </c>
      <c r="H5" s="55" t="s">
        <v>9</v>
      </c>
      <c r="I5" t="s">
        <v>49</v>
      </c>
      <c r="J5" s="142">
        <f t="shared" ca="1" si="2"/>
        <v>802293</v>
      </c>
      <c r="K5" s="142">
        <f t="shared" ca="1" si="3"/>
        <v>803039</v>
      </c>
      <c r="N5" s="55" t="s">
        <v>24</v>
      </c>
      <c r="O5" t="s">
        <v>50</v>
      </c>
      <c r="P5" s="142">
        <f t="shared" ca="1" si="4"/>
        <v>199162</v>
      </c>
      <c r="Q5" s="142">
        <f t="shared" ca="1" si="5"/>
        <v>203487</v>
      </c>
      <c r="T5" s="55" t="s">
        <v>26</v>
      </c>
      <c r="U5" t="s">
        <v>75</v>
      </c>
      <c r="V5" s="142">
        <f t="shared" ca="1" si="6"/>
        <v>544850</v>
      </c>
      <c r="W5" s="142">
        <f t="shared" ca="1" si="7"/>
        <v>548905</v>
      </c>
      <c r="Z5" t="s">
        <v>164</v>
      </c>
      <c r="AA5" t="s">
        <v>23</v>
      </c>
      <c r="AB5" s="227" t="s">
        <v>104</v>
      </c>
      <c r="AC5" s="142">
        <f t="shared" ca="1" si="8"/>
        <v>402641</v>
      </c>
      <c r="AD5" s="142">
        <f t="shared" ca="1" si="9"/>
        <v>403684</v>
      </c>
      <c r="AG5">
        <v>2021</v>
      </c>
      <c r="AH5" t="s">
        <v>43</v>
      </c>
      <c r="AI5" s="142">
        <f t="shared" ca="1" si="10"/>
        <v>6967</v>
      </c>
      <c r="AJ5" s="142">
        <f t="shared" ca="1" si="11"/>
        <v>7340</v>
      </c>
      <c r="AL5" s="480"/>
      <c r="AM5">
        <v>2021</v>
      </c>
      <c r="AN5" t="s">
        <v>143</v>
      </c>
      <c r="AP5" s="142">
        <f t="shared" ca="1" si="12"/>
        <v>95686</v>
      </c>
      <c r="AQ5" s="142">
        <f t="shared" ca="1" si="13"/>
        <v>101772</v>
      </c>
      <c r="AT5">
        <v>2021</v>
      </c>
      <c r="AU5" t="s">
        <v>106</v>
      </c>
      <c r="AV5" s="142">
        <f t="shared" ca="1" si="14"/>
        <v>89421</v>
      </c>
      <c r="AW5" s="142">
        <f t="shared" ca="1" si="14"/>
        <v>42344</v>
      </c>
      <c r="AX5" s="142">
        <f t="shared" ca="1" si="15"/>
        <v>133307</v>
      </c>
      <c r="BA5" t="s">
        <v>9</v>
      </c>
      <c r="BB5" t="s">
        <v>106</v>
      </c>
      <c r="BC5" s="142">
        <f t="shared" ca="1" si="16"/>
        <v>63899</v>
      </c>
      <c r="BD5" s="142">
        <f t="shared" ca="1" si="16"/>
        <v>84327</v>
      </c>
    </row>
    <row r="6" spans="1:61">
      <c r="B6" s="55" t="s">
        <v>23</v>
      </c>
      <c r="C6" t="s">
        <v>42</v>
      </c>
      <c r="D6" s="142">
        <f t="shared" ca="1" si="0"/>
        <v>195188</v>
      </c>
      <c r="E6" s="142">
        <f t="shared" ca="1" si="1"/>
        <v>197075</v>
      </c>
      <c r="H6" s="55" t="s">
        <v>9</v>
      </c>
      <c r="I6" t="s">
        <v>50</v>
      </c>
      <c r="J6" s="142">
        <f t="shared" ca="1" si="2"/>
        <v>407679</v>
      </c>
      <c r="K6" s="142">
        <f t="shared" ca="1" si="3"/>
        <v>408498</v>
      </c>
      <c r="N6" s="55" t="s">
        <v>26</v>
      </c>
      <c r="O6" t="s">
        <v>50</v>
      </c>
      <c r="P6" s="142">
        <f t="shared" ca="1" si="4"/>
        <v>304871</v>
      </c>
      <c r="Q6" s="142">
        <f t="shared" ca="1" si="5"/>
        <v>309096</v>
      </c>
      <c r="T6" s="55">
        <v>2021</v>
      </c>
      <c r="U6" t="s">
        <v>75</v>
      </c>
      <c r="V6" s="142">
        <f t="shared" ca="1" si="6"/>
        <v>877938</v>
      </c>
      <c r="W6" s="142">
        <f t="shared" ca="1" si="7"/>
        <v>883576</v>
      </c>
      <c r="Z6" t="s">
        <v>164</v>
      </c>
      <c r="AA6" t="s">
        <v>9</v>
      </c>
      <c r="AB6" s="227" t="s">
        <v>104</v>
      </c>
      <c r="AC6" s="142">
        <f t="shared" ca="1" si="8"/>
        <v>989974</v>
      </c>
      <c r="AD6" s="142">
        <f t="shared" ca="1" si="9"/>
        <v>990329</v>
      </c>
      <c r="AG6">
        <v>2021</v>
      </c>
      <c r="AH6" t="s">
        <v>157</v>
      </c>
      <c r="AI6" s="142">
        <f t="shared" ca="1" si="10"/>
        <v>9359</v>
      </c>
      <c r="AJ6" s="142">
        <f t="shared" ca="1" si="11"/>
        <v>9404</v>
      </c>
      <c r="AM6">
        <v>2021</v>
      </c>
      <c r="AN6" t="s">
        <v>124</v>
      </c>
      <c r="AO6" s="128">
        <v>0.3</v>
      </c>
      <c r="AP6" s="142">
        <f t="shared" ca="1" si="12"/>
        <v>76003</v>
      </c>
      <c r="AQ6" s="142">
        <f t="shared" ca="1" si="13"/>
        <v>83019</v>
      </c>
      <c r="AT6">
        <v>2021</v>
      </c>
      <c r="AU6" t="s">
        <v>126</v>
      </c>
      <c r="AV6" s="142">
        <f t="shared" ca="1" si="14"/>
        <v>69152</v>
      </c>
      <c r="AW6" s="142">
        <f t="shared" ca="1" si="14"/>
        <v>10755</v>
      </c>
      <c r="AX6" s="142">
        <f t="shared" ca="1" si="15"/>
        <v>81289</v>
      </c>
      <c r="BA6" t="s">
        <v>10</v>
      </c>
      <c r="BB6" t="s">
        <v>106</v>
      </c>
      <c r="BC6" s="142">
        <f t="shared" ca="1" si="16"/>
        <v>81121</v>
      </c>
      <c r="BD6" s="142">
        <f t="shared" ca="1" si="16"/>
        <v>74502</v>
      </c>
    </row>
    <row r="7" spans="1:61">
      <c r="B7" s="55" t="s">
        <v>10</v>
      </c>
      <c r="C7" t="s">
        <v>36</v>
      </c>
      <c r="D7" s="142">
        <f t="shared" ca="1" si="0"/>
        <v>793666</v>
      </c>
      <c r="E7" s="142">
        <f t="shared" ca="1" si="1"/>
        <v>794852</v>
      </c>
      <c r="H7" s="55" t="s">
        <v>28</v>
      </c>
      <c r="I7" t="s">
        <v>49</v>
      </c>
      <c r="J7" s="142">
        <f t="shared" ca="1" si="2"/>
        <v>262119</v>
      </c>
      <c r="K7" s="142">
        <f t="shared" ca="1" si="3"/>
        <v>262667</v>
      </c>
      <c r="N7" s="55" t="s">
        <v>24</v>
      </c>
      <c r="O7" t="s">
        <v>49</v>
      </c>
      <c r="P7" s="142">
        <f t="shared" ca="1" si="4"/>
        <v>273972</v>
      </c>
      <c r="Q7" s="142">
        <f t="shared" ca="1" si="5"/>
        <v>274642</v>
      </c>
      <c r="T7" s="55" t="s">
        <v>15</v>
      </c>
      <c r="U7" t="s">
        <v>77</v>
      </c>
      <c r="V7" s="142">
        <f t="shared" ca="1" si="6"/>
        <v>632146</v>
      </c>
      <c r="W7" s="142">
        <f t="shared" ca="1" si="7"/>
        <v>632582</v>
      </c>
      <c r="Z7" t="s">
        <v>164</v>
      </c>
      <c r="AA7" t="s">
        <v>15</v>
      </c>
      <c r="AB7" s="227" t="s">
        <v>104</v>
      </c>
      <c r="AC7" s="142">
        <f t="shared" ca="1" si="8"/>
        <v>778232</v>
      </c>
      <c r="AD7" s="142">
        <f t="shared" ca="1" si="9"/>
        <v>779973</v>
      </c>
      <c r="AG7">
        <v>2021</v>
      </c>
      <c r="AH7" t="s">
        <v>159</v>
      </c>
      <c r="AI7" s="142">
        <f t="shared" ca="1" si="10"/>
        <v>1808</v>
      </c>
      <c r="AJ7" s="142">
        <f t="shared" ca="1" si="11"/>
        <v>1834</v>
      </c>
      <c r="AM7">
        <v>2021</v>
      </c>
      <c r="AN7" t="s">
        <v>157</v>
      </c>
      <c r="AO7" s="128">
        <v>0.3</v>
      </c>
      <c r="AP7" s="142">
        <f t="shared" ca="1" si="12"/>
        <v>70320</v>
      </c>
      <c r="AQ7" s="142">
        <f t="shared" ca="1" si="13"/>
        <v>76228</v>
      </c>
      <c r="AT7">
        <v>2021</v>
      </c>
      <c r="AU7" t="s">
        <v>143</v>
      </c>
      <c r="AV7" s="142">
        <f t="shared" ca="1" si="14"/>
        <v>69002</v>
      </c>
      <c r="AW7" s="142">
        <f t="shared" ca="1" si="14"/>
        <v>87131</v>
      </c>
      <c r="AX7" s="142">
        <f t="shared" ca="1" si="15"/>
        <v>157764</v>
      </c>
      <c r="BA7" t="s">
        <v>23</v>
      </c>
      <c r="BB7" t="s">
        <v>171</v>
      </c>
      <c r="BC7" s="142">
        <f t="shared" ca="1" si="16"/>
        <v>99122</v>
      </c>
      <c r="BD7" s="142">
        <f t="shared" ca="1" si="16"/>
        <v>66955</v>
      </c>
    </row>
    <row r="8" spans="1:61">
      <c r="B8" s="55" t="s">
        <v>10</v>
      </c>
      <c r="C8" t="s">
        <v>37</v>
      </c>
      <c r="D8" s="142">
        <f t="shared" ca="1" si="0"/>
        <v>851965</v>
      </c>
      <c r="E8" s="142">
        <f t="shared" ca="1" si="1"/>
        <v>852426</v>
      </c>
      <c r="H8" s="55" t="s">
        <v>16</v>
      </c>
      <c r="I8" t="s">
        <v>50</v>
      </c>
      <c r="J8" s="142">
        <f t="shared" ca="1" si="2"/>
        <v>254860</v>
      </c>
      <c r="K8" s="142">
        <f t="shared" ca="1" si="3"/>
        <v>257635</v>
      </c>
      <c r="N8" s="55" t="s">
        <v>25</v>
      </c>
      <c r="O8" t="s">
        <v>50</v>
      </c>
      <c r="P8" s="142">
        <f t="shared" ca="1" si="4"/>
        <v>246425</v>
      </c>
      <c r="Q8" s="142">
        <f t="shared" ca="1" si="5"/>
        <v>248018</v>
      </c>
      <c r="T8" s="55" t="s">
        <v>15</v>
      </c>
      <c r="U8" t="s">
        <v>73</v>
      </c>
      <c r="V8" s="142">
        <f t="shared" ca="1" si="6"/>
        <v>864372</v>
      </c>
      <c r="W8" s="142">
        <f t="shared" ca="1" si="7"/>
        <v>865371</v>
      </c>
      <c r="Z8" t="s">
        <v>164</v>
      </c>
      <c r="AA8" t="s">
        <v>10</v>
      </c>
      <c r="AB8" s="227" t="s">
        <v>104</v>
      </c>
      <c r="AC8" s="142">
        <f t="shared" ca="1" si="8"/>
        <v>135543</v>
      </c>
      <c r="AD8" s="142">
        <f t="shared" ca="1" si="9"/>
        <v>137540</v>
      </c>
      <c r="AG8">
        <v>2021</v>
      </c>
      <c r="AH8" t="s">
        <v>160</v>
      </c>
      <c r="AI8" s="142">
        <f t="shared" ca="1" si="10"/>
        <v>8844</v>
      </c>
      <c r="AJ8" s="142">
        <f t="shared" ca="1" si="11"/>
        <v>9325</v>
      </c>
      <c r="AM8">
        <v>2021</v>
      </c>
      <c r="AN8" t="s">
        <v>126</v>
      </c>
      <c r="AO8" s="128">
        <v>0.2</v>
      </c>
      <c r="AP8" s="142">
        <f t="shared" ca="1" si="12"/>
        <v>15652</v>
      </c>
      <c r="AQ8" s="142">
        <f t="shared" ca="1" si="13"/>
        <v>15797</v>
      </c>
      <c r="AT8">
        <v>2021</v>
      </c>
      <c r="AU8" t="s">
        <v>139</v>
      </c>
      <c r="AV8" s="142">
        <f t="shared" ca="1" si="14"/>
        <v>54278</v>
      </c>
      <c r="AW8" s="142">
        <f t="shared" ca="1" si="14"/>
        <v>50823</v>
      </c>
      <c r="AX8" s="142">
        <f t="shared" ca="1" si="15"/>
        <v>106971</v>
      </c>
      <c r="BA8" t="s">
        <v>10</v>
      </c>
      <c r="BB8" t="s">
        <v>171</v>
      </c>
      <c r="BC8" s="142">
        <f t="shared" ca="1" si="16"/>
        <v>98487</v>
      </c>
      <c r="BD8" s="142">
        <f t="shared" ca="1" si="16"/>
        <v>70129</v>
      </c>
    </row>
    <row r="9" spans="1:61">
      <c r="B9" s="55" t="s">
        <v>10</v>
      </c>
      <c r="C9" t="s">
        <v>40</v>
      </c>
      <c r="D9" s="142">
        <f t="shared" ca="1" si="0"/>
        <v>928044</v>
      </c>
      <c r="E9" s="142">
        <f t="shared" ca="1" si="1"/>
        <v>932276</v>
      </c>
      <c r="H9" s="55" t="s">
        <v>27</v>
      </c>
      <c r="I9" t="s">
        <v>50</v>
      </c>
      <c r="J9" s="142">
        <f t="shared" ca="1" si="2"/>
        <v>794351</v>
      </c>
      <c r="K9" s="142">
        <f t="shared" ca="1" si="3"/>
        <v>794688</v>
      </c>
      <c r="N9" s="55" t="s">
        <v>25</v>
      </c>
      <c r="O9" t="s">
        <v>49</v>
      </c>
      <c r="P9" s="142">
        <f t="shared" ca="1" si="4"/>
        <v>522407</v>
      </c>
      <c r="Q9" s="142">
        <f t="shared" ca="1" si="5"/>
        <v>526847</v>
      </c>
      <c r="T9" s="55" t="s">
        <v>15</v>
      </c>
      <c r="U9" t="s">
        <v>75</v>
      </c>
      <c r="V9" s="142">
        <f t="shared" ca="1" si="6"/>
        <v>655672</v>
      </c>
      <c r="W9" s="142">
        <f t="shared" ca="1" si="7"/>
        <v>659939</v>
      </c>
      <c r="Z9" t="s">
        <v>95</v>
      </c>
      <c r="AA9">
        <v>2021</v>
      </c>
      <c r="AB9" s="227" t="s">
        <v>96</v>
      </c>
      <c r="AC9" s="142">
        <f t="shared" ca="1" si="8"/>
        <v>794939</v>
      </c>
      <c r="AD9" s="142">
        <f t="shared" ca="1" si="9"/>
        <v>796168</v>
      </c>
      <c r="AG9">
        <v>2021</v>
      </c>
      <c r="AH9" t="s">
        <v>143</v>
      </c>
      <c r="AI9" s="142">
        <f t="shared" ca="1" si="10"/>
        <v>4159</v>
      </c>
      <c r="AJ9" s="142">
        <f t="shared" ca="1" si="11"/>
        <v>4198</v>
      </c>
      <c r="AM9">
        <v>2021</v>
      </c>
      <c r="AN9" t="s">
        <v>134</v>
      </c>
      <c r="AO9" s="128">
        <v>0.2</v>
      </c>
      <c r="AP9" s="142">
        <f t="shared" ca="1" si="12"/>
        <v>60261</v>
      </c>
      <c r="AQ9" s="142">
        <f t="shared" ca="1" si="13"/>
        <v>67937</v>
      </c>
      <c r="AT9">
        <v>2021</v>
      </c>
      <c r="AU9" t="s">
        <v>157</v>
      </c>
      <c r="AV9" s="142">
        <f t="shared" ca="1" si="14"/>
        <v>97860</v>
      </c>
      <c r="AW9" s="142">
        <f t="shared" ca="1" si="14"/>
        <v>35719</v>
      </c>
      <c r="AX9" s="142">
        <f t="shared" ca="1" si="15"/>
        <v>134547</v>
      </c>
      <c r="BA9" t="s">
        <v>10</v>
      </c>
      <c r="BB9" t="s">
        <v>104</v>
      </c>
      <c r="BC9" s="142">
        <f t="shared" ca="1" si="16"/>
        <v>11983</v>
      </c>
      <c r="BD9" s="142">
        <f t="shared" ca="1" si="16"/>
        <v>22821</v>
      </c>
    </row>
    <row r="10" spans="1:61">
      <c r="B10" s="55" t="s">
        <v>23</v>
      </c>
      <c r="C10" t="s">
        <v>53</v>
      </c>
      <c r="D10" s="142">
        <f t="shared" ca="1" si="0"/>
        <v>915256</v>
      </c>
      <c r="E10" s="142">
        <f t="shared" ca="1" si="1"/>
        <v>916451</v>
      </c>
      <c r="H10" s="55" t="s">
        <v>12</v>
      </c>
      <c r="I10" t="s">
        <v>49</v>
      </c>
      <c r="J10" s="142">
        <f t="shared" ca="1" si="2"/>
        <v>519194</v>
      </c>
      <c r="K10" s="142">
        <f t="shared" ca="1" si="3"/>
        <v>520435</v>
      </c>
      <c r="N10" s="55" t="s">
        <v>24</v>
      </c>
      <c r="O10" t="s">
        <v>52</v>
      </c>
      <c r="P10" s="142">
        <f t="shared" ca="1" si="4"/>
        <v>146687</v>
      </c>
      <c r="Q10" s="142">
        <f t="shared" ca="1" si="5"/>
        <v>150945</v>
      </c>
      <c r="T10" s="55" t="s">
        <v>15</v>
      </c>
      <c r="U10" t="s">
        <v>76</v>
      </c>
      <c r="V10" s="142">
        <f t="shared" ca="1" si="6"/>
        <v>368731</v>
      </c>
      <c r="W10" s="142">
        <f t="shared" ca="1" si="7"/>
        <v>375917</v>
      </c>
      <c r="Z10" t="s">
        <v>95</v>
      </c>
      <c r="AA10" t="s">
        <v>24</v>
      </c>
      <c r="AB10" s="227" t="s">
        <v>96</v>
      </c>
      <c r="AC10" s="142">
        <f t="shared" ca="1" si="8"/>
        <v>817367</v>
      </c>
      <c r="AD10" s="142">
        <f t="shared" ca="1" si="9"/>
        <v>824723</v>
      </c>
      <c r="AG10" t="s">
        <v>10</v>
      </c>
      <c r="AH10" t="s">
        <v>160</v>
      </c>
      <c r="AI10" s="142">
        <f t="shared" ca="1" si="10"/>
        <v>9197</v>
      </c>
      <c r="AJ10" s="142">
        <f t="shared" ca="1" si="11"/>
        <v>9467</v>
      </c>
      <c r="AM10">
        <v>2021</v>
      </c>
      <c r="AN10" t="s">
        <v>134</v>
      </c>
      <c r="AO10" s="128">
        <v>0.25</v>
      </c>
      <c r="AP10" s="142">
        <f t="shared" ca="1" si="12"/>
        <v>39836</v>
      </c>
      <c r="AQ10" s="142">
        <f t="shared" ca="1" si="13"/>
        <v>41785</v>
      </c>
      <c r="AT10">
        <v>2021</v>
      </c>
      <c r="AU10" t="s">
        <v>124</v>
      </c>
      <c r="AV10" s="142">
        <f t="shared" ca="1" si="14"/>
        <v>81000</v>
      </c>
      <c r="AW10" s="142">
        <f t="shared" ca="1" si="14"/>
        <v>27363</v>
      </c>
      <c r="AX10" s="142">
        <f t="shared" ca="1" si="15"/>
        <v>109475</v>
      </c>
      <c r="BA10" t="s">
        <v>24</v>
      </c>
      <c r="BB10" t="s">
        <v>171</v>
      </c>
      <c r="BC10" s="142">
        <f t="shared" ca="1" si="16"/>
        <v>36301</v>
      </c>
      <c r="BD10" s="142">
        <f t="shared" ca="1" si="16"/>
        <v>36730</v>
      </c>
    </row>
    <row r="11" spans="1:61">
      <c r="B11" s="55" t="s">
        <v>23</v>
      </c>
      <c r="C11" t="s">
        <v>43</v>
      </c>
      <c r="D11" s="142">
        <f t="shared" ca="1" si="0"/>
        <v>966309</v>
      </c>
      <c r="E11" s="142">
        <f t="shared" ca="1" si="1"/>
        <v>970831</v>
      </c>
      <c r="H11" s="55" t="s">
        <v>14</v>
      </c>
      <c r="I11" t="s">
        <v>50</v>
      </c>
      <c r="J11" s="142">
        <f t="shared" ca="1" si="2"/>
        <v>273557</v>
      </c>
      <c r="K11" s="142">
        <f t="shared" ca="1" si="3"/>
        <v>276912</v>
      </c>
      <c r="N11" s="55" t="s">
        <v>25</v>
      </c>
      <c r="O11" t="s">
        <v>52</v>
      </c>
      <c r="P11" s="142">
        <f t="shared" ca="1" si="4"/>
        <v>212740</v>
      </c>
      <c r="Q11" s="142">
        <f t="shared" ca="1" si="5"/>
        <v>215357</v>
      </c>
      <c r="T11" s="55" t="s">
        <v>15</v>
      </c>
      <c r="U11" t="s">
        <v>68</v>
      </c>
      <c r="V11" s="142">
        <f t="shared" ca="1" si="6"/>
        <v>628124</v>
      </c>
      <c r="W11" s="142">
        <f t="shared" ca="1" si="7"/>
        <v>630133</v>
      </c>
      <c r="Z11" t="s">
        <v>95</v>
      </c>
      <c r="AA11" t="s">
        <v>22</v>
      </c>
      <c r="AB11" s="227" t="s">
        <v>96</v>
      </c>
      <c r="AC11" s="142">
        <f t="shared" ca="1" si="8"/>
        <v>270642</v>
      </c>
      <c r="AD11" s="142">
        <f t="shared" ca="1" si="9"/>
        <v>273974</v>
      </c>
      <c r="AG11" t="s">
        <v>10</v>
      </c>
      <c r="AH11" t="s">
        <v>43</v>
      </c>
      <c r="AI11" s="142">
        <f t="shared" ca="1" si="10"/>
        <v>1627</v>
      </c>
      <c r="AJ11" s="142">
        <f t="shared" ca="1" si="11"/>
        <v>1703</v>
      </c>
      <c r="AM11" t="s">
        <v>10</v>
      </c>
      <c r="AN11" t="s">
        <v>157</v>
      </c>
      <c r="AO11" s="128">
        <v>0.3</v>
      </c>
      <c r="AP11" s="142">
        <f t="shared" ca="1" si="12"/>
        <v>33987</v>
      </c>
      <c r="AQ11" s="142">
        <f t="shared" ca="1" si="13"/>
        <v>37050</v>
      </c>
      <c r="AT11">
        <v>2021</v>
      </c>
      <c r="AU11" t="s">
        <v>134</v>
      </c>
      <c r="AV11" s="142">
        <f t="shared" ca="1" si="14"/>
        <v>28540</v>
      </c>
      <c r="AW11" s="142">
        <f t="shared" ca="1" si="14"/>
        <v>35382</v>
      </c>
      <c r="AX11" s="142">
        <f t="shared" ca="1" si="15"/>
        <v>73130</v>
      </c>
      <c r="BA11" t="s">
        <v>25</v>
      </c>
      <c r="BB11" t="s">
        <v>104</v>
      </c>
      <c r="BC11" s="142">
        <f t="shared" ca="1" si="16"/>
        <v>51230</v>
      </c>
      <c r="BD11" s="142">
        <f t="shared" ca="1" si="16"/>
        <v>67033</v>
      </c>
    </row>
    <row r="12" spans="1:61">
      <c r="B12" s="55" t="s">
        <v>23</v>
      </c>
      <c r="C12" t="s">
        <v>47</v>
      </c>
      <c r="D12" s="142">
        <f t="shared" ca="1" si="0"/>
        <v>584193</v>
      </c>
      <c r="E12" s="142">
        <f t="shared" ca="1" si="1"/>
        <v>588243</v>
      </c>
      <c r="H12" s="55" t="s">
        <v>10</v>
      </c>
      <c r="I12" t="s">
        <v>50</v>
      </c>
      <c r="J12" s="142">
        <f t="shared" ca="1" si="2"/>
        <v>640588</v>
      </c>
      <c r="K12" s="142">
        <f t="shared" ca="1" si="3"/>
        <v>648662</v>
      </c>
      <c r="N12" s="55">
        <v>2021</v>
      </c>
      <c r="O12" t="s">
        <v>50</v>
      </c>
      <c r="P12" s="142">
        <f t="shared" ca="1" si="4"/>
        <v>109892</v>
      </c>
      <c r="Q12" s="142">
        <f t="shared" ca="1" si="5"/>
        <v>112611</v>
      </c>
      <c r="T12" s="55" t="s">
        <v>17</v>
      </c>
      <c r="U12" t="s">
        <v>68</v>
      </c>
      <c r="V12" s="142">
        <f t="shared" ca="1" si="6"/>
        <v>608148</v>
      </c>
      <c r="W12" s="142">
        <f t="shared" ca="1" si="7"/>
        <v>615599</v>
      </c>
      <c r="Z12" t="s">
        <v>95</v>
      </c>
      <c r="AA12" t="s">
        <v>16</v>
      </c>
      <c r="AB12" s="227" t="s">
        <v>96</v>
      </c>
      <c r="AC12" s="142">
        <f t="shared" ca="1" si="8"/>
        <v>968747</v>
      </c>
      <c r="AD12" s="142">
        <f t="shared" ca="1" si="9"/>
        <v>969643</v>
      </c>
      <c r="AG12" t="s">
        <v>10</v>
      </c>
      <c r="AH12" t="s">
        <v>126</v>
      </c>
      <c r="AI12" s="142">
        <f t="shared" ca="1" si="10"/>
        <v>7626</v>
      </c>
      <c r="AJ12" s="142">
        <f t="shared" ca="1" si="11"/>
        <v>7949</v>
      </c>
      <c r="AM12" t="s">
        <v>10</v>
      </c>
      <c r="AN12" t="s">
        <v>134</v>
      </c>
      <c r="AO12" s="128">
        <v>0.25</v>
      </c>
      <c r="AP12" s="142">
        <f t="shared" ca="1" si="12"/>
        <v>81195</v>
      </c>
      <c r="AQ12" s="142">
        <f t="shared" ca="1" si="13"/>
        <v>89756</v>
      </c>
      <c r="AT12" t="s">
        <v>10</v>
      </c>
      <c r="AU12" t="s">
        <v>139</v>
      </c>
      <c r="AV12" s="142">
        <f t="shared" ca="1" si="14"/>
        <v>15156</v>
      </c>
      <c r="AW12" s="142">
        <f t="shared" ca="1" si="14"/>
        <v>92501</v>
      </c>
      <c r="AX12" s="142">
        <f t="shared" ca="1" si="15"/>
        <v>112371</v>
      </c>
      <c r="BA12" t="s">
        <v>25</v>
      </c>
      <c r="BB12" t="s">
        <v>171</v>
      </c>
      <c r="BC12" s="142">
        <f t="shared" ca="1" si="16"/>
        <v>56104</v>
      </c>
      <c r="BD12" s="142">
        <f t="shared" ca="1" si="16"/>
        <v>56848</v>
      </c>
    </row>
    <row r="13" spans="1:61">
      <c r="B13" s="55" t="s">
        <v>10</v>
      </c>
      <c r="C13" t="s">
        <v>38</v>
      </c>
      <c r="D13" s="142">
        <f t="shared" ca="1" si="0"/>
        <v>892134</v>
      </c>
      <c r="E13" s="142">
        <f t="shared" ca="1" si="1"/>
        <v>895376</v>
      </c>
      <c r="H13" s="55" t="s">
        <v>15</v>
      </c>
      <c r="I13" t="s">
        <v>50</v>
      </c>
      <c r="J13" s="142">
        <f t="shared" ca="1" si="2"/>
        <v>891871</v>
      </c>
      <c r="K13" s="142">
        <f t="shared" ca="1" si="3"/>
        <v>892212</v>
      </c>
      <c r="N13" s="55">
        <v>2021</v>
      </c>
      <c r="O13" t="s">
        <v>49</v>
      </c>
      <c r="P13" s="142">
        <f t="shared" ca="1" si="4"/>
        <v>845642</v>
      </c>
      <c r="Q13" s="142">
        <f t="shared" ca="1" si="5"/>
        <v>846130</v>
      </c>
      <c r="T13" s="55" t="s">
        <v>15</v>
      </c>
      <c r="U13" t="s">
        <v>11</v>
      </c>
      <c r="V13" s="142">
        <f t="shared" ca="1" si="6"/>
        <v>653955</v>
      </c>
      <c r="W13" s="142">
        <f t="shared" ca="1" si="7"/>
        <v>657581</v>
      </c>
      <c r="Z13" t="s">
        <v>95</v>
      </c>
      <c r="AA13" t="s">
        <v>23</v>
      </c>
      <c r="AB13" s="227" t="s">
        <v>96</v>
      </c>
      <c r="AC13" s="142">
        <f t="shared" ca="1" si="8"/>
        <v>437681</v>
      </c>
      <c r="AD13" s="142">
        <f t="shared" ca="1" si="9"/>
        <v>440338</v>
      </c>
      <c r="AG13" t="s">
        <v>10</v>
      </c>
      <c r="AH13" t="s">
        <v>159</v>
      </c>
      <c r="AI13" s="142">
        <f t="shared" ca="1" si="10"/>
        <v>2265</v>
      </c>
      <c r="AJ13" s="142">
        <f t="shared" ca="1" si="11"/>
        <v>3167</v>
      </c>
      <c r="AM13" t="s">
        <v>10</v>
      </c>
      <c r="AN13" t="s">
        <v>143</v>
      </c>
      <c r="AP13" s="142">
        <f t="shared" ca="1" si="12"/>
        <v>28166</v>
      </c>
      <c r="AQ13" s="142">
        <f t="shared" ca="1" si="13"/>
        <v>29466</v>
      </c>
      <c r="AT13" t="s">
        <v>10</v>
      </c>
      <c r="AU13" t="s">
        <v>134</v>
      </c>
      <c r="AV13" s="142">
        <f t="shared" ca="1" si="14"/>
        <v>71224</v>
      </c>
      <c r="AW13" s="142">
        <f t="shared" ca="1" si="14"/>
        <v>58343</v>
      </c>
      <c r="AX13" s="142">
        <f t="shared" ca="1" si="15"/>
        <v>130719</v>
      </c>
      <c r="BA13">
        <v>2021</v>
      </c>
      <c r="BB13" t="s">
        <v>104</v>
      </c>
      <c r="BC13" s="142">
        <f t="shared" ca="1" si="16"/>
        <v>30086</v>
      </c>
      <c r="BD13" s="142">
        <f t="shared" ca="1" si="16"/>
        <v>44312</v>
      </c>
    </row>
    <row r="14" spans="1:61">
      <c r="B14" s="55" t="s">
        <v>23</v>
      </c>
      <c r="C14" t="s">
        <v>52</v>
      </c>
      <c r="D14" s="142">
        <f t="shared" ca="1" si="0"/>
        <v>655352</v>
      </c>
      <c r="E14" s="142">
        <f t="shared" ca="1" si="1"/>
        <v>659065</v>
      </c>
      <c r="H14" s="55" t="s">
        <v>10</v>
      </c>
      <c r="I14" t="s">
        <v>49</v>
      </c>
      <c r="J14" s="142">
        <f t="shared" ca="1" si="2"/>
        <v>603239</v>
      </c>
      <c r="K14" s="142">
        <f t="shared" ca="1" si="3"/>
        <v>603436</v>
      </c>
      <c r="N14" s="55">
        <v>2021</v>
      </c>
      <c r="O14" t="s">
        <v>52</v>
      </c>
      <c r="P14" s="142">
        <f t="shared" ca="1" si="4"/>
        <v>856200</v>
      </c>
      <c r="Q14" s="142">
        <f t="shared" ca="1" si="5"/>
        <v>859565</v>
      </c>
      <c r="T14" s="55" t="s">
        <v>17</v>
      </c>
      <c r="U14" t="s">
        <v>66</v>
      </c>
      <c r="V14" s="142">
        <f t="shared" ca="1" si="6"/>
        <v>711852</v>
      </c>
      <c r="W14" s="142">
        <f t="shared" ca="1" si="7"/>
        <v>715961</v>
      </c>
      <c r="Z14" t="s">
        <v>99</v>
      </c>
      <c r="AA14">
        <v>2021</v>
      </c>
      <c r="AB14" s="227" t="s">
        <v>106</v>
      </c>
      <c r="AC14" s="142">
        <f t="shared" ca="1" si="8"/>
        <v>117877</v>
      </c>
      <c r="AD14" s="142">
        <f t="shared" ca="1" si="9"/>
        <v>118852</v>
      </c>
      <c r="AG14" t="s">
        <v>10</v>
      </c>
      <c r="AH14" t="s">
        <v>139</v>
      </c>
      <c r="AI14" s="142">
        <f t="shared" ca="1" si="10"/>
        <v>8351</v>
      </c>
      <c r="AJ14" s="142">
        <f t="shared" ca="1" si="11"/>
        <v>8505</v>
      </c>
      <c r="AM14" t="s">
        <v>10</v>
      </c>
      <c r="AN14" t="s">
        <v>158</v>
      </c>
      <c r="AO14" s="128">
        <v>0.2</v>
      </c>
      <c r="AP14" s="142">
        <f t="shared" ca="1" si="12"/>
        <v>61579</v>
      </c>
      <c r="AQ14" s="142">
        <f t="shared" ca="1" si="13"/>
        <v>64494</v>
      </c>
      <c r="AT14" t="s">
        <v>10</v>
      </c>
      <c r="AU14" t="s">
        <v>158</v>
      </c>
      <c r="AV14" s="142">
        <f t="shared" ca="1" si="14"/>
        <v>89160</v>
      </c>
      <c r="AW14" s="142">
        <f t="shared" ca="1" si="14"/>
        <v>95526</v>
      </c>
      <c r="AX14" s="142">
        <f t="shared" ca="1" si="15"/>
        <v>189987</v>
      </c>
      <c r="BA14">
        <v>2021</v>
      </c>
      <c r="BB14" t="s">
        <v>171</v>
      </c>
      <c r="BC14" s="142">
        <f t="shared" ca="1" si="16"/>
        <v>73611</v>
      </c>
      <c r="BD14" s="142">
        <f t="shared" ca="1" si="16"/>
        <v>44226</v>
      </c>
    </row>
    <row r="15" spans="1:61">
      <c r="B15" s="55" t="s">
        <v>10</v>
      </c>
      <c r="C15" t="s">
        <v>46</v>
      </c>
      <c r="D15" s="142">
        <f t="shared" ca="1" si="0"/>
        <v>596266</v>
      </c>
      <c r="E15" s="142">
        <f t="shared" ca="1" si="1"/>
        <v>597254</v>
      </c>
      <c r="H15" s="55" t="s">
        <v>15</v>
      </c>
      <c r="I15" t="s">
        <v>49</v>
      </c>
      <c r="J15" s="142">
        <f t="shared" ca="1" si="2"/>
        <v>367975</v>
      </c>
      <c r="K15" s="142">
        <f t="shared" ca="1" si="3"/>
        <v>373455</v>
      </c>
      <c r="N15" s="55" t="s">
        <v>15</v>
      </c>
      <c r="O15" t="s">
        <v>47</v>
      </c>
      <c r="P15" s="142">
        <f t="shared" ca="1" si="4"/>
        <v>519587</v>
      </c>
      <c r="Q15" s="142">
        <f t="shared" ca="1" si="5"/>
        <v>520308</v>
      </c>
      <c r="T15" s="55" t="s">
        <v>15</v>
      </c>
      <c r="U15" t="s">
        <v>66</v>
      </c>
      <c r="V15" s="142">
        <f t="shared" ca="1" si="6"/>
        <v>245311</v>
      </c>
      <c r="W15" s="142">
        <f t="shared" ca="1" si="7"/>
        <v>251708</v>
      </c>
      <c r="Z15" t="s">
        <v>99</v>
      </c>
      <c r="AA15" t="s">
        <v>25</v>
      </c>
      <c r="AB15" s="227" t="s">
        <v>106</v>
      </c>
      <c r="AC15" s="142">
        <f t="shared" ca="1" si="8"/>
        <v>337348</v>
      </c>
      <c r="AD15" s="142">
        <f t="shared" ca="1" si="9"/>
        <v>338678</v>
      </c>
      <c r="AG15" t="s">
        <v>10</v>
      </c>
      <c r="AH15" t="s">
        <v>143</v>
      </c>
      <c r="AI15" s="142">
        <f t="shared" ca="1" si="10"/>
        <v>7713</v>
      </c>
      <c r="AJ15" s="142">
        <f t="shared" ca="1" si="11"/>
        <v>7764</v>
      </c>
      <c r="AM15" t="s">
        <v>10</v>
      </c>
      <c r="AN15" t="s">
        <v>126</v>
      </c>
      <c r="AO15" s="128">
        <v>0.2</v>
      </c>
      <c r="AP15" s="142">
        <f t="shared" ca="1" si="12"/>
        <v>72465</v>
      </c>
      <c r="AQ15" s="142">
        <f t="shared" ca="1" si="13"/>
        <v>75310</v>
      </c>
      <c r="AT15" t="s">
        <v>10</v>
      </c>
      <c r="AU15" t="s">
        <v>106</v>
      </c>
      <c r="AV15" s="142">
        <f t="shared" ca="1" si="14"/>
        <v>14617</v>
      </c>
      <c r="AW15" s="142">
        <f t="shared" ca="1" si="14"/>
        <v>11740</v>
      </c>
      <c r="AX15" s="142">
        <f t="shared" ca="1" si="15"/>
        <v>26601</v>
      </c>
      <c r="BA15" t="s">
        <v>15</v>
      </c>
      <c r="BB15" t="s">
        <v>106</v>
      </c>
      <c r="BC15" s="142">
        <f t="shared" ca="1" si="16"/>
        <v>10795</v>
      </c>
      <c r="BD15" s="142">
        <f t="shared" ca="1" si="16"/>
        <v>52788</v>
      </c>
    </row>
    <row r="16" spans="1:61">
      <c r="B16" s="55" t="s">
        <v>10</v>
      </c>
      <c r="C16" t="s">
        <v>43</v>
      </c>
      <c r="D16" s="142">
        <f t="shared" ca="1" si="0"/>
        <v>652498</v>
      </c>
      <c r="E16" s="142">
        <f t="shared" ca="1" si="1"/>
        <v>660030</v>
      </c>
      <c r="H16" s="55" t="s">
        <v>14</v>
      </c>
      <c r="I16" t="s">
        <v>49</v>
      </c>
      <c r="J16" s="142">
        <f t="shared" ca="1" si="2"/>
        <v>231935</v>
      </c>
      <c r="K16" s="142">
        <f t="shared" ca="1" si="3"/>
        <v>233913</v>
      </c>
      <c r="N16" s="55" t="s">
        <v>17</v>
      </c>
      <c r="O16" t="s">
        <v>45</v>
      </c>
      <c r="P16" s="142">
        <f t="shared" ca="1" si="4"/>
        <v>112698</v>
      </c>
      <c r="Q16" s="142">
        <f t="shared" ca="1" si="5"/>
        <v>112838</v>
      </c>
      <c r="T16" s="55" t="s">
        <v>17</v>
      </c>
      <c r="U16" t="s">
        <v>77</v>
      </c>
      <c r="V16" s="142">
        <f t="shared" ca="1" si="6"/>
        <v>445966</v>
      </c>
      <c r="W16" s="142">
        <f t="shared" ca="1" si="7"/>
        <v>447866</v>
      </c>
      <c r="Z16" t="s">
        <v>99</v>
      </c>
      <c r="AA16" t="s">
        <v>24</v>
      </c>
      <c r="AB16" s="227" t="s">
        <v>106</v>
      </c>
      <c r="AC16" s="142">
        <f t="shared" ca="1" si="8"/>
        <v>546288</v>
      </c>
      <c r="AD16" s="142">
        <f t="shared" ca="1" si="9"/>
        <v>547747</v>
      </c>
      <c r="AG16" t="s">
        <v>10</v>
      </c>
      <c r="AH16" t="s">
        <v>134</v>
      </c>
      <c r="AI16" s="142">
        <f t="shared" ca="1" si="10"/>
        <v>4045</v>
      </c>
      <c r="AJ16" s="142">
        <f t="shared" ca="1" si="11"/>
        <v>4051</v>
      </c>
      <c r="AM16" t="s">
        <v>10</v>
      </c>
      <c r="AN16" t="s">
        <v>139</v>
      </c>
      <c r="AO16" s="128">
        <v>0.15</v>
      </c>
      <c r="AP16" s="142">
        <f t="shared" ca="1" si="12"/>
        <v>28396</v>
      </c>
      <c r="AQ16" s="142">
        <f t="shared" ca="1" si="13"/>
        <v>30754</v>
      </c>
      <c r="AT16" t="s">
        <v>10</v>
      </c>
      <c r="AU16" t="s">
        <v>171</v>
      </c>
      <c r="AV16" s="142">
        <f t="shared" ca="1" si="14"/>
        <v>37477</v>
      </c>
      <c r="AW16" s="142">
        <f t="shared" ca="1" si="14"/>
        <v>93658</v>
      </c>
      <c r="AX16" s="142">
        <f t="shared" ca="1" si="15"/>
        <v>138044</v>
      </c>
      <c r="BA16" t="s">
        <v>15</v>
      </c>
      <c r="BB16" t="s">
        <v>104</v>
      </c>
      <c r="BC16" s="142">
        <f t="shared" ca="1" si="16"/>
        <v>13637</v>
      </c>
      <c r="BD16" s="142">
        <f t="shared" ca="1" si="16"/>
        <v>35355</v>
      </c>
    </row>
    <row r="17" spans="2:56">
      <c r="B17" s="55" t="s">
        <v>23</v>
      </c>
      <c r="C17" t="s">
        <v>36</v>
      </c>
      <c r="D17" s="142">
        <f t="shared" ca="1" si="0"/>
        <v>926798</v>
      </c>
      <c r="E17" s="142">
        <f t="shared" ca="1" si="1"/>
        <v>927899</v>
      </c>
      <c r="H17" s="55" t="s">
        <v>17</v>
      </c>
      <c r="I17" t="s">
        <v>49</v>
      </c>
      <c r="J17" s="142">
        <f t="shared" ca="1" si="2"/>
        <v>638684</v>
      </c>
      <c r="K17" s="142">
        <f t="shared" ca="1" si="3"/>
        <v>638825</v>
      </c>
      <c r="N17" s="55" t="s">
        <v>15</v>
      </c>
      <c r="O17" t="s">
        <v>49</v>
      </c>
      <c r="P17" s="142">
        <f t="shared" ca="1" si="4"/>
        <v>366362</v>
      </c>
      <c r="Q17" s="142">
        <f t="shared" ca="1" si="5"/>
        <v>369688</v>
      </c>
      <c r="T17" s="55" t="s">
        <v>17</v>
      </c>
      <c r="U17" t="s">
        <v>11</v>
      </c>
      <c r="V17" s="142">
        <f t="shared" ca="1" si="6"/>
        <v>142563</v>
      </c>
      <c r="W17" s="142">
        <f t="shared" ca="1" si="7"/>
        <v>147935</v>
      </c>
      <c r="Z17" t="s">
        <v>99</v>
      </c>
      <c r="AA17" t="s">
        <v>16</v>
      </c>
      <c r="AB17" s="227" t="s">
        <v>106</v>
      </c>
      <c r="AC17" s="142">
        <f t="shared" ca="1" si="8"/>
        <v>603360</v>
      </c>
      <c r="AD17" s="142">
        <f t="shared" ca="1" si="9"/>
        <v>603809</v>
      </c>
      <c r="AG17" t="s">
        <v>10</v>
      </c>
      <c r="AH17" t="s">
        <v>157</v>
      </c>
      <c r="AI17" s="142">
        <f t="shared" ca="1" si="10"/>
        <v>7845</v>
      </c>
      <c r="AJ17" s="142">
        <f t="shared" ca="1" si="11"/>
        <v>8001</v>
      </c>
      <c r="AM17" t="s">
        <v>12</v>
      </c>
      <c r="AN17" t="s">
        <v>158</v>
      </c>
      <c r="AO17" s="128">
        <v>0.2</v>
      </c>
      <c r="AP17" s="142">
        <f t="shared" ca="1" si="12"/>
        <v>95877</v>
      </c>
      <c r="AQ17" s="142">
        <f t="shared" ca="1" si="13"/>
        <v>98430</v>
      </c>
      <c r="AT17" t="s">
        <v>10</v>
      </c>
      <c r="AU17" t="s">
        <v>157</v>
      </c>
      <c r="AV17" s="142">
        <f t="shared" ca="1" si="14"/>
        <v>79775</v>
      </c>
      <c r="AW17" s="142">
        <f t="shared" ca="1" si="14"/>
        <v>74735</v>
      </c>
      <c r="AX17" s="142">
        <f t="shared" ca="1" si="15"/>
        <v>161052</v>
      </c>
      <c r="BA17" t="s">
        <v>9</v>
      </c>
      <c r="BB17" t="s">
        <v>171</v>
      </c>
      <c r="BC17" s="142">
        <f t="shared" ca="1" si="16"/>
        <v>13369</v>
      </c>
      <c r="BD17" s="142">
        <f t="shared" ca="1" si="16"/>
        <v>43640</v>
      </c>
    </row>
    <row r="18" spans="2:56">
      <c r="B18" s="55" t="s">
        <v>23</v>
      </c>
      <c r="C18" t="s">
        <v>38</v>
      </c>
      <c r="D18" s="142">
        <f t="shared" ca="1" si="0"/>
        <v>585718</v>
      </c>
      <c r="E18" s="142">
        <f t="shared" ca="1" si="1"/>
        <v>587679</v>
      </c>
      <c r="H18" s="55" t="s">
        <v>17</v>
      </c>
      <c r="I18" t="s">
        <v>50</v>
      </c>
      <c r="J18" s="142">
        <f t="shared" ca="1" si="2"/>
        <v>319720</v>
      </c>
      <c r="K18" s="142">
        <f t="shared" ca="1" si="3"/>
        <v>323937</v>
      </c>
      <c r="N18" s="55" t="s">
        <v>15</v>
      </c>
      <c r="O18" t="s">
        <v>46</v>
      </c>
      <c r="P18" s="142">
        <f t="shared" ca="1" si="4"/>
        <v>929632</v>
      </c>
      <c r="Q18" s="142">
        <f t="shared" ca="1" si="5"/>
        <v>932130</v>
      </c>
      <c r="T18" s="55" t="s">
        <v>17</v>
      </c>
      <c r="U18" t="s">
        <v>67</v>
      </c>
      <c r="V18" s="142">
        <f t="shared" ca="1" si="6"/>
        <v>447666</v>
      </c>
      <c r="W18" s="142">
        <f t="shared" ca="1" si="7"/>
        <v>447760</v>
      </c>
      <c r="Z18" t="s">
        <v>99</v>
      </c>
      <c r="AA18" t="s">
        <v>15</v>
      </c>
      <c r="AB18" s="227" t="s">
        <v>106</v>
      </c>
      <c r="AC18" s="142">
        <f t="shared" ca="1" si="8"/>
        <v>160370</v>
      </c>
      <c r="AD18" s="142">
        <f t="shared" ca="1" si="9"/>
        <v>162055</v>
      </c>
      <c r="AG18" t="s">
        <v>12</v>
      </c>
      <c r="AH18" t="s">
        <v>134</v>
      </c>
      <c r="AI18" s="142">
        <f t="shared" ca="1" si="10"/>
        <v>2563</v>
      </c>
      <c r="AJ18" s="142">
        <f t="shared" ca="1" si="11"/>
        <v>2889</v>
      </c>
      <c r="AM18" t="s">
        <v>12</v>
      </c>
      <c r="AN18" t="s">
        <v>143</v>
      </c>
      <c r="AP18" s="142">
        <f t="shared" ca="1" si="12"/>
        <v>41557</v>
      </c>
      <c r="AQ18" s="142">
        <f t="shared" ca="1" si="13"/>
        <v>44771</v>
      </c>
      <c r="AT18" t="s">
        <v>10</v>
      </c>
      <c r="AU18" t="s">
        <v>104</v>
      </c>
      <c r="AV18" s="142">
        <f t="shared" ca="1" si="14"/>
        <v>14620</v>
      </c>
      <c r="AW18" s="142">
        <f t="shared" ca="1" si="14"/>
        <v>76080</v>
      </c>
      <c r="AX18" s="142">
        <f t="shared" ca="1" si="15"/>
        <v>91750</v>
      </c>
      <c r="BA18" t="s">
        <v>15</v>
      </c>
      <c r="BB18" t="s">
        <v>171</v>
      </c>
      <c r="BC18" s="142">
        <f t="shared" ca="1" si="16"/>
        <v>14984</v>
      </c>
      <c r="BD18" s="142">
        <f t="shared" ca="1" si="16"/>
        <v>71151</v>
      </c>
    </row>
    <row r="19" spans="2:56">
      <c r="B19" s="55" t="s">
        <v>23</v>
      </c>
      <c r="C19" t="s">
        <v>45</v>
      </c>
      <c r="D19" s="142">
        <f t="shared" ca="1" si="0"/>
        <v>946938</v>
      </c>
      <c r="E19" s="142">
        <f t="shared" ca="1" si="1"/>
        <v>947082</v>
      </c>
      <c r="H19" s="55" t="s">
        <v>28</v>
      </c>
      <c r="I19" t="s">
        <v>50</v>
      </c>
      <c r="J19" s="142">
        <f t="shared" ca="1" si="2"/>
        <v>360593</v>
      </c>
      <c r="K19" s="142">
        <f t="shared" ca="1" si="3"/>
        <v>362541</v>
      </c>
      <c r="N19" s="55" t="s">
        <v>17</v>
      </c>
      <c r="O19" t="s">
        <v>43</v>
      </c>
      <c r="P19" s="142">
        <f t="shared" ca="1" si="4"/>
        <v>497142</v>
      </c>
      <c r="Q19" s="142">
        <f t="shared" ca="1" si="5"/>
        <v>498292</v>
      </c>
      <c r="T19" s="55" t="s">
        <v>15</v>
      </c>
      <c r="U19" t="s">
        <v>67</v>
      </c>
      <c r="V19" s="142">
        <f t="shared" ca="1" si="6"/>
        <v>118828</v>
      </c>
      <c r="W19" s="142">
        <f t="shared" ca="1" si="7"/>
        <v>121296</v>
      </c>
      <c r="Z19" t="s">
        <v>99</v>
      </c>
      <c r="AA19" t="s">
        <v>23</v>
      </c>
      <c r="AB19" s="227" t="s">
        <v>106</v>
      </c>
      <c r="AC19" s="142">
        <f t="shared" ca="1" si="8"/>
        <v>171267</v>
      </c>
      <c r="AD19" s="142">
        <f t="shared" ca="1" si="9"/>
        <v>172116</v>
      </c>
      <c r="AG19" t="s">
        <v>12</v>
      </c>
      <c r="AH19" t="s">
        <v>157</v>
      </c>
      <c r="AI19" s="142">
        <f t="shared" ca="1" si="10"/>
        <v>1510</v>
      </c>
      <c r="AJ19" s="142">
        <f t="shared" ca="1" si="11"/>
        <v>1561</v>
      </c>
      <c r="AM19" t="s">
        <v>28</v>
      </c>
      <c r="AN19" t="s">
        <v>158</v>
      </c>
      <c r="AO19" s="128">
        <v>0.2</v>
      </c>
      <c r="AP19" s="142">
        <f t="shared" ca="1" si="12"/>
        <v>28686</v>
      </c>
      <c r="AQ19" s="142">
        <f t="shared" ca="1" si="13"/>
        <v>30524</v>
      </c>
      <c r="AT19" t="s">
        <v>10</v>
      </c>
      <c r="AU19" t="s">
        <v>126</v>
      </c>
      <c r="AV19" s="142">
        <f t="shared" ca="1" si="14"/>
        <v>92737</v>
      </c>
      <c r="AW19" s="142">
        <f t="shared" ca="1" si="14"/>
        <v>22456</v>
      </c>
      <c r="AX19" s="142">
        <f t="shared" ca="1" si="15"/>
        <v>121864</v>
      </c>
      <c r="BA19" t="s">
        <v>8</v>
      </c>
      <c r="BB19" t="s">
        <v>171</v>
      </c>
      <c r="BC19" s="142">
        <f t="shared" ref="BC19:BD34" ca="1" si="17">RANDBETWEEN(10000,100000)</f>
        <v>93630</v>
      </c>
      <c r="BD19" s="142">
        <f t="shared" ca="1" si="17"/>
        <v>86185</v>
      </c>
    </row>
    <row r="20" spans="2:56">
      <c r="B20" s="55" t="s">
        <v>23</v>
      </c>
      <c r="C20" t="s">
        <v>39</v>
      </c>
      <c r="D20" s="142">
        <f t="shared" ca="1" si="0"/>
        <v>596703</v>
      </c>
      <c r="E20" s="142">
        <f t="shared" ca="1" si="1"/>
        <v>597150</v>
      </c>
      <c r="H20" s="55" t="s">
        <v>8</v>
      </c>
      <c r="I20" t="s">
        <v>50</v>
      </c>
      <c r="J20" s="142">
        <f t="shared" ca="1" si="2"/>
        <v>360763</v>
      </c>
      <c r="K20" s="142">
        <f t="shared" ca="1" si="3"/>
        <v>361677</v>
      </c>
      <c r="N20" s="55" t="s">
        <v>15</v>
      </c>
      <c r="O20" t="s">
        <v>38</v>
      </c>
      <c r="P20" s="142">
        <f t="shared" ca="1" si="4"/>
        <v>999649</v>
      </c>
      <c r="Q20" s="142">
        <f t="shared" ca="1" si="5"/>
        <v>999903</v>
      </c>
      <c r="T20" s="55" t="s">
        <v>17</v>
      </c>
      <c r="U20" t="s">
        <v>75</v>
      </c>
      <c r="V20" s="142">
        <f t="shared" ca="1" si="6"/>
        <v>734930</v>
      </c>
      <c r="W20" s="142">
        <f t="shared" ca="1" si="7"/>
        <v>738494</v>
      </c>
      <c r="Z20" t="s">
        <v>99</v>
      </c>
      <c r="AA20" t="s">
        <v>22</v>
      </c>
      <c r="AB20" s="227" t="s">
        <v>106</v>
      </c>
      <c r="AC20" s="142">
        <f t="shared" ca="1" si="8"/>
        <v>684032</v>
      </c>
      <c r="AD20" s="142">
        <f t="shared" ca="1" si="9"/>
        <v>686706</v>
      </c>
      <c r="AG20" t="s">
        <v>12</v>
      </c>
      <c r="AH20" t="s">
        <v>139</v>
      </c>
      <c r="AI20" s="142">
        <f t="shared" ca="1" si="10"/>
        <v>5008</v>
      </c>
      <c r="AJ20" s="142">
        <f t="shared" ca="1" si="11"/>
        <v>5139</v>
      </c>
      <c r="AM20" t="s">
        <v>28</v>
      </c>
      <c r="AN20" t="s">
        <v>143</v>
      </c>
      <c r="AP20" s="142">
        <f t="shared" ca="1" si="12"/>
        <v>88457</v>
      </c>
      <c r="AQ20" s="142">
        <f t="shared" ca="1" si="13"/>
        <v>90975</v>
      </c>
      <c r="AT20" t="s">
        <v>10</v>
      </c>
      <c r="AU20" t="s">
        <v>143</v>
      </c>
      <c r="AV20" s="142">
        <f t="shared" ca="1" si="14"/>
        <v>53536</v>
      </c>
      <c r="AW20" s="142">
        <f t="shared" ca="1" si="14"/>
        <v>38664</v>
      </c>
      <c r="AX20" s="142">
        <f t="shared" ca="1" si="15"/>
        <v>99226</v>
      </c>
      <c r="BA20" t="s">
        <v>12</v>
      </c>
      <c r="BB20" t="s">
        <v>171</v>
      </c>
      <c r="BC20" s="142">
        <f t="shared" ca="1" si="17"/>
        <v>89807</v>
      </c>
      <c r="BD20" s="142">
        <f t="shared" ca="1" si="17"/>
        <v>68691</v>
      </c>
    </row>
    <row r="21" spans="2:56">
      <c r="B21" s="55" t="s">
        <v>10</v>
      </c>
      <c r="C21" t="s">
        <v>18</v>
      </c>
      <c r="D21" s="142">
        <f t="shared" ca="1" si="0"/>
        <v>533105</v>
      </c>
      <c r="E21" s="142">
        <f t="shared" ca="1" si="1"/>
        <v>534398</v>
      </c>
      <c r="H21" s="55" t="s">
        <v>8</v>
      </c>
      <c r="I21" t="s">
        <v>49</v>
      </c>
      <c r="J21" s="142">
        <f t="shared" ca="1" si="2"/>
        <v>823089</v>
      </c>
      <c r="K21" s="142">
        <f t="shared" ca="1" si="3"/>
        <v>826742</v>
      </c>
      <c r="N21" s="55" t="s">
        <v>15</v>
      </c>
      <c r="O21" t="s">
        <v>42</v>
      </c>
      <c r="P21" s="142">
        <f t="shared" ca="1" si="4"/>
        <v>517369</v>
      </c>
      <c r="Q21" s="142">
        <f t="shared" ca="1" si="5"/>
        <v>525767</v>
      </c>
      <c r="T21" s="55" t="s">
        <v>15</v>
      </c>
      <c r="U21" t="s">
        <v>69</v>
      </c>
      <c r="V21" s="142">
        <f t="shared" ca="1" si="6"/>
        <v>914364</v>
      </c>
      <c r="W21" s="142">
        <f t="shared" ca="1" si="7"/>
        <v>915535</v>
      </c>
      <c r="Z21" t="s">
        <v>99</v>
      </c>
      <c r="AA21" t="s">
        <v>9</v>
      </c>
      <c r="AB21" s="227" t="s">
        <v>106</v>
      </c>
      <c r="AC21" s="142">
        <f t="shared" ca="1" si="8"/>
        <v>120742</v>
      </c>
      <c r="AD21" s="142">
        <f t="shared" ca="1" si="9"/>
        <v>124657</v>
      </c>
      <c r="AG21" t="s">
        <v>12</v>
      </c>
      <c r="AH21" t="s">
        <v>126</v>
      </c>
      <c r="AI21" s="142">
        <f t="shared" ca="1" si="10"/>
        <v>8645</v>
      </c>
      <c r="AJ21" s="142">
        <f t="shared" ca="1" si="11"/>
        <v>8730</v>
      </c>
      <c r="AM21" t="s">
        <v>22</v>
      </c>
      <c r="AN21" t="s">
        <v>158</v>
      </c>
      <c r="AO21" s="128">
        <v>0.2</v>
      </c>
      <c r="AP21" s="142">
        <f t="shared" ca="1" si="12"/>
        <v>36329</v>
      </c>
      <c r="AQ21" s="142">
        <f t="shared" ca="1" si="13"/>
        <v>37195</v>
      </c>
      <c r="AT21" t="s">
        <v>12</v>
      </c>
      <c r="AU21" t="s">
        <v>143</v>
      </c>
      <c r="AV21" s="142">
        <f t="shared" ca="1" si="14"/>
        <v>65946</v>
      </c>
      <c r="AW21" s="142">
        <f t="shared" ca="1" si="14"/>
        <v>72504</v>
      </c>
      <c r="AX21" s="142">
        <f t="shared" ca="1" si="15"/>
        <v>139482</v>
      </c>
      <c r="BA21" t="s">
        <v>14</v>
      </c>
      <c r="BB21" t="s">
        <v>171</v>
      </c>
      <c r="BC21" s="142">
        <f t="shared" ca="1" si="17"/>
        <v>60461</v>
      </c>
      <c r="BD21" s="142">
        <f t="shared" ca="1" si="17"/>
        <v>33155</v>
      </c>
    </row>
    <row r="22" spans="2:56">
      <c r="B22" s="55" t="s">
        <v>23</v>
      </c>
      <c r="C22" t="s">
        <v>37</v>
      </c>
      <c r="D22" s="142">
        <f t="shared" ca="1" si="0"/>
        <v>842645</v>
      </c>
      <c r="E22" s="142">
        <f t="shared" ca="1" si="1"/>
        <v>844214</v>
      </c>
      <c r="H22" s="55" t="s">
        <v>22</v>
      </c>
      <c r="I22" t="s">
        <v>50</v>
      </c>
      <c r="J22" s="142">
        <f t="shared" ca="1" si="2"/>
        <v>886716</v>
      </c>
      <c r="K22" s="142">
        <f t="shared" ca="1" si="3"/>
        <v>894273</v>
      </c>
      <c r="N22" s="55" t="s">
        <v>17</v>
      </c>
      <c r="O22" t="s">
        <v>47</v>
      </c>
      <c r="P22" s="142">
        <f t="shared" ca="1" si="4"/>
        <v>832241</v>
      </c>
      <c r="Q22" s="142">
        <f t="shared" ca="1" si="5"/>
        <v>835618</v>
      </c>
      <c r="T22" s="55" t="s">
        <v>17</v>
      </c>
      <c r="U22" t="s">
        <v>76</v>
      </c>
      <c r="V22" s="142">
        <f t="shared" ca="1" si="6"/>
        <v>964220</v>
      </c>
      <c r="W22" s="142">
        <f t="shared" ca="1" si="7"/>
        <v>966746</v>
      </c>
      <c r="Z22" t="s">
        <v>99</v>
      </c>
      <c r="AA22" t="s">
        <v>10</v>
      </c>
      <c r="AB22" s="227" t="s">
        <v>106</v>
      </c>
      <c r="AC22" s="142">
        <f t="shared" ca="1" si="8"/>
        <v>825446</v>
      </c>
      <c r="AD22" s="142">
        <f t="shared" ca="1" si="9"/>
        <v>827793</v>
      </c>
      <c r="AG22" t="s">
        <v>12</v>
      </c>
      <c r="AH22" t="s">
        <v>159</v>
      </c>
      <c r="AI22" s="142">
        <f t="shared" ca="1" si="10"/>
        <v>1678</v>
      </c>
      <c r="AJ22" s="142">
        <f t="shared" ca="1" si="11"/>
        <v>1976</v>
      </c>
      <c r="AM22" t="s">
        <v>22</v>
      </c>
      <c r="AN22" t="s">
        <v>143</v>
      </c>
      <c r="AP22" s="142">
        <f t="shared" ca="1" si="12"/>
        <v>22175</v>
      </c>
      <c r="AQ22" s="142">
        <f t="shared" ca="1" si="13"/>
        <v>22215</v>
      </c>
      <c r="AT22" t="s">
        <v>28</v>
      </c>
      <c r="AU22" t="s">
        <v>143</v>
      </c>
      <c r="AV22" s="142">
        <f t="shared" ca="1" si="14"/>
        <v>45732</v>
      </c>
      <c r="AW22" s="142">
        <f t="shared" ca="1" si="14"/>
        <v>68811</v>
      </c>
      <c r="AX22" s="142">
        <f t="shared" ca="1" si="15"/>
        <v>115114</v>
      </c>
      <c r="BA22" t="s">
        <v>27</v>
      </c>
      <c r="BB22" t="s">
        <v>171</v>
      </c>
      <c r="BC22" s="142">
        <f t="shared" ca="1" si="17"/>
        <v>69590</v>
      </c>
      <c r="BD22" s="142">
        <f t="shared" ca="1" si="17"/>
        <v>20802</v>
      </c>
    </row>
    <row r="23" spans="2:56">
      <c r="B23" s="55" t="s">
        <v>23</v>
      </c>
      <c r="C23" t="s">
        <v>46</v>
      </c>
      <c r="D23" s="142">
        <f t="shared" ca="1" si="0"/>
        <v>612470</v>
      </c>
      <c r="E23" s="142">
        <f t="shared" ca="1" si="1"/>
        <v>614456</v>
      </c>
      <c r="H23" s="55" t="s">
        <v>16</v>
      </c>
      <c r="I23" t="s">
        <v>49</v>
      </c>
      <c r="J23" s="142">
        <f t="shared" ca="1" si="2"/>
        <v>423553</v>
      </c>
      <c r="K23" s="142">
        <f t="shared" ca="1" si="3"/>
        <v>424087</v>
      </c>
      <c r="N23" s="55" t="s">
        <v>15</v>
      </c>
      <c r="O23" t="s">
        <v>40</v>
      </c>
      <c r="P23" s="142">
        <f t="shared" ca="1" si="4"/>
        <v>201639</v>
      </c>
      <c r="Q23" s="142">
        <f t="shared" ca="1" si="5"/>
        <v>204685</v>
      </c>
      <c r="T23" s="55" t="s">
        <v>17</v>
      </c>
      <c r="U23" t="s">
        <v>73</v>
      </c>
      <c r="V23" s="142">
        <f t="shared" ca="1" si="6"/>
        <v>729558</v>
      </c>
      <c r="W23" s="142">
        <f t="shared" ca="1" si="7"/>
        <v>735251</v>
      </c>
      <c r="Z23" t="s">
        <v>95</v>
      </c>
      <c r="AA23">
        <v>2021</v>
      </c>
      <c r="AB23" s="227" t="s">
        <v>105</v>
      </c>
      <c r="AC23" s="142">
        <f t="shared" ca="1" si="8"/>
        <v>188832</v>
      </c>
      <c r="AD23" s="142">
        <f t="shared" ca="1" si="9"/>
        <v>190665</v>
      </c>
      <c r="AG23" t="s">
        <v>12</v>
      </c>
      <c r="AH23" t="s">
        <v>43</v>
      </c>
      <c r="AI23" s="142">
        <f t="shared" ca="1" si="10"/>
        <v>2555</v>
      </c>
      <c r="AJ23" s="142">
        <f t="shared" ca="1" si="11"/>
        <v>2633</v>
      </c>
      <c r="AM23" t="s">
        <v>22</v>
      </c>
      <c r="AN23" t="s">
        <v>134</v>
      </c>
      <c r="AO23" s="128">
        <v>0.2</v>
      </c>
      <c r="AP23" s="142">
        <f t="shared" ca="1" si="12"/>
        <v>20838</v>
      </c>
      <c r="AQ23" s="142">
        <f t="shared" ca="1" si="13"/>
        <v>21421</v>
      </c>
      <c r="AT23" t="s">
        <v>22</v>
      </c>
      <c r="AU23" t="s">
        <v>124</v>
      </c>
      <c r="AV23" s="142">
        <f t="shared" ca="1" si="14"/>
        <v>53637</v>
      </c>
      <c r="AW23" s="142">
        <f t="shared" ca="1" si="14"/>
        <v>52604</v>
      </c>
      <c r="AX23" s="142">
        <f t="shared" ca="1" si="15"/>
        <v>106258</v>
      </c>
      <c r="BA23" t="s">
        <v>17</v>
      </c>
      <c r="BB23" t="s">
        <v>171</v>
      </c>
      <c r="BC23" s="142">
        <f t="shared" ca="1" si="17"/>
        <v>55402</v>
      </c>
      <c r="BD23" s="142">
        <f t="shared" ca="1" si="17"/>
        <v>38248</v>
      </c>
    </row>
    <row r="24" spans="2:56">
      <c r="B24" s="55" t="s">
        <v>23</v>
      </c>
      <c r="C24" t="s">
        <v>49</v>
      </c>
      <c r="D24" s="142">
        <f t="shared" ca="1" si="0"/>
        <v>299356</v>
      </c>
      <c r="E24" s="142">
        <f t="shared" ca="1" si="1"/>
        <v>303238</v>
      </c>
      <c r="H24" s="55" t="s">
        <v>23</v>
      </c>
      <c r="I24" t="s">
        <v>49</v>
      </c>
      <c r="J24" s="142">
        <f t="shared" ca="1" si="2"/>
        <v>672627</v>
      </c>
      <c r="K24" s="142">
        <f t="shared" ca="1" si="3"/>
        <v>675077</v>
      </c>
      <c r="N24" s="55" t="s">
        <v>15</v>
      </c>
      <c r="O24" t="s">
        <v>37</v>
      </c>
      <c r="P24" s="142">
        <f t="shared" ca="1" si="4"/>
        <v>977783</v>
      </c>
      <c r="Q24" s="142">
        <f t="shared" ca="1" si="5"/>
        <v>979212</v>
      </c>
      <c r="T24" s="55" t="s">
        <v>17</v>
      </c>
      <c r="U24" t="s">
        <v>13</v>
      </c>
      <c r="V24" s="142">
        <f t="shared" ca="1" si="6"/>
        <v>939330</v>
      </c>
      <c r="W24" s="142">
        <f t="shared" ca="1" si="7"/>
        <v>942361</v>
      </c>
      <c r="Z24" t="s">
        <v>95</v>
      </c>
      <c r="AA24" t="s">
        <v>24</v>
      </c>
      <c r="AB24" s="227" t="s">
        <v>105</v>
      </c>
      <c r="AC24" s="142">
        <f t="shared" ca="1" si="8"/>
        <v>856752</v>
      </c>
      <c r="AD24" s="142">
        <f t="shared" ca="1" si="9"/>
        <v>860867</v>
      </c>
      <c r="AG24" t="s">
        <v>12</v>
      </c>
      <c r="AH24" t="s">
        <v>143</v>
      </c>
      <c r="AI24" s="142">
        <f t="shared" ca="1" si="10"/>
        <v>6751</v>
      </c>
      <c r="AJ24" s="142">
        <f t="shared" ca="1" si="11"/>
        <v>6827</v>
      </c>
      <c r="AM24" t="s">
        <v>22</v>
      </c>
      <c r="AN24" t="s">
        <v>124</v>
      </c>
      <c r="AO24" s="128">
        <v>0.3</v>
      </c>
      <c r="AP24" s="142">
        <f t="shared" ca="1" si="12"/>
        <v>47241</v>
      </c>
      <c r="AQ24" s="142">
        <f t="shared" ca="1" si="13"/>
        <v>48413</v>
      </c>
      <c r="AT24" t="s">
        <v>22</v>
      </c>
      <c r="AU24" t="s">
        <v>143</v>
      </c>
      <c r="AV24" s="142">
        <f t="shared" ca="1" si="14"/>
        <v>15926</v>
      </c>
      <c r="AW24" s="142">
        <f t="shared" ca="1" si="14"/>
        <v>97729</v>
      </c>
      <c r="AX24" s="142">
        <f t="shared" ca="1" si="15"/>
        <v>117679</v>
      </c>
      <c r="BA24" t="s">
        <v>28</v>
      </c>
      <c r="BB24" t="s">
        <v>171</v>
      </c>
      <c r="BC24" s="142">
        <f t="shared" ca="1" si="17"/>
        <v>40565</v>
      </c>
      <c r="BD24" s="142">
        <f ca="1">RANDBETWEEN(10000,100000)</f>
        <v>64692</v>
      </c>
    </row>
    <row r="25" spans="2:56">
      <c r="B25" s="55" t="s">
        <v>10</v>
      </c>
      <c r="C25" t="s">
        <v>42</v>
      </c>
      <c r="D25" s="142">
        <f t="shared" ca="1" si="0"/>
        <v>290939</v>
      </c>
      <c r="E25" s="142">
        <f t="shared" ca="1" si="1"/>
        <v>291990</v>
      </c>
      <c r="H25" s="55" t="s">
        <v>23</v>
      </c>
      <c r="I25" t="s">
        <v>50</v>
      </c>
      <c r="J25" s="142">
        <f t="shared" ca="1" si="2"/>
        <v>786768</v>
      </c>
      <c r="K25" s="142">
        <f t="shared" ca="1" si="3"/>
        <v>786974</v>
      </c>
      <c r="N25" s="55" t="s">
        <v>15</v>
      </c>
      <c r="O25" t="s">
        <v>45</v>
      </c>
      <c r="P25" s="142">
        <f t="shared" ca="1" si="4"/>
        <v>395647</v>
      </c>
      <c r="Q25" s="142">
        <f t="shared" ca="1" si="5"/>
        <v>399989</v>
      </c>
      <c r="T25" s="55" t="s">
        <v>15</v>
      </c>
      <c r="U25" t="s">
        <v>13</v>
      </c>
      <c r="V25" s="142">
        <f t="shared" ca="1" si="6"/>
        <v>643410</v>
      </c>
      <c r="W25" s="142">
        <f t="shared" ca="1" si="7"/>
        <v>643671</v>
      </c>
      <c r="Z25" t="s">
        <v>95</v>
      </c>
      <c r="AA25" t="s">
        <v>23</v>
      </c>
      <c r="AB25" s="227" t="s">
        <v>105</v>
      </c>
      <c r="AC25" s="142">
        <f t="shared" ca="1" si="8"/>
        <v>354710</v>
      </c>
      <c r="AD25" s="142">
        <f t="shared" ca="1" si="9"/>
        <v>357480</v>
      </c>
      <c r="AG25" t="s">
        <v>28</v>
      </c>
      <c r="AH25" t="s">
        <v>126</v>
      </c>
      <c r="AI25" s="142">
        <f t="shared" ca="1" si="10"/>
        <v>1312</v>
      </c>
      <c r="AJ25" s="142">
        <f t="shared" ca="1" si="11"/>
        <v>1424</v>
      </c>
      <c r="AM25" t="s">
        <v>22</v>
      </c>
      <c r="AN25" t="s">
        <v>126</v>
      </c>
      <c r="AO25" s="128">
        <v>0.2</v>
      </c>
      <c r="AP25" s="142">
        <f t="shared" ca="1" si="12"/>
        <v>90023</v>
      </c>
      <c r="AQ25" s="142">
        <f t="shared" ca="1" si="13"/>
        <v>90091</v>
      </c>
      <c r="AT25" t="s">
        <v>22</v>
      </c>
      <c r="AU25" t="s">
        <v>139</v>
      </c>
      <c r="AV25" s="142">
        <f t="shared" ca="1" si="14"/>
        <v>26976</v>
      </c>
      <c r="AW25" s="142">
        <f t="shared" ca="1" si="14"/>
        <v>66968</v>
      </c>
      <c r="AX25" s="142">
        <f t="shared" ca="1" si="15"/>
        <v>96318</v>
      </c>
      <c r="BA25" t="s">
        <v>8</v>
      </c>
      <c r="BB25" t="s">
        <v>104</v>
      </c>
      <c r="BC25" s="142">
        <f t="shared" ca="1" si="17"/>
        <v>77296</v>
      </c>
      <c r="BD25" s="142">
        <f t="shared" ca="1" si="17"/>
        <v>88626</v>
      </c>
    </row>
    <row r="26" spans="2:56">
      <c r="B26" s="55" t="s">
        <v>10</v>
      </c>
      <c r="C26" t="s">
        <v>49</v>
      </c>
      <c r="D26" s="142">
        <f t="shared" ca="1" si="0"/>
        <v>322924</v>
      </c>
      <c r="E26" s="142">
        <f t="shared" ca="1" si="1"/>
        <v>323481</v>
      </c>
      <c r="H26" s="55" t="s">
        <v>10</v>
      </c>
      <c r="I26" t="s">
        <v>52</v>
      </c>
      <c r="J26" s="142">
        <f t="shared" ca="1" si="2"/>
        <v>696121</v>
      </c>
      <c r="K26" s="142">
        <f t="shared" ca="1" si="3"/>
        <v>698806</v>
      </c>
      <c r="N26" s="55" t="s">
        <v>17</v>
      </c>
      <c r="O26" t="s">
        <v>38</v>
      </c>
      <c r="P26" s="142">
        <f t="shared" ca="1" si="4"/>
        <v>542016</v>
      </c>
      <c r="Q26" s="142">
        <f t="shared" ca="1" si="5"/>
        <v>544818</v>
      </c>
      <c r="T26" s="55" t="s">
        <v>17</v>
      </c>
      <c r="U26" t="s">
        <v>69</v>
      </c>
      <c r="V26" s="142">
        <f t="shared" ca="1" si="6"/>
        <v>982168</v>
      </c>
      <c r="W26" s="142">
        <f t="shared" ca="1" si="7"/>
        <v>982921</v>
      </c>
      <c r="Z26" t="s">
        <v>95</v>
      </c>
      <c r="AA26" t="s">
        <v>22</v>
      </c>
      <c r="AB26" s="227" t="s">
        <v>105</v>
      </c>
      <c r="AC26" s="142">
        <f t="shared" ca="1" si="8"/>
        <v>400975</v>
      </c>
      <c r="AD26" s="142">
        <f t="shared" ca="1" si="9"/>
        <v>409917</v>
      </c>
      <c r="AG26" t="s">
        <v>28</v>
      </c>
      <c r="AH26" t="s">
        <v>43</v>
      </c>
      <c r="AI26" s="142">
        <f t="shared" ca="1" si="10"/>
        <v>1043</v>
      </c>
      <c r="AJ26" s="142">
        <f t="shared" ca="1" si="11"/>
        <v>1621</v>
      </c>
      <c r="AM26" t="s">
        <v>22</v>
      </c>
      <c r="AN26" t="s">
        <v>139</v>
      </c>
      <c r="AO26" s="128">
        <v>0.15</v>
      </c>
      <c r="AP26" s="142">
        <f t="shared" ca="1" si="12"/>
        <v>35911</v>
      </c>
      <c r="AQ26" s="142">
        <f t="shared" ca="1" si="13"/>
        <v>36563</v>
      </c>
      <c r="AT26" t="s">
        <v>22</v>
      </c>
      <c r="AU26" t="s">
        <v>158</v>
      </c>
      <c r="AV26" s="142">
        <f t="shared" ca="1" si="14"/>
        <v>63211</v>
      </c>
      <c r="AW26" s="142">
        <f t="shared" ca="1" si="14"/>
        <v>95869</v>
      </c>
      <c r="AX26" s="142">
        <f t="shared" ca="1" si="15"/>
        <v>159742</v>
      </c>
      <c r="BA26" t="s">
        <v>12</v>
      </c>
      <c r="BB26" t="s">
        <v>104</v>
      </c>
      <c r="BC26" s="142">
        <f t="shared" ca="1" si="17"/>
        <v>57166</v>
      </c>
      <c r="BD26" s="142">
        <f t="shared" ca="1" si="17"/>
        <v>16914</v>
      </c>
    </row>
    <row r="27" spans="2:56">
      <c r="B27" s="55" t="s">
        <v>23</v>
      </c>
      <c r="C27" t="s">
        <v>44</v>
      </c>
      <c r="D27" s="142">
        <f t="shared" ca="1" si="0"/>
        <v>239352</v>
      </c>
      <c r="E27" s="142">
        <f t="shared" ca="1" si="1"/>
        <v>241504</v>
      </c>
      <c r="H27" s="55" t="s">
        <v>22</v>
      </c>
      <c r="I27" t="s">
        <v>52</v>
      </c>
      <c r="J27" s="142">
        <f t="shared" ca="1" si="2"/>
        <v>373126</v>
      </c>
      <c r="K27" s="142">
        <f t="shared" ca="1" si="3"/>
        <v>373341</v>
      </c>
      <c r="N27" s="55" t="s">
        <v>17</v>
      </c>
      <c r="O27" t="s">
        <v>42</v>
      </c>
      <c r="P27" s="142">
        <f t="shared" ca="1" si="4"/>
        <v>708347</v>
      </c>
      <c r="Q27" s="142">
        <f t="shared" ca="1" si="5"/>
        <v>710314</v>
      </c>
      <c r="T27" s="55" t="s">
        <v>10</v>
      </c>
      <c r="U27" t="s">
        <v>13</v>
      </c>
      <c r="V27" s="142">
        <f t="shared" ca="1" si="6"/>
        <v>458180</v>
      </c>
      <c r="W27" s="142">
        <f t="shared" ca="1" si="7"/>
        <v>465446</v>
      </c>
      <c r="Z27" t="s">
        <v>95</v>
      </c>
      <c r="AA27" t="s">
        <v>16</v>
      </c>
      <c r="AB27" s="227" t="s">
        <v>105</v>
      </c>
      <c r="AC27" s="142">
        <f t="shared" ca="1" si="8"/>
        <v>128039</v>
      </c>
      <c r="AD27" s="142">
        <f t="shared" ca="1" si="9"/>
        <v>129589</v>
      </c>
      <c r="AG27" t="s">
        <v>28</v>
      </c>
      <c r="AH27" t="s">
        <v>157</v>
      </c>
      <c r="AI27" s="142">
        <f t="shared" ca="1" si="10"/>
        <v>6935</v>
      </c>
      <c r="AJ27" s="142">
        <f t="shared" ca="1" si="11"/>
        <v>7140</v>
      </c>
      <c r="AM27" t="s">
        <v>16</v>
      </c>
      <c r="AN27" t="s">
        <v>126</v>
      </c>
      <c r="AO27" s="128">
        <v>0.2</v>
      </c>
      <c r="AP27" s="142">
        <f t="shared" ca="1" si="12"/>
        <v>25773</v>
      </c>
      <c r="AQ27" s="142">
        <f t="shared" ca="1" si="13"/>
        <v>28332</v>
      </c>
      <c r="AT27" t="s">
        <v>22</v>
      </c>
      <c r="AU27" t="s">
        <v>126</v>
      </c>
      <c r="AV27" s="142">
        <f t="shared" ca="1" si="14"/>
        <v>29614</v>
      </c>
      <c r="AW27" s="142">
        <f t="shared" ca="1" si="14"/>
        <v>71058</v>
      </c>
      <c r="AX27" s="142">
        <f t="shared" ca="1" si="15"/>
        <v>105795</v>
      </c>
      <c r="BA27" t="s">
        <v>14</v>
      </c>
      <c r="BB27" t="s">
        <v>104</v>
      </c>
      <c r="BC27" s="142">
        <f t="shared" ca="1" si="17"/>
        <v>13442</v>
      </c>
      <c r="BD27" s="142">
        <f t="shared" ca="1" si="17"/>
        <v>41749</v>
      </c>
    </row>
    <row r="28" spans="2:56">
      <c r="B28" s="55" t="s">
        <v>10</v>
      </c>
      <c r="C28" t="s">
        <v>45</v>
      </c>
      <c r="D28" s="142">
        <f t="shared" ca="1" si="0"/>
        <v>407567</v>
      </c>
      <c r="E28" s="142">
        <f t="shared" ca="1" si="1"/>
        <v>410426</v>
      </c>
      <c r="H28" s="55" t="s">
        <v>16</v>
      </c>
      <c r="I28" t="s">
        <v>52</v>
      </c>
      <c r="J28" s="142">
        <f t="shared" ca="1" si="2"/>
        <v>636390</v>
      </c>
      <c r="K28" s="142">
        <f t="shared" ca="1" si="3"/>
        <v>637966</v>
      </c>
      <c r="N28" s="55" t="s">
        <v>15</v>
      </c>
      <c r="O28" t="s">
        <v>43</v>
      </c>
      <c r="P28" s="142">
        <f t="shared" ca="1" si="4"/>
        <v>136747</v>
      </c>
      <c r="Q28" s="142">
        <f t="shared" ca="1" si="5"/>
        <v>140647</v>
      </c>
      <c r="T28" s="55" t="s">
        <v>23</v>
      </c>
      <c r="U28" t="s">
        <v>13</v>
      </c>
      <c r="V28" s="142">
        <f t="shared" ca="1" si="6"/>
        <v>428297</v>
      </c>
      <c r="W28" s="142">
        <f t="shared" ca="1" si="7"/>
        <v>431933</v>
      </c>
      <c r="Z28" t="s">
        <v>99</v>
      </c>
      <c r="AA28">
        <v>2021</v>
      </c>
      <c r="AB28" s="227" t="s">
        <v>19</v>
      </c>
      <c r="AC28" s="142">
        <f t="shared" ca="1" si="8"/>
        <v>380041</v>
      </c>
      <c r="AD28" s="142">
        <f t="shared" ca="1" si="9"/>
        <v>380213</v>
      </c>
      <c r="AG28" t="s">
        <v>28</v>
      </c>
      <c r="AH28" t="s">
        <v>159</v>
      </c>
      <c r="AI28" s="142">
        <f t="shared" ca="1" si="10"/>
        <v>2761</v>
      </c>
      <c r="AJ28" s="142">
        <f t="shared" ca="1" si="11"/>
        <v>3531</v>
      </c>
      <c r="AM28" t="s">
        <v>16</v>
      </c>
      <c r="AN28" t="s">
        <v>139</v>
      </c>
      <c r="AO28" s="128">
        <v>0.15</v>
      </c>
      <c r="AP28" s="142">
        <f t="shared" ca="1" si="12"/>
        <v>72648</v>
      </c>
      <c r="AQ28" s="142">
        <f t="shared" ca="1" si="13"/>
        <v>76513</v>
      </c>
      <c r="AT28" t="s">
        <v>22</v>
      </c>
      <c r="AU28" t="s">
        <v>134</v>
      </c>
      <c r="AV28" s="142">
        <f t="shared" ca="1" si="14"/>
        <v>80239</v>
      </c>
      <c r="AW28" s="142">
        <f t="shared" ca="1" si="14"/>
        <v>20498</v>
      </c>
      <c r="AX28" s="142">
        <f t="shared" ca="1" si="15"/>
        <v>103367</v>
      </c>
      <c r="BA28" t="s">
        <v>27</v>
      </c>
      <c r="BB28" t="s">
        <v>104</v>
      </c>
      <c r="BC28" s="142">
        <f t="shared" ca="1" si="17"/>
        <v>93622</v>
      </c>
      <c r="BD28" s="142">
        <f t="shared" ca="1" si="17"/>
        <v>82537</v>
      </c>
    </row>
    <row r="29" spans="2:56">
      <c r="B29" s="55" t="s">
        <v>10</v>
      </c>
      <c r="C29" t="s">
        <v>39</v>
      </c>
      <c r="D29" s="142">
        <f t="shared" ca="1" si="0"/>
        <v>685769</v>
      </c>
      <c r="E29" s="142">
        <f t="shared" ca="1" si="1"/>
        <v>687000</v>
      </c>
      <c r="H29" s="55" t="s">
        <v>23</v>
      </c>
      <c r="I29" t="s">
        <v>52</v>
      </c>
      <c r="J29" s="142">
        <f t="shared" ca="1" si="2"/>
        <v>144847</v>
      </c>
      <c r="K29" s="142">
        <f t="shared" ca="1" si="3"/>
        <v>148196</v>
      </c>
      <c r="N29" s="55" t="s">
        <v>17</v>
      </c>
      <c r="O29" t="s">
        <v>48</v>
      </c>
      <c r="P29" s="142">
        <f t="shared" ca="1" si="4"/>
        <v>262691</v>
      </c>
      <c r="Q29" s="142">
        <f t="shared" ca="1" si="5"/>
        <v>262752</v>
      </c>
      <c r="T29" s="55" t="s">
        <v>23</v>
      </c>
      <c r="U29" t="s">
        <v>77</v>
      </c>
      <c r="V29" s="142">
        <f t="shared" ca="1" si="6"/>
        <v>324286</v>
      </c>
      <c r="W29" s="142">
        <f t="shared" ca="1" si="7"/>
        <v>325778</v>
      </c>
      <c r="Z29" t="s">
        <v>99</v>
      </c>
      <c r="AA29" t="s">
        <v>24</v>
      </c>
      <c r="AB29" s="227" t="s">
        <v>19</v>
      </c>
      <c r="AC29" s="142">
        <f t="shared" ca="1" si="8"/>
        <v>886936</v>
      </c>
      <c r="AD29" s="142">
        <f t="shared" ca="1" si="9"/>
        <v>887595</v>
      </c>
      <c r="AG29" t="s">
        <v>28</v>
      </c>
      <c r="AH29" t="s">
        <v>134</v>
      </c>
      <c r="AI29" s="142">
        <f t="shared" ca="1" si="10"/>
        <v>1318</v>
      </c>
      <c r="AJ29" s="142">
        <f t="shared" ca="1" si="11"/>
        <v>1868</v>
      </c>
      <c r="AM29" t="s">
        <v>16</v>
      </c>
      <c r="AN29" t="s">
        <v>158</v>
      </c>
      <c r="AO29" s="128">
        <v>0.2</v>
      </c>
      <c r="AP29" s="142">
        <f t="shared" ca="1" si="12"/>
        <v>10830</v>
      </c>
      <c r="AQ29" s="142">
        <f t="shared" ca="1" si="13"/>
        <v>11713</v>
      </c>
      <c r="AT29" t="s">
        <v>16</v>
      </c>
      <c r="AU29" t="s">
        <v>126</v>
      </c>
      <c r="AV29" s="142">
        <f t="shared" ca="1" si="14"/>
        <v>57376</v>
      </c>
      <c r="AW29" s="142">
        <f t="shared" ca="1" si="14"/>
        <v>42192</v>
      </c>
      <c r="AX29" s="142">
        <f t="shared" ca="1" si="15"/>
        <v>106595</v>
      </c>
      <c r="BA29" t="s">
        <v>17</v>
      </c>
      <c r="BB29" t="s">
        <v>104</v>
      </c>
      <c r="BC29" s="142">
        <f t="shared" ca="1" si="17"/>
        <v>25615</v>
      </c>
      <c r="BD29" s="142">
        <f t="shared" ca="1" si="17"/>
        <v>80561</v>
      </c>
    </row>
    <row r="30" spans="2:56">
      <c r="B30" s="55" t="s">
        <v>23</v>
      </c>
      <c r="C30" t="s">
        <v>48</v>
      </c>
      <c r="D30" s="142">
        <f t="shared" ca="1" si="0"/>
        <v>919102</v>
      </c>
      <c r="E30" s="142">
        <f t="shared" ca="1" si="1"/>
        <v>922253</v>
      </c>
      <c r="H30" s="55" t="s">
        <v>26</v>
      </c>
      <c r="I30" t="s">
        <v>49</v>
      </c>
      <c r="J30" s="142">
        <f t="shared" ca="1" si="2"/>
        <v>534817</v>
      </c>
      <c r="K30" s="142">
        <f t="shared" ca="1" si="3"/>
        <v>535339</v>
      </c>
      <c r="N30" s="55" t="s">
        <v>17</v>
      </c>
      <c r="O30" t="s">
        <v>44</v>
      </c>
      <c r="P30" s="142">
        <f t="shared" ca="1" si="4"/>
        <v>286053</v>
      </c>
      <c r="Q30" s="142">
        <f t="shared" ca="1" si="5"/>
        <v>286817</v>
      </c>
      <c r="T30" s="55" t="s">
        <v>23</v>
      </c>
      <c r="U30" t="s">
        <v>73</v>
      </c>
      <c r="V30" s="142">
        <f t="shared" ca="1" si="6"/>
        <v>895034</v>
      </c>
      <c r="W30" s="142">
        <f t="shared" ca="1" si="7"/>
        <v>895376</v>
      </c>
      <c r="Z30" t="s">
        <v>99</v>
      </c>
      <c r="AA30" t="s">
        <v>25</v>
      </c>
      <c r="AB30" s="227" t="s">
        <v>19</v>
      </c>
      <c r="AC30" s="142">
        <f t="shared" ca="1" si="8"/>
        <v>610706</v>
      </c>
      <c r="AD30" s="142">
        <f t="shared" ca="1" si="9"/>
        <v>614622</v>
      </c>
      <c r="AG30" t="s">
        <v>28</v>
      </c>
      <c r="AH30" t="s">
        <v>143</v>
      </c>
      <c r="AI30" s="142">
        <f t="shared" ca="1" si="10"/>
        <v>9418</v>
      </c>
      <c r="AJ30" s="142">
        <f t="shared" ca="1" si="11"/>
        <v>9652</v>
      </c>
      <c r="AM30" t="s">
        <v>16</v>
      </c>
      <c r="AN30" t="s">
        <v>124</v>
      </c>
      <c r="AO30" s="128">
        <v>0.3</v>
      </c>
      <c r="AP30" s="142">
        <f t="shared" ca="1" si="12"/>
        <v>60196</v>
      </c>
      <c r="AQ30" s="142">
        <f t="shared" ca="1" si="13"/>
        <v>65750</v>
      </c>
      <c r="AT30" t="s">
        <v>16</v>
      </c>
      <c r="AU30" t="s">
        <v>134</v>
      </c>
      <c r="AV30" s="142">
        <f t="shared" ca="1" si="14"/>
        <v>43398</v>
      </c>
      <c r="AW30" s="142">
        <f t="shared" ca="1" si="14"/>
        <v>65408</v>
      </c>
      <c r="AX30" s="142">
        <f t="shared" ca="1" si="15"/>
        <v>112071</v>
      </c>
      <c r="BA30" t="s">
        <v>28</v>
      </c>
      <c r="BB30" t="s">
        <v>104</v>
      </c>
      <c r="BC30" s="142">
        <f t="shared" ca="1" si="17"/>
        <v>79606</v>
      </c>
      <c r="BD30" s="142">
        <f t="shared" ca="1" si="17"/>
        <v>65670</v>
      </c>
    </row>
    <row r="31" spans="2:56">
      <c r="B31" s="55" t="s">
        <v>10</v>
      </c>
      <c r="C31" t="s">
        <v>51</v>
      </c>
      <c r="D31" s="142">
        <f t="shared" ca="1" si="0"/>
        <v>784296</v>
      </c>
      <c r="E31" s="142">
        <f t="shared" ca="1" si="1"/>
        <v>784533</v>
      </c>
      <c r="H31" s="55" t="s">
        <v>25</v>
      </c>
      <c r="I31" t="s">
        <v>50</v>
      </c>
      <c r="J31" s="142">
        <f t="shared" ca="1" si="2"/>
        <v>589714</v>
      </c>
      <c r="K31" s="142">
        <f t="shared" ca="1" si="3"/>
        <v>593595</v>
      </c>
      <c r="N31" s="55" t="s">
        <v>15</v>
      </c>
      <c r="O31" t="s">
        <v>51</v>
      </c>
      <c r="P31" s="142">
        <f t="shared" ca="1" si="4"/>
        <v>562288</v>
      </c>
      <c r="Q31" s="142">
        <f t="shared" ca="1" si="5"/>
        <v>562941</v>
      </c>
      <c r="T31" s="55" t="s">
        <v>10</v>
      </c>
      <c r="U31" t="s">
        <v>73</v>
      </c>
      <c r="V31" s="142">
        <f t="shared" ca="1" si="6"/>
        <v>406353</v>
      </c>
      <c r="W31" s="142">
        <f t="shared" ca="1" si="7"/>
        <v>409294</v>
      </c>
      <c r="Z31" t="s">
        <v>99</v>
      </c>
      <c r="AA31" t="s">
        <v>22</v>
      </c>
      <c r="AB31" s="227" t="s">
        <v>19</v>
      </c>
      <c r="AC31" s="142">
        <f t="shared" ca="1" si="8"/>
        <v>855044</v>
      </c>
      <c r="AD31" s="142">
        <f t="shared" ca="1" si="9"/>
        <v>856830</v>
      </c>
      <c r="AG31" t="s">
        <v>28</v>
      </c>
      <c r="AH31" t="s">
        <v>139</v>
      </c>
      <c r="AI31" s="142">
        <f t="shared" ca="1" si="10"/>
        <v>6254</v>
      </c>
      <c r="AJ31" s="142">
        <f t="shared" ca="1" si="11"/>
        <v>6276</v>
      </c>
      <c r="AM31" t="s">
        <v>16</v>
      </c>
      <c r="AN31" t="s">
        <v>134</v>
      </c>
      <c r="AO31" s="128">
        <v>0.2</v>
      </c>
      <c r="AP31" s="142">
        <f t="shared" ca="1" si="12"/>
        <v>87952</v>
      </c>
      <c r="AQ31" s="142">
        <f t="shared" ca="1" si="13"/>
        <v>95984</v>
      </c>
      <c r="AT31" t="s">
        <v>16</v>
      </c>
      <c r="AU31" t="s">
        <v>158</v>
      </c>
      <c r="AV31" s="142">
        <f t="shared" ca="1" si="14"/>
        <v>25568</v>
      </c>
      <c r="AW31" s="142">
        <f t="shared" ca="1" si="14"/>
        <v>88983</v>
      </c>
      <c r="AX31" s="142">
        <f t="shared" ca="1" si="15"/>
        <v>117357</v>
      </c>
      <c r="BA31" t="s">
        <v>8</v>
      </c>
      <c r="BB31" t="s">
        <v>106</v>
      </c>
      <c r="BC31" s="142">
        <f t="shared" ca="1" si="17"/>
        <v>31123</v>
      </c>
      <c r="BD31" s="142">
        <f t="shared" ca="1" si="17"/>
        <v>89986</v>
      </c>
    </row>
    <row r="32" spans="2:56">
      <c r="B32" s="55" t="s">
        <v>10</v>
      </c>
      <c r="C32" t="s">
        <v>50</v>
      </c>
      <c r="D32" s="142">
        <f t="shared" ca="1" si="0"/>
        <v>423564</v>
      </c>
      <c r="E32" s="142">
        <f t="shared" ca="1" si="1"/>
        <v>424666</v>
      </c>
      <c r="H32" s="55" t="s">
        <v>25</v>
      </c>
      <c r="I32" t="s">
        <v>49</v>
      </c>
      <c r="J32" s="142">
        <f t="shared" ca="1" si="2"/>
        <v>738894</v>
      </c>
      <c r="K32" s="142">
        <f t="shared" ca="1" si="3"/>
        <v>739596</v>
      </c>
      <c r="N32" s="55" t="s">
        <v>15</v>
      </c>
      <c r="O32" t="s">
        <v>44</v>
      </c>
      <c r="P32" s="142">
        <f t="shared" ca="1" si="4"/>
        <v>615592</v>
      </c>
      <c r="Q32" s="142">
        <f t="shared" ca="1" si="5"/>
        <v>616652</v>
      </c>
      <c r="T32" s="55" t="s">
        <v>23</v>
      </c>
      <c r="U32" t="s">
        <v>75</v>
      </c>
      <c r="V32" s="142">
        <f t="shared" ca="1" si="6"/>
        <v>787589</v>
      </c>
      <c r="W32" s="142">
        <f t="shared" ca="1" si="7"/>
        <v>788081</v>
      </c>
      <c r="Z32" t="s">
        <v>99</v>
      </c>
      <c r="AA32" t="s">
        <v>16</v>
      </c>
      <c r="AB32" s="227" t="s">
        <v>19</v>
      </c>
      <c r="AC32" s="142">
        <f t="shared" ca="1" si="8"/>
        <v>582359</v>
      </c>
      <c r="AD32" s="142">
        <f t="shared" ca="1" si="9"/>
        <v>582505</v>
      </c>
      <c r="AG32" t="s">
        <v>22</v>
      </c>
      <c r="AH32" t="s">
        <v>160</v>
      </c>
      <c r="AI32" s="142">
        <f t="shared" ca="1" si="10"/>
        <v>7095</v>
      </c>
      <c r="AJ32" s="142">
        <f t="shared" ca="1" si="11"/>
        <v>7221</v>
      </c>
      <c r="AM32" t="s">
        <v>16</v>
      </c>
      <c r="AN32" t="s">
        <v>143</v>
      </c>
      <c r="AP32" s="142">
        <f t="shared" ca="1" si="12"/>
        <v>33588</v>
      </c>
      <c r="AQ32" s="142">
        <f t="shared" ca="1" si="13"/>
        <v>33905</v>
      </c>
      <c r="AT32" t="s">
        <v>16</v>
      </c>
      <c r="AU32" t="s">
        <v>143</v>
      </c>
      <c r="AV32" s="142">
        <f t="shared" ca="1" si="14"/>
        <v>31836</v>
      </c>
      <c r="AW32" s="142">
        <f t="shared" ca="1" si="14"/>
        <v>23378</v>
      </c>
      <c r="AX32" s="142">
        <f t="shared" ca="1" si="15"/>
        <v>56414</v>
      </c>
      <c r="BA32" t="s">
        <v>12</v>
      </c>
      <c r="BB32" t="s">
        <v>106</v>
      </c>
      <c r="BC32" s="142">
        <f t="shared" ca="1" si="17"/>
        <v>92171</v>
      </c>
      <c r="BD32" s="142">
        <f t="shared" ca="1" si="17"/>
        <v>44727</v>
      </c>
    </row>
    <row r="33" spans="2:56">
      <c r="B33" s="55" t="s">
        <v>23</v>
      </c>
      <c r="C33" t="s">
        <v>51</v>
      </c>
      <c r="D33" s="142">
        <f t="shared" ca="1" si="0"/>
        <v>787336</v>
      </c>
      <c r="E33" s="142">
        <f t="shared" ca="1" si="1"/>
        <v>790718</v>
      </c>
      <c r="H33" s="55" t="s">
        <v>24</v>
      </c>
      <c r="I33" t="s">
        <v>49</v>
      </c>
      <c r="J33" s="142">
        <f t="shared" ca="1" si="2"/>
        <v>288588</v>
      </c>
      <c r="K33" s="142">
        <f t="shared" ca="1" si="3"/>
        <v>289120</v>
      </c>
      <c r="N33" s="55" t="s">
        <v>15</v>
      </c>
      <c r="O33" t="s">
        <v>48</v>
      </c>
      <c r="P33" s="142">
        <f t="shared" ca="1" si="4"/>
        <v>365540</v>
      </c>
      <c r="Q33" s="142">
        <f t="shared" ca="1" si="5"/>
        <v>366044</v>
      </c>
      <c r="T33" s="55" t="s">
        <v>10</v>
      </c>
      <c r="U33" t="s">
        <v>75</v>
      </c>
      <c r="V33" s="142">
        <f t="shared" ca="1" si="6"/>
        <v>831821</v>
      </c>
      <c r="W33" s="142">
        <f t="shared" ca="1" si="7"/>
        <v>832953</v>
      </c>
      <c r="Z33" t="s">
        <v>99</v>
      </c>
      <c r="AA33" t="s">
        <v>23</v>
      </c>
      <c r="AB33" s="227" t="s">
        <v>19</v>
      </c>
      <c r="AC33" s="142">
        <f t="shared" ca="1" si="8"/>
        <v>124699</v>
      </c>
      <c r="AD33" s="142">
        <f t="shared" ca="1" si="9"/>
        <v>127195</v>
      </c>
      <c r="AG33" t="s">
        <v>22</v>
      </c>
      <c r="AH33" t="s">
        <v>139</v>
      </c>
      <c r="AI33" s="142">
        <f t="shared" ca="1" si="10"/>
        <v>7667</v>
      </c>
      <c r="AJ33" s="142">
        <f t="shared" ca="1" si="11"/>
        <v>7874</v>
      </c>
      <c r="AM33" t="s">
        <v>8</v>
      </c>
      <c r="AN33" t="s">
        <v>158</v>
      </c>
      <c r="AO33">
        <v>0.2</v>
      </c>
      <c r="AP33" s="142">
        <f t="shared" ca="1" si="12"/>
        <v>81393</v>
      </c>
      <c r="AQ33" s="142">
        <f t="shared" ca="1" si="13"/>
        <v>81709</v>
      </c>
      <c r="AT33" t="s">
        <v>16</v>
      </c>
      <c r="AU33" t="s">
        <v>124</v>
      </c>
      <c r="AV33" s="142">
        <f t="shared" ca="1" si="14"/>
        <v>80623</v>
      </c>
      <c r="AW33" s="142">
        <f t="shared" ca="1" si="14"/>
        <v>54350</v>
      </c>
      <c r="AX33" s="142">
        <f t="shared" ca="1" si="15"/>
        <v>135793</v>
      </c>
      <c r="BA33" t="s">
        <v>14</v>
      </c>
      <c r="BB33" t="s">
        <v>106</v>
      </c>
      <c r="BC33" s="142">
        <f t="shared" ca="1" si="17"/>
        <v>92739</v>
      </c>
      <c r="BD33" s="142">
        <f t="shared" ca="1" si="17"/>
        <v>11351</v>
      </c>
    </row>
    <row r="34" spans="2:56">
      <c r="B34" s="55" t="s">
        <v>23</v>
      </c>
      <c r="C34" t="s">
        <v>50</v>
      </c>
      <c r="D34" s="142">
        <f t="shared" ca="1" si="0"/>
        <v>628107</v>
      </c>
      <c r="E34" s="142">
        <f t="shared" ca="1" si="1"/>
        <v>630159</v>
      </c>
      <c r="H34" s="55" t="s">
        <v>24</v>
      </c>
      <c r="I34" t="s">
        <v>50</v>
      </c>
      <c r="J34" s="142">
        <f t="shared" ca="1" si="2"/>
        <v>132599</v>
      </c>
      <c r="K34" s="142">
        <f t="shared" ca="1" si="3"/>
        <v>133656</v>
      </c>
      <c r="N34" s="55" t="s">
        <v>17</v>
      </c>
      <c r="O34" t="s">
        <v>51</v>
      </c>
      <c r="P34" s="142">
        <f t="shared" ca="1" si="4"/>
        <v>383293</v>
      </c>
      <c r="Q34" s="142">
        <f t="shared" ca="1" si="5"/>
        <v>384483</v>
      </c>
      <c r="T34" s="55" t="s">
        <v>10</v>
      </c>
      <c r="U34" t="s">
        <v>76</v>
      </c>
      <c r="V34" s="142">
        <f t="shared" ca="1" si="6"/>
        <v>961566</v>
      </c>
      <c r="W34" s="142">
        <f t="shared" ca="1" si="7"/>
        <v>961584</v>
      </c>
      <c r="Z34" t="s">
        <v>99</v>
      </c>
      <c r="AA34" t="s">
        <v>10</v>
      </c>
      <c r="AB34" s="227" t="s">
        <v>19</v>
      </c>
      <c r="AC34" s="142">
        <f t="shared" ca="1" si="8"/>
        <v>101322</v>
      </c>
      <c r="AD34" s="142">
        <f t="shared" ca="1" si="9"/>
        <v>107956</v>
      </c>
      <c r="AG34" t="s">
        <v>22</v>
      </c>
      <c r="AH34" t="s">
        <v>126</v>
      </c>
      <c r="AI34" s="142">
        <f t="shared" ca="1" si="10"/>
        <v>2672</v>
      </c>
      <c r="AJ34" s="142">
        <f t="shared" ca="1" si="11"/>
        <v>3434</v>
      </c>
      <c r="AM34" t="s">
        <v>8</v>
      </c>
      <c r="AN34" t="s">
        <v>143</v>
      </c>
      <c r="AO34"/>
      <c r="AP34" s="142">
        <f t="shared" ca="1" si="12"/>
        <v>28747</v>
      </c>
      <c r="AQ34" s="142">
        <f t="shared" ca="1" si="13"/>
        <v>28786</v>
      </c>
      <c r="AT34" t="s">
        <v>16</v>
      </c>
      <c r="AU34" t="s">
        <v>139</v>
      </c>
      <c r="AV34" s="142">
        <f t="shared" ca="1" si="14"/>
        <v>81425</v>
      </c>
      <c r="AW34" s="142">
        <f t="shared" ca="1" si="14"/>
        <v>84164</v>
      </c>
      <c r="AX34" s="142">
        <f t="shared" ca="1" si="15"/>
        <v>168871</v>
      </c>
      <c r="BA34" t="s">
        <v>27</v>
      </c>
      <c r="BB34" t="s">
        <v>106</v>
      </c>
      <c r="BC34" s="142">
        <f t="shared" ca="1" si="17"/>
        <v>33576</v>
      </c>
      <c r="BD34" s="142">
        <f t="shared" ca="1" si="17"/>
        <v>89843</v>
      </c>
    </row>
    <row r="35" spans="2:56">
      <c r="B35" s="55" t="s">
        <v>10</v>
      </c>
      <c r="C35" t="s">
        <v>44</v>
      </c>
      <c r="D35" s="142">
        <f t="shared" ca="1" si="0"/>
        <v>354211</v>
      </c>
      <c r="E35" s="142">
        <f t="shared" ca="1" si="1"/>
        <v>359719</v>
      </c>
      <c r="H35" s="55" t="s">
        <v>29</v>
      </c>
      <c r="I35" t="s">
        <v>49</v>
      </c>
      <c r="J35" s="142">
        <f t="shared" ca="1" si="2"/>
        <v>512427</v>
      </c>
      <c r="K35" s="142">
        <f t="shared" ca="1" si="3"/>
        <v>514376</v>
      </c>
      <c r="N35" s="55" t="s">
        <v>17</v>
      </c>
      <c r="O35" t="s">
        <v>50</v>
      </c>
      <c r="P35" s="142">
        <f t="shared" ca="1" si="4"/>
        <v>546965</v>
      </c>
      <c r="Q35" s="142">
        <f t="shared" ca="1" si="5"/>
        <v>548004</v>
      </c>
      <c r="T35" s="55" t="s">
        <v>10</v>
      </c>
      <c r="U35" t="s">
        <v>77</v>
      </c>
      <c r="V35" s="142">
        <f t="shared" ca="1" si="6"/>
        <v>825556</v>
      </c>
      <c r="W35" s="142">
        <f t="shared" ca="1" si="7"/>
        <v>832420</v>
      </c>
      <c r="AD35" s="142"/>
      <c r="AG35" t="s">
        <v>22</v>
      </c>
      <c r="AH35" t="s">
        <v>159</v>
      </c>
      <c r="AI35" s="142">
        <f t="shared" ca="1" si="10"/>
        <v>8496</v>
      </c>
      <c r="AJ35" s="142">
        <f t="shared" ca="1" si="11"/>
        <v>8807</v>
      </c>
      <c r="AM35" t="s">
        <v>15</v>
      </c>
      <c r="AN35" t="s">
        <v>158</v>
      </c>
      <c r="AO35">
        <v>0.2</v>
      </c>
      <c r="AP35" s="142">
        <f t="shared" ca="1" si="12"/>
        <v>84133</v>
      </c>
      <c r="AQ35" s="142">
        <f t="shared" ca="1" si="13"/>
        <v>84984</v>
      </c>
      <c r="AT35" t="s">
        <v>8</v>
      </c>
      <c r="AU35" t="s">
        <v>143</v>
      </c>
      <c r="AV35" s="142">
        <f t="shared" ca="1" si="14"/>
        <v>54413</v>
      </c>
      <c r="AW35" s="142">
        <f t="shared" ca="1" si="14"/>
        <v>58351</v>
      </c>
      <c r="AX35" s="142">
        <f t="shared" ca="1" si="15"/>
        <v>114365</v>
      </c>
      <c r="BA35" t="s">
        <v>17</v>
      </c>
      <c r="BB35" t="s">
        <v>106</v>
      </c>
      <c r="BC35" s="142">
        <f t="shared" ref="BC35:BD36" ca="1" si="18">RANDBETWEEN(10000,100000)</f>
        <v>17410</v>
      </c>
      <c r="BD35" s="142">
        <f t="shared" ca="1" si="18"/>
        <v>91252</v>
      </c>
    </row>
    <row r="36" spans="2:56">
      <c r="B36" s="55" t="s">
        <v>10</v>
      </c>
      <c r="C36" t="s">
        <v>48</v>
      </c>
      <c r="D36" s="142">
        <f t="shared" ca="1" si="0"/>
        <v>730180</v>
      </c>
      <c r="E36" s="142">
        <f t="shared" ca="1" si="1"/>
        <v>731876</v>
      </c>
      <c r="H36" s="55" t="s">
        <v>26</v>
      </c>
      <c r="I36" t="s">
        <v>50</v>
      </c>
      <c r="J36" s="142">
        <f t="shared" ca="1" si="2"/>
        <v>484012</v>
      </c>
      <c r="K36" s="142">
        <f t="shared" ca="1" si="3"/>
        <v>486065</v>
      </c>
      <c r="N36" s="55" t="s">
        <v>17</v>
      </c>
      <c r="O36" t="s">
        <v>46</v>
      </c>
      <c r="P36" s="142">
        <f t="shared" ca="1" si="4"/>
        <v>469885</v>
      </c>
      <c r="Q36" s="142">
        <f t="shared" ca="1" si="5"/>
        <v>470325</v>
      </c>
      <c r="T36" s="55" t="s">
        <v>23</v>
      </c>
      <c r="U36" t="s">
        <v>76</v>
      </c>
      <c r="V36" s="142">
        <f t="shared" ca="1" si="6"/>
        <v>458946</v>
      </c>
      <c r="W36" s="142">
        <f t="shared" ca="1" si="7"/>
        <v>465889</v>
      </c>
      <c r="AD36" s="142"/>
      <c r="AG36" t="s">
        <v>22</v>
      </c>
      <c r="AH36" t="s">
        <v>143</v>
      </c>
      <c r="AI36" s="142">
        <f t="shared" ca="1" si="10"/>
        <v>9376</v>
      </c>
      <c r="AJ36" s="142">
        <f t="shared" ca="1" si="11"/>
        <v>9804</v>
      </c>
      <c r="AM36" t="s">
        <v>15</v>
      </c>
      <c r="AN36" t="s">
        <v>143</v>
      </c>
      <c r="AO36"/>
      <c r="AP36" s="142">
        <f t="shared" ca="1" si="12"/>
        <v>62066</v>
      </c>
      <c r="AQ36" s="142">
        <f t="shared" ca="1" si="13"/>
        <v>62537</v>
      </c>
      <c r="AT36" t="s">
        <v>15</v>
      </c>
      <c r="AU36" t="s">
        <v>143</v>
      </c>
      <c r="AV36" s="142">
        <f t="shared" ca="1" si="14"/>
        <v>17829</v>
      </c>
      <c r="AW36" s="142">
        <f t="shared" ca="1" si="14"/>
        <v>15664</v>
      </c>
      <c r="AX36" s="142">
        <f t="shared" ca="1" si="15"/>
        <v>35371</v>
      </c>
      <c r="BA36" t="s">
        <v>28</v>
      </c>
      <c r="BB36" t="s">
        <v>106</v>
      </c>
      <c r="BC36" s="142">
        <f t="shared" ca="1" si="18"/>
        <v>43968</v>
      </c>
      <c r="BD36" s="142">
        <f t="shared" ca="1" si="18"/>
        <v>14470</v>
      </c>
    </row>
    <row r="37" spans="2:56">
      <c r="B37" s="55" t="s">
        <v>25</v>
      </c>
      <c r="C37" t="s">
        <v>43</v>
      </c>
      <c r="D37" s="142">
        <f t="shared" ca="1" si="0"/>
        <v>372649</v>
      </c>
      <c r="E37" s="142">
        <f t="shared" ca="1" si="1"/>
        <v>377663</v>
      </c>
      <c r="H37" s="55" t="s">
        <v>29</v>
      </c>
      <c r="I37" t="s">
        <v>50</v>
      </c>
      <c r="J37" s="142">
        <f t="shared" ca="1" si="2"/>
        <v>236497</v>
      </c>
      <c r="K37" s="142">
        <f t="shared" ca="1" si="3"/>
        <v>237602</v>
      </c>
      <c r="N37" s="55" t="s">
        <v>15</v>
      </c>
      <c r="O37" t="s">
        <v>50</v>
      </c>
      <c r="P37" s="142">
        <f t="shared" ca="1" si="4"/>
        <v>479401</v>
      </c>
      <c r="Q37" s="142">
        <f t="shared" ca="1" si="5"/>
        <v>485929</v>
      </c>
      <c r="T37" s="55" t="s">
        <v>23</v>
      </c>
      <c r="U37" t="s">
        <v>69</v>
      </c>
      <c r="V37" s="142">
        <f t="shared" ca="1" si="6"/>
        <v>428370</v>
      </c>
      <c r="W37" s="142">
        <f t="shared" ca="1" si="7"/>
        <v>432906</v>
      </c>
      <c r="AD37" s="142"/>
      <c r="AG37" t="s">
        <v>16</v>
      </c>
      <c r="AH37" t="s">
        <v>160</v>
      </c>
      <c r="AI37" s="142">
        <f t="shared" ca="1" si="10"/>
        <v>6674</v>
      </c>
      <c r="AJ37" s="142">
        <f t="shared" ca="1" si="11"/>
        <v>6759</v>
      </c>
      <c r="AM37" t="s">
        <v>23</v>
      </c>
      <c r="AN37" t="s">
        <v>158</v>
      </c>
      <c r="AO37">
        <v>0.2</v>
      </c>
      <c r="AP37" s="142">
        <f t="shared" ca="1" si="12"/>
        <v>58837</v>
      </c>
      <c r="AQ37" s="142">
        <f t="shared" ca="1" si="13"/>
        <v>60093</v>
      </c>
      <c r="AT37" t="s">
        <v>23</v>
      </c>
      <c r="AU37" t="s">
        <v>126</v>
      </c>
      <c r="AV37" s="142">
        <f t="shared" ca="1" si="14"/>
        <v>82803</v>
      </c>
      <c r="AW37" s="142">
        <f t="shared" ca="1" si="14"/>
        <v>80175</v>
      </c>
      <c r="AX37" s="142">
        <f t="shared" ca="1" si="15"/>
        <v>166159</v>
      </c>
    </row>
    <row r="38" spans="2:56">
      <c r="B38" s="55" t="s">
        <v>25</v>
      </c>
      <c r="C38" t="s">
        <v>39</v>
      </c>
      <c r="D38" s="142">
        <f t="shared" ca="1" si="0"/>
        <v>437457</v>
      </c>
      <c r="E38" s="142">
        <f t="shared" ca="1" si="1"/>
        <v>442367</v>
      </c>
      <c r="H38" s="55" t="s">
        <v>24</v>
      </c>
      <c r="I38" t="s">
        <v>52</v>
      </c>
      <c r="J38" s="142">
        <f t="shared" ca="1" si="2"/>
        <v>188941</v>
      </c>
      <c r="K38" s="142">
        <f t="shared" ca="1" si="3"/>
        <v>190408</v>
      </c>
      <c r="N38" s="55" t="s">
        <v>17</v>
      </c>
      <c r="O38" t="s">
        <v>37</v>
      </c>
      <c r="P38" s="142">
        <f t="shared" ca="1" si="4"/>
        <v>216010</v>
      </c>
      <c r="Q38" s="142">
        <f t="shared" ca="1" si="5"/>
        <v>216749</v>
      </c>
      <c r="T38" s="55" t="s">
        <v>10</v>
      </c>
      <c r="U38" t="s">
        <v>66</v>
      </c>
      <c r="V38" s="142">
        <f t="shared" ca="1" si="6"/>
        <v>134696</v>
      </c>
      <c r="W38" s="142">
        <f t="shared" ca="1" si="7"/>
        <v>135000</v>
      </c>
      <c r="AD38" s="142"/>
      <c r="AG38" t="s">
        <v>16</v>
      </c>
      <c r="AH38" t="s">
        <v>159</v>
      </c>
      <c r="AI38" s="142">
        <f t="shared" ca="1" si="10"/>
        <v>1414</v>
      </c>
      <c r="AJ38" s="142">
        <f t="shared" ca="1" si="11"/>
        <v>1442</v>
      </c>
      <c r="AM38" t="s">
        <v>23</v>
      </c>
      <c r="AN38" t="s">
        <v>143</v>
      </c>
      <c r="AO38"/>
      <c r="AP38" s="142">
        <f t="shared" ca="1" si="12"/>
        <v>58289</v>
      </c>
      <c r="AQ38" s="142">
        <f t="shared" ca="1" si="13"/>
        <v>58629</v>
      </c>
      <c r="AT38" t="s">
        <v>23</v>
      </c>
      <c r="AU38" t="s">
        <v>143</v>
      </c>
      <c r="AV38" s="142">
        <f t="shared" ca="1" si="14"/>
        <v>85977</v>
      </c>
      <c r="AW38" s="142">
        <f t="shared" ca="1" si="14"/>
        <v>40201</v>
      </c>
      <c r="AX38" s="142">
        <f t="shared" ca="1" si="15"/>
        <v>126188</v>
      </c>
    </row>
    <row r="39" spans="2:56">
      <c r="B39" s="55" t="s">
        <v>29</v>
      </c>
      <c r="C39" t="s">
        <v>43</v>
      </c>
      <c r="D39" s="142">
        <f t="shared" ca="1" si="0"/>
        <v>176708</v>
      </c>
      <c r="E39" s="142">
        <f t="shared" ca="1" si="1"/>
        <v>179838</v>
      </c>
      <c r="H39" s="55" t="s">
        <v>25</v>
      </c>
      <c r="I39" t="s">
        <v>52</v>
      </c>
      <c r="J39" s="142">
        <f t="shared" ca="1" si="2"/>
        <v>118042</v>
      </c>
      <c r="K39" s="142">
        <f t="shared" ca="1" si="3"/>
        <v>118375</v>
      </c>
      <c r="N39" s="55" t="s">
        <v>17</v>
      </c>
      <c r="O39" t="s">
        <v>49</v>
      </c>
      <c r="P39" s="142">
        <f t="shared" ca="1" si="4"/>
        <v>396696</v>
      </c>
      <c r="Q39" s="142">
        <f t="shared" ca="1" si="5"/>
        <v>397599</v>
      </c>
      <c r="T39" s="55" t="s">
        <v>23</v>
      </c>
      <c r="U39" t="s">
        <v>68</v>
      </c>
      <c r="V39" s="142">
        <f t="shared" ca="1" si="6"/>
        <v>608008</v>
      </c>
      <c r="W39" s="142">
        <f t="shared" ca="1" si="7"/>
        <v>610461</v>
      </c>
      <c r="AD39" s="142"/>
      <c r="AG39" t="s">
        <v>16</v>
      </c>
      <c r="AH39" t="s">
        <v>143</v>
      </c>
      <c r="AI39" s="142">
        <f t="shared" ca="1" si="10"/>
        <v>2040</v>
      </c>
      <c r="AJ39" s="142">
        <f t="shared" ca="1" si="11"/>
        <v>2043</v>
      </c>
      <c r="AM39" t="s">
        <v>23</v>
      </c>
      <c r="AN39" t="s">
        <v>126</v>
      </c>
      <c r="AO39" s="128">
        <v>0.2</v>
      </c>
      <c r="AP39" s="142">
        <f t="shared" ca="1" si="12"/>
        <v>34948</v>
      </c>
      <c r="AQ39" s="142">
        <f t="shared" ca="1" si="13"/>
        <v>37781</v>
      </c>
      <c r="AT39" t="s">
        <v>23</v>
      </c>
      <c r="AU39" t="s">
        <v>139</v>
      </c>
      <c r="AV39" s="142">
        <f t="shared" ca="1" si="14"/>
        <v>74039</v>
      </c>
      <c r="AW39" s="142">
        <f t="shared" ca="1" si="14"/>
        <v>83391</v>
      </c>
      <c r="AX39" s="142">
        <f t="shared" ca="1" si="15"/>
        <v>161107</v>
      </c>
    </row>
    <row r="40" spans="2:56">
      <c r="B40" s="55" t="s">
        <v>24</v>
      </c>
      <c r="C40" t="s">
        <v>39</v>
      </c>
      <c r="D40" s="142">
        <f t="shared" ca="1" si="0"/>
        <v>327703</v>
      </c>
      <c r="E40" s="142">
        <f t="shared" ca="1" si="1"/>
        <v>328824</v>
      </c>
      <c r="H40" s="55">
        <v>2021</v>
      </c>
      <c r="I40" t="s">
        <v>50</v>
      </c>
      <c r="J40" s="142">
        <f t="shared" ca="1" si="2"/>
        <v>221446</v>
      </c>
      <c r="K40" s="142">
        <f t="shared" ca="1" si="3"/>
        <v>223816</v>
      </c>
      <c r="N40" s="55" t="s">
        <v>29</v>
      </c>
      <c r="O40" t="s">
        <v>47</v>
      </c>
      <c r="P40" s="142">
        <f t="shared" ca="1" si="4"/>
        <v>118803</v>
      </c>
      <c r="Q40" s="142">
        <f t="shared" ca="1" si="5"/>
        <v>122783</v>
      </c>
      <c r="T40" s="55" t="s">
        <v>10</v>
      </c>
      <c r="U40" t="s">
        <v>67</v>
      </c>
      <c r="V40" s="142">
        <f t="shared" ca="1" si="6"/>
        <v>556108</v>
      </c>
      <c r="W40" s="142">
        <f t="shared" ca="1" si="7"/>
        <v>558000</v>
      </c>
      <c r="AD40" s="142"/>
      <c r="AG40" t="s">
        <v>8</v>
      </c>
      <c r="AH40" t="s">
        <v>139</v>
      </c>
      <c r="AI40" s="142">
        <f t="shared" ca="1" si="10"/>
        <v>7422</v>
      </c>
      <c r="AJ40" s="142">
        <f t="shared" ca="1" si="11"/>
        <v>7517</v>
      </c>
      <c r="AM40" t="s">
        <v>23</v>
      </c>
      <c r="AN40" t="s">
        <v>171</v>
      </c>
      <c r="AO40" s="128">
        <v>0</v>
      </c>
      <c r="AP40" s="142">
        <f t="shared" ca="1" si="12"/>
        <v>17405</v>
      </c>
      <c r="AQ40" s="142">
        <f t="shared" ca="1" si="13"/>
        <v>17441</v>
      </c>
      <c r="AT40" t="s">
        <v>23</v>
      </c>
      <c r="AU40" t="s">
        <v>158</v>
      </c>
      <c r="AV40" s="142">
        <f t="shared" ca="1" si="14"/>
        <v>41126</v>
      </c>
      <c r="AW40" s="142">
        <f t="shared" ca="1" si="14"/>
        <v>27186</v>
      </c>
      <c r="AX40" s="142">
        <f t="shared" ca="1" si="15"/>
        <v>73311</v>
      </c>
    </row>
    <row r="41" spans="2:56">
      <c r="B41" s="55" t="s">
        <v>24</v>
      </c>
      <c r="C41" t="s">
        <v>43</v>
      </c>
      <c r="D41" s="142">
        <f t="shared" ca="1" si="0"/>
        <v>179017</v>
      </c>
      <c r="E41" s="142">
        <f t="shared" ca="1" si="1"/>
        <v>179942</v>
      </c>
      <c r="H41" s="55">
        <v>2021</v>
      </c>
      <c r="I41" t="s">
        <v>49</v>
      </c>
      <c r="J41" s="142">
        <f t="shared" ca="1" si="2"/>
        <v>549392</v>
      </c>
      <c r="K41" s="142">
        <f t="shared" ca="1" si="3"/>
        <v>556945</v>
      </c>
      <c r="N41" s="55" t="s">
        <v>25</v>
      </c>
      <c r="O41" t="s">
        <v>47</v>
      </c>
      <c r="P41" s="142">
        <f t="shared" ca="1" si="4"/>
        <v>613481</v>
      </c>
      <c r="Q41" s="142">
        <f t="shared" ca="1" si="5"/>
        <v>613714</v>
      </c>
      <c r="T41" s="55" t="s">
        <v>10</v>
      </c>
      <c r="U41" t="s">
        <v>11</v>
      </c>
      <c r="V41" s="142">
        <f t="shared" ca="1" si="6"/>
        <v>749749</v>
      </c>
      <c r="W41" s="142">
        <f t="shared" ca="1" si="7"/>
        <v>754011</v>
      </c>
      <c r="AD41" s="142"/>
      <c r="AG41" t="s">
        <v>8</v>
      </c>
      <c r="AH41" t="s">
        <v>43</v>
      </c>
      <c r="AI41" s="142">
        <f t="shared" ca="1" si="10"/>
        <v>1984</v>
      </c>
      <c r="AJ41" s="142">
        <f t="shared" ca="1" si="11"/>
        <v>2578</v>
      </c>
      <c r="AM41" t="s">
        <v>23</v>
      </c>
      <c r="AN41" t="s">
        <v>134</v>
      </c>
      <c r="AO41" s="128">
        <v>0.2</v>
      </c>
      <c r="AP41" s="142">
        <f t="shared" ca="1" si="12"/>
        <v>20758</v>
      </c>
      <c r="AQ41" s="142">
        <f t="shared" ca="1" si="13"/>
        <v>22615</v>
      </c>
      <c r="AT41" t="s">
        <v>23</v>
      </c>
      <c r="AU41" t="s">
        <v>134</v>
      </c>
      <c r="AV41" s="142">
        <f t="shared" ca="1" si="14"/>
        <v>17135</v>
      </c>
      <c r="AW41" s="142">
        <f t="shared" ca="1" si="14"/>
        <v>77159</v>
      </c>
      <c r="AX41" s="142">
        <f t="shared" ca="1" si="15"/>
        <v>101296</v>
      </c>
    </row>
    <row r="42" spans="2:56">
      <c r="B42" s="55" t="s">
        <v>26</v>
      </c>
      <c r="C42" t="s">
        <v>43</v>
      </c>
      <c r="D42" s="142">
        <f t="shared" ca="1" si="0"/>
        <v>893583</v>
      </c>
      <c r="E42" s="142">
        <f t="shared" ca="1" si="1"/>
        <v>894345</v>
      </c>
      <c r="H42" s="55">
        <v>2021</v>
      </c>
      <c r="I42" t="s">
        <v>52</v>
      </c>
      <c r="J42" s="142">
        <f t="shared" ca="1" si="2"/>
        <v>783827</v>
      </c>
      <c r="K42" s="142">
        <f t="shared" ca="1" si="3"/>
        <v>785623</v>
      </c>
      <c r="N42" s="55" t="s">
        <v>26</v>
      </c>
      <c r="O42" t="s">
        <v>47</v>
      </c>
      <c r="P42" s="142">
        <f t="shared" ca="1" si="4"/>
        <v>380676</v>
      </c>
      <c r="Q42" s="142">
        <f t="shared" ca="1" si="5"/>
        <v>382322</v>
      </c>
      <c r="T42" s="55" t="s">
        <v>10</v>
      </c>
      <c r="U42" t="s">
        <v>68</v>
      </c>
      <c r="V42" s="142">
        <f t="shared" ca="1" si="6"/>
        <v>980792</v>
      </c>
      <c r="W42" s="142">
        <f t="shared" ca="1" si="7"/>
        <v>982019</v>
      </c>
      <c r="AD42" s="142"/>
      <c r="AG42" t="s">
        <v>8</v>
      </c>
      <c r="AH42" t="s">
        <v>157</v>
      </c>
      <c r="AI42" s="142">
        <f t="shared" ca="1" si="10"/>
        <v>3656</v>
      </c>
      <c r="AJ42" s="142">
        <f t="shared" ca="1" si="11"/>
        <v>4648</v>
      </c>
      <c r="AM42" t="s">
        <v>23</v>
      </c>
      <c r="AN42" t="s">
        <v>139</v>
      </c>
      <c r="AO42" s="128">
        <v>0.15</v>
      </c>
      <c r="AP42" s="142">
        <f t="shared" ca="1" si="12"/>
        <v>33943</v>
      </c>
      <c r="AQ42" s="142">
        <f t="shared" ca="1" si="13"/>
        <v>37300</v>
      </c>
      <c r="AT42" t="s">
        <v>23</v>
      </c>
      <c r="AU42" t="s">
        <v>171</v>
      </c>
      <c r="AV42" s="142">
        <f t="shared" ca="1" si="14"/>
        <v>82875</v>
      </c>
      <c r="AW42" s="142">
        <f t="shared" ca="1" si="14"/>
        <v>27478</v>
      </c>
      <c r="AX42" s="142">
        <f t="shared" ca="1" si="15"/>
        <v>110629</v>
      </c>
    </row>
    <row r="43" spans="2:56">
      <c r="B43" s="55">
        <v>2021</v>
      </c>
      <c r="C43" t="s">
        <v>43</v>
      </c>
      <c r="D43" s="142">
        <f t="shared" ca="1" si="0"/>
        <v>787158</v>
      </c>
      <c r="E43" s="142">
        <f t="shared" ca="1" si="1"/>
        <v>790372</v>
      </c>
      <c r="H43" s="55" t="s">
        <v>17</v>
      </c>
      <c r="I43" t="s">
        <v>43</v>
      </c>
      <c r="J43" s="142">
        <f t="shared" ca="1" si="2"/>
        <v>155882</v>
      </c>
      <c r="K43" s="142">
        <f t="shared" ca="1" si="3"/>
        <v>157475</v>
      </c>
      <c r="N43" s="55" t="s">
        <v>24</v>
      </c>
      <c r="O43" t="s">
        <v>47</v>
      </c>
      <c r="P43" s="142">
        <f t="shared" ca="1" si="4"/>
        <v>273660</v>
      </c>
      <c r="Q43" s="142">
        <f t="shared" ca="1" si="5"/>
        <v>275093</v>
      </c>
      <c r="T43" s="55" t="s">
        <v>23</v>
      </c>
      <c r="U43" t="s">
        <v>11</v>
      </c>
      <c r="V43" s="142">
        <f t="shared" ca="1" si="6"/>
        <v>771744</v>
      </c>
      <c r="W43" s="142">
        <f t="shared" ca="1" si="7"/>
        <v>774112</v>
      </c>
      <c r="AD43" s="142"/>
      <c r="AG43" t="s">
        <v>8</v>
      </c>
      <c r="AH43" t="s">
        <v>159</v>
      </c>
      <c r="AI43" s="142">
        <f t="shared" ca="1" si="10"/>
        <v>6854</v>
      </c>
      <c r="AJ43" s="142">
        <f t="shared" ca="1" si="11"/>
        <v>7032</v>
      </c>
      <c r="AM43" t="s">
        <v>9</v>
      </c>
      <c r="AN43" t="s">
        <v>143</v>
      </c>
      <c r="AO43"/>
      <c r="AP43" s="142">
        <f t="shared" ca="1" si="12"/>
        <v>71389</v>
      </c>
      <c r="AQ43" s="142">
        <f t="shared" ca="1" si="13"/>
        <v>74186</v>
      </c>
      <c r="AT43" t="s">
        <v>9</v>
      </c>
      <c r="AU43" t="s">
        <v>143</v>
      </c>
      <c r="AV43" s="142">
        <f t="shared" ca="1" si="14"/>
        <v>42489</v>
      </c>
      <c r="AW43" s="142">
        <f t="shared" ca="1" si="14"/>
        <v>40470</v>
      </c>
      <c r="AX43" s="142">
        <f t="shared" ca="1" si="15"/>
        <v>86801</v>
      </c>
    </row>
    <row r="44" spans="2:56">
      <c r="B44" s="55">
        <v>2021</v>
      </c>
      <c r="C44" t="s">
        <v>39</v>
      </c>
      <c r="D44" s="142">
        <f t="shared" ca="1" si="0"/>
        <v>769067</v>
      </c>
      <c r="E44" s="142">
        <f t="shared" ca="1" si="1"/>
        <v>774138</v>
      </c>
      <c r="H44" s="55" t="s">
        <v>9</v>
      </c>
      <c r="I44" t="s">
        <v>43</v>
      </c>
      <c r="J44" s="142">
        <f t="shared" ca="1" si="2"/>
        <v>590984</v>
      </c>
      <c r="K44" s="142">
        <f t="shared" ca="1" si="3"/>
        <v>594545</v>
      </c>
      <c r="N44" s="55">
        <v>2021</v>
      </c>
      <c r="O44" t="s">
        <v>47</v>
      </c>
      <c r="P44" s="142">
        <f t="shared" ca="1" si="4"/>
        <v>148963</v>
      </c>
      <c r="Q44" s="142">
        <f t="shared" ca="1" si="5"/>
        <v>149459</v>
      </c>
      <c r="T44" s="55" t="s">
        <v>10</v>
      </c>
      <c r="U44" t="s">
        <v>69</v>
      </c>
      <c r="V44" s="142">
        <f t="shared" ca="1" si="6"/>
        <v>160025</v>
      </c>
      <c r="W44" s="142">
        <f t="shared" ca="1" si="7"/>
        <v>160712</v>
      </c>
      <c r="AD44" s="142"/>
      <c r="AG44" t="s">
        <v>8</v>
      </c>
      <c r="AH44" t="s">
        <v>134</v>
      </c>
      <c r="AI44" s="142">
        <f t="shared" ca="1" si="10"/>
        <v>5655</v>
      </c>
      <c r="AJ44" s="142">
        <f t="shared" ca="1" si="11"/>
        <v>5910</v>
      </c>
      <c r="AM44" t="s">
        <v>9</v>
      </c>
      <c r="AN44" t="s">
        <v>158</v>
      </c>
      <c r="AO44">
        <v>0.2</v>
      </c>
      <c r="AP44" s="142">
        <f t="shared" ca="1" si="12"/>
        <v>61465</v>
      </c>
      <c r="AQ44" s="142">
        <f t="shared" ca="1" si="13"/>
        <v>65103</v>
      </c>
      <c r="AT44" t="s">
        <v>17</v>
      </c>
      <c r="AU44" t="s">
        <v>143</v>
      </c>
      <c r="AV44" s="142">
        <f t="shared" ca="1" si="14"/>
        <v>95758</v>
      </c>
      <c r="AW44" s="142">
        <f t="shared" ca="1" si="14"/>
        <v>17894</v>
      </c>
      <c r="AX44" s="142">
        <f t="shared" ca="1" si="15"/>
        <v>114906</v>
      </c>
    </row>
    <row r="45" spans="2:56">
      <c r="B45" s="55" t="s">
        <v>15</v>
      </c>
      <c r="C45" t="s">
        <v>42</v>
      </c>
      <c r="D45" s="142">
        <f t="shared" ca="1" si="0"/>
        <v>195980</v>
      </c>
      <c r="E45" s="142">
        <f t="shared" ca="1" si="1"/>
        <v>196695</v>
      </c>
      <c r="H45" s="55" t="s">
        <v>12</v>
      </c>
      <c r="I45" t="s">
        <v>43</v>
      </c>
      <c r="J45" s="142">
        <f t="shared" ca="1" si="2"/>
        <v>913965</v>
      </c>
      <c r="K45" s="142">
        <f t="shared" ca="1" si="3"/>
        <v>917117</v>
      </c>
      <c r="N45" s="55" t="s">
        <v>22</v>
      </c>
      <c r="O45" t="s">
        <v>40</v>
      </c>
      <c r="P45" s="142">
        <f t="shared" ca="1" si="4"/>
        <v>228052</v>
      </c>
      <c r="Q45" s="142">
        <f t="shared" ca="1" si="5"/>
        <v>229051</v>
      </c>
      <c r="T45" s="55" t="s">
        <v>23</v>
      </c>
      <c r="U45" t="s">
        <v>66</v>
      </c>
      <c r="V45" s="142">
        <f t="shared" ca="1" si="6"/>
        <v>706404</v>
      </c>
      <c r="W45" s="142">
        <f t="shared" ca="1" si="7"/>
        <v>706780</v>
      </c>
      <c r="AD45" s="142"/>
      <c r="AG45" t="s">
        <v>8</v>
      </c>
      <c r="AH45" t="s">
        <v>143</v>
      </c>
      <c r="AI45" s="142">
        <f t="shared" ca="1" si="10"/>
        <v>7808</v>
      </c>
      <c r="AJ45" s="142">
        <f t="shared" ca="1" si="11"/>
        <v>8569</v>
      </c>
      <c r="AM45" t="s">
        <v>17</v>
      </c>
      <c r="AN45" t="s">
        <v>143</v>
      </c>
      <c r="AO45"/>
      <c r="AP45" s="142">
        <f t="shared" ca="1" si="12"/>
        <v>74574</v>
      </c>
      <c r="AQ45" s="142">
        <f t="shared" ca="1" si="13"/>
        <v>76548</v>
      </c>
      <c r="AT45" t="s">
        <v>27</v>
      </c>
      <c r="AU45" t="s">
        <v>143</v>
      </c>
      <c r="AV45" s="142">
        <f t="shared" ca="1" si="14"/>
        <v>40164</v>
      </c>
      <c r="AW45" s="142">
        <f t="shared" ca="1" si="14"/>
        <v>46602</v>
      </c>
      <c r="AX45" s="142">
        <f t="shared" ca="1" si="15"/>
        <v>89758</v>
      </c>
    </row>
    <row r="46" spans="2:56">
      <c r="B46" s="55" t="s">
        <v>15</v>
      </c>
      <c r="C46" t="s">
        <v>40</v>
      </c>
      <c r="D46" s="142">
        <f t="shared" ca="1" si="0"/>
        <v>994986</v>
      </c>
      <c r="E46" s="142">
        <f t="shared" ca="1" si="1"/>
        <v>995114</v>
      </c>
      <c r="H46" s="55" t="s">
        <v>14</v>
      </c>
      <c r="I46" t="s">
        <v>43</v>
      </c>
      <c r="J46" s="142">
        <f t="shared" ca="1" si="2"/>
        <v>653318</v>
      </c>
      <c r="K46" s="142">
        <f t="shared" ca="1" si="3"/>
        <v>659809</v>
      </c>
      <c r="N46" s="55" t="s">
        <v>8</v>
      </c>
      <c r="O46" t="s">
        <v>43</v>
      </c>
      <c r="P46" s="142">
        <f t="shared" ca="1" si="4"/>
        <v>194462</v>
      </c>
      <c r="Q46" s="142">
        <f t="shared" ca="1" si="5"/>
        <v>194766</v>
      </c>
      <c r="T46" s="55" t="s">
        <v>23</v>
      </c>
      <c r="U46" t="s">
        <v>67</v>
      </c>
      <c r="V46" s="142">
        <f t="shared" ca="1" si="6"/>
        <v>333477</v>
      </c>
      <c r="W46" s="142">
        <f t="shared" ca="1" si="7"/>
        <v>339366</v>
      </c>
      <c r="AD46" s="142"/>
      <c r="AG46" t="s">
        <v>8</v>
      </c>
      <c r="AH46" t="s">
        <v>126</v>
      </c>
      <c r="AI46" s="142">
        <f t="shared" ca="1" si="10"/>
        <v>6844</v>
      </c>
      <c r="AJ46" s="142">
        <f t="shared" ca="1" si="11"/>
        <v>6996</v>
      </c>
      <c r="AM46" t="s">
        <v>17</v>
      </c>
      <c r="AN46" t="s">
        <v>158</v>
      </c>
      <c r="AO46">
        <v>0.2</v>
      </c>
      <c r="AP46" s="142">
        <f t="shared" ca="1" si="12"/>
        <v>56827</v>
      </c>
      <c r="AQ46" s="142">
        <f t="shared" ca="1" si="13"/>
        <v>57578</v>
      </c>
      <c r="AT46" t="s">
        <v>24</v>
      </c>
      <c r="AU46" t="s">
        <v>134</v>
      </c>
      <c r="AV46" s="142">
        <f t="shared" ca="1" si="14"/>
        <v>97615</v>
      </c>
      <c r="AW46" s="142">
        <f t="shared" ca="1" si="14"/>
        <v>43333</v>
      </c>
      <c r="AX46" s="142">
        <f t="shared" ca="1" si="15"/>
        <v>144093</v>
      </c>
    </row>
    <row r="47" spans="2:56">
      <c r="B47" s="55" t="s">
        <v>15</v>
      </c>
      <c r="C47" t="s">
        <v>18</v>
      </c>
      <c r="D47" s="142">
        <f t="shared" ca="1" si="0"/>
        <v>368014</v>
      </c>
      <c r="E47" s="142">
        <f t="shared" ca="1" si="1"/>
        <v>373712</v>
      </c>
      <c r="H47" s="55" t="s">
        <v>28</v>
      </c>
      <c r="I47" t="s">
        <v>43</v>
      </c>
      <c r="J47" s="142">
        <f t="shared" ca="1" si="2"/>
        <v>124244</v>
      </c>
      <c r="K47" s="142">
        <f t="shared" ca="1" si="3"/>
        <v>124437</v>
      </c>
      <c r="N47" s="55" t="s">
        <v>22</v>
      </c>
      <c r="O47" t="s">
        <v>47</v>
      </c>
      <c r="P47" s="142">
        <f t="shared" ca="1" si="4"/>
        <v>585254</v>
      </c>
      <c r="Q47" s="142">
        <f t="shared" ca="1" si="5"/>
        <v>586027</v>
      </c>
      <c r="T47" s="55" t="s">
        <v>24</v>
      </c>
      <c r="U47" t="s">
        <v>67</v>
      </c>
      <c r="V47" s="142">
        <f t="shared" ca="1" si="6"/>
        <v>613013</v>
      </c>
      <c r="W47" s="142">
        <f t="shared" ca="1" si="7"/>
        <v>621277</v>
      </c>
      <c r="AD47" s="142"/>
      <c r="AG47" t="s">
        <v>15</v>
      </c>
      <c r="AH47" t="s">
        <v>43</v>
      </c>
      <c r="AI47" s="142">
        <f t="shared" ca="1" si="10"/>
        <v>8093</v>
      </c>
      <c r="AJ47" s="142">
        <f t="shared" ca="1" si="11"/>
        <v>8379</v>
      </c>
      <c r="AM47" t="s">
        <v>27</v>
      </c>
      <c r="AN47" t="s">
        <v>143</v>
      </c>
      <c r="AO47"/>
      <c r="AP47" s="142">
        <f t="shared" ca="1" si="12"/>
        <v>89320</v>
      </c>
      <c r="AQ47" s="142">
        <f t="shared" ca="1" si="13"/>
        <v>93536</v>
      </c>
      <c r="AT47" t="s">
        <v>24</v>
      </c>
      <c r="AU47" t="s">
        <v>143</v>
      </c>
      <c r="AV47" s="142">
        <f t="shared" ca="1" si="14"/>
        <v>35605</v>
      </c>
      <c r="AW47" s="142">
        <f t="shared" ca="1" si="14"/>
        <v>50349</v>
      </c>
      <c r="AX47" s="142">
        <f t="shared" ca="1" si="15"/>
        <v>87760</v>
      </c>
    </row>
    <row r="48" spans="2:56">
      <c r="B48" s="55" t="s">
        <v>15</v>
      </c>
      <c r="C48" t="s">
        <v>47</v>
      </c>
      <c r="D48" s="142">
        <f t="shared" ca="1" si="0"/>
        <v>306466</v>
      </c>
      <c r="E48" s="142">
        <f t="shared" ca="1" si="1"/>
        <v>310495</v>
      </c>
      <c r="H48" s="55" t="s">
        <v>10</v>
      </c>
      <c r="I48" t="s">
        <v>43</v>
      </c>
      <c r="J48" s="142">
        <f t="shared" ca="1" si="2"/>
        <v>691326</v>
      </c>
      <c r="K48" s="142">
        <f t="shared" ca="1" si="3"/>
        <v>693388</v>
      </c>
      <c r="N48" s="55" t="s">
        <v>8</v>
      </c>
      <c r="O48" t="s">
        <v>45</v>
      </c>
      <c r="P48" s="142">
        <f t="shared" ca="1" si="4"/>
        <v>788270</v>
      </c>
      <c r="Q48" s="142">
        <f t="shared" ca="1" si="5"/>
        <v>791767</v>
      </c>
      <c r="T48" s="55" t="s">
        <v>29</v>
      </c>
      <c r="U48" t="s">
        <v>67</v>
      </c>
      <c r="V48" s="142">
        <f t="shared" ca="1" si="6"/>
        <v>525962</v>
      </c>
      <c r="W48" s="142">
        <f t="shared" ca="1" si="7"/>
        <v>529262</v>
      </c>
      <c r="AD48" s="142"/>
      <c r="AG48" t="s">
        <v>15</v>
      </c>
      <c r="AH48" t="s">
        <v>126</v>
      </c>
      <c r="AI48" s="142">
        <f t="shared" ca="1" si="10"/>
        <v>5899</v>
      </c>
      <c r="AJ48" s="142">
        <f t="shared" ca="1" si="11"/>
        <v>6030</v>
      </c>
      <c r="AM48" t="s">
        <v>27</v>
      </c>
      <c r="AN48" t="s">
        <v>158</v>
      </c>
      <c r="AO48">
        <v>0.2</v>
      </c>
      <c r="AP48" s="142">
        <f t="shared" ca="1" si="12"/>
        <v>41774</v>
      </c>
      <c r="AQ48" s="142">
        <f t="shared" ca="1" si="13"/>
        <v>47383</v>
      </c>
      <c r="AT48" t="s">
        <v>24</v>
      </c>
      <c r="AU48" t="s">
        <v>139</v>
      </c>
      <c r="AV48" s="142">
        <f t="shared" ca="1" si="14"/>
        <v>70522</v>
      </c>
      <c r="AW48" s="142">
        <f t="shared" ca="1" si="14"/>
        <v>46314</v>
      </c>
      <c r="AX48" s="142">
        <f t="shared" ca="1" si="15"/>
        <v>117219</v>
      </c>
    </row>
    <row r="49" spans="2:50">
      <c r="B49" s="55" t="s">
        <v>17</v>
      </c>
      <c r="C49" t="s">
        <v>43</v>
      </c>
      <c r="D49" s="142">
        <f t="shared" ca="1" si="0"/>
        <v>965717</v>
      </c>
      <c r="E49" s="142">
        <f t="shared" ca="1" si="1"/>
        <v>969540</v>
      </c>
      <c r="H49" s="55" t="s">
        <v>23</v>
      </c>
      <c r="I49" t="s">
        <v>43</v>
      </c>
      <c r="J49" s="142">
        <f t="shared" ca="1" si="2"/>
        <v>688602</v>
      </c>
      <c r="K49" s="142">
        <f t="shared" ca="1" si="3"/>
        <v>692433</v>
      </c>
      <c r="N49" s="55" t="s">
        <v>8</v>
      </c>
      <c r="O49" t="s">
        <v>49</v>
      </c>
      <c r="P49" s="142">
        <f t="shared" ca="1" si="4"/>
        <v>892832</v>
      </c>
      <c r="Q49" s="142">
        <f t="shared" ca="1" si="5"/>
        <v>894585</v>
      </c>
      <c r="T49" s="55" t="s">
        <v>25</v>
      </c>
      <c r="U49" t="s">
        <v>66</v>
      </c>
      <c r="V49" s="142">
        <f t="shared" ca="1" si="6"/>
        <v>426164</v>
      </c>
      <c r="W49" s="142">
        <f t="shared" ca="1" si="7"/>
        <v>428488</v>
      </c>
      <c r="AD49" s="142"/>
      <c r="AG49" t="s">
        <v>15</v>
      </c>
      <c r="AH49" t="s">
        <v>159</v>
      </c>
      <c r="AI49" s="142">
        <f t="shared" ca="1" si="10"/>
        <v>4140</v>
      </c>
      <c r="AJ49" s="142">
        <f t="shared" ca="1" si="11"/>
        <v>4527</v>
      </c>
      <c r="AM49" t="s">
        <v>24</v>
      </c>
      <c r="AN49" t="s">
        <v>143</v>
      </c>
      <c r="AO49"/>
      <c r="AP49" s="142">
        <f t="shared" ca="1" si="12"/>
        <v>69938</v>
      </c>
      <c r="AQ49" s="142">
        <f t="shared" ca="1" si="13"/>
        <v>70811</v>
      </c>
      <c r="AT49" t="s">
        <v>24</v>
      </c>
      <c r="AU49" t="s">
        <v>171</v>
      </c>
      <c r="AV49" s="142">
        <f t="shared" ca="1" si="14"/>
        <v>56980</v>
      </c>
      <c r="AW49" s="142">
        <f t="shared" ca="1" si="14"/>
        <v>65138</v>
      </c>
      <c r="AX49" s="142">
        <f t="shared" ca="1" si="15"/>
        <v>129215</v>
      </c>
    </row>
    <row r="50" spans="2:50">
      <c r="B50" s="55" t="s">
        <v>15</v>
      </c>
      <c r="C50" t="s">
        <v>45</v>
      </c>
      <c r="D50" s="142">
        <f t="shared" ca="1" si="0"/>
        <v>924341</v>
      </c>
      <c r="E50" s="142">
        <f t="shared" ca="1" si="1"/>
        <v>930348</v>
      </c>
      <c r="H50" s="55" t="s">
        <v>8</v>
      </c>
      <c r="I50" t="s">
        <v>43</v>
      </c>
      <c r="J50" s="142">
        <f t="shared" ca="1" si="2"/>
        <v>804670</v>
      </c>
      <c r="K50" s="142">
        <f t="shared" ca="1" si="3"/>
        <v>807404</v>
      </c>
      <c r="N50" s="55" t="s">
        <v>22</v>
      </c>
      <c r="O50" t="s">
        <v>39</v>
      </c>
      <c r="P50" s="142">
        <f t="shared" ca="1" si="4"/>
        <v>740738</v>
      </c>
      <c r="Q50" s="142">
        <f t="shared" ca="1" si="5"/>
        <v>741411</v>
      </c>
      <c r="T50" s="55" t="s">
        <v>26</v>
      </c>
      <c r="U50" t="s">
        <v>67</v>
      </c>
      <c r="V50" s="142">
        <f t="shared" ca="1" si="6"/>
        <v>872435</v>
      </c>
      <c r="W50" s="142">
        <f t="shared" ca="1" si="7"/>
        <v>879243</v>
      </c>
      <c r="AD50" s="142"/>
      <c r="AG50" t="s">
        <v>15</v>
      </c>
      <c r="AH50" t="s">
        <v>157</v>
      </c>
      <c r="AI50" s="142">
        <f t="shared" ca="1" si="10"/>
        <v>7829</v>
      </c>
      <c r="AJ50" s="142">
        <f t="shared" ca="1" si="11"/>
        <v>7867</v>
      </c>
      <c r="AM50" t="s">
        <v>24</v>
      </c>
      <c r="AN50" t="s">
        <v>158</v>
      </c>
      <c r="AO50">
        <v>0.2</v>
      </c>
      <c r="AP50" s="142">
        <f t="shared" ca="1" si="12"/>
        <v>18306</v>
      </c>
      <c r="AQ50" s="142">
        <f t="shared" ca="1" si="13"/>
        <v>23884</v>
      </c>
      <c r="AT50" t="s">
        <v>24</v>
      </c>
      <c r="AU50" t="s">
        <v>126</v>
      </c>
      <c r="AV50" s="142">
        <f t="shared" ca="1" si="14"/>
        <v>92820</v>
      </c>
      <c r="AW50" s="142">
        <f t="shared" ca="1" si="14"/>
        <v>31517</v>
      </c>
      <c r="AX50" s="142">
        <f t="shared" ca="1" si="15"/>
        <v>127625</v>
      </c>
    </row>
    <row r="51" spans="2:50">
      <c r="B51" s="55" t="s">
        <v>17</v>
      </c>
      <c r="C51" t="s">
        <v>47</v>
      </c>
      <c r="D51" s="142">
        <f t="shared" ca="1" si="0"/>
        <v>468918</v>
      </c>
      <c r="E51" s="142">
        <f t="shared" ca="1" si="1"/>
        <v>469248</v>
      </c>
      <c r="H51" s="55" t="s">
        <v>15</v>
      </c>
      <c r="I51" t="s">
        <v>43</v>
      </c>
      <c r="J51" s="142">
        <f t="shared" ca="1" si="2"/>
        <v>271917</v>
      </c>
      <c r="K51" s="142">
        <f t="shared" ca="1" si="3"/>
        <v>273221</v>
      </c>
      <c r="N51" s="55" t="s">
        <v>8</v>
      </c>
      <c r="O51" t="s">
        <v>37</v>
      </c>
      <c r="P51" s="142">
        <f t="shared" ca="1" si="4"/>
        <v>234674</v>
      </c>
      <c r="Q51" s="142">
        <f t="shared" ca="1" si="5"/>
        <v>235724</v>
      </c>
      <c r="T51" s="55" t="s">
        <v>29</v>
      </c>
      <c r="U51" t="s">
        <v>66</v>
      </c>
      <c r="V51" s="142">
        <f t="shared" ca="1" si="6"/>
        <v>641657</v>
      </c>
      <c r="W51" s="142">
        <f t="shared" ca="1" si="7"/>
        <v>644652</v>
      </c>
      <c r="AD51" s="142"/>
      <c r="AG51" t="s">
        <v>15</v>
      </c>
      <c r="AH51" t="s">
        <v>143</v>
      </c>
      <c r="AI51" s="142">
        <f t="shared" ca="1" si="10"/>
        <v>2697</v>
      </c>
      <c r="AJ51" s="142">
        <f t="shared" ca="1" si="11"/>
        <v>2823</v>
      </c>
      <c r="AM51" t="s">
        <v>24</v>
      </c>
      <c r="AN51" t="s">
        <v>139</v>
      </c>
      <c r="AO51" s="128">
        <v>0.15</v>
      </c>
      <c r="AP51" s="142">
        <f t="shared" ca="1" si="12"/>
        <v>72664</v>
      </c>
      <c r="AQ51" s="142">
        <f t="shared" ca="1" si="13"/>
        <v>73817</v>
      </c>
      <c r="AT51" t="s">
        <v>24</v>
      </c>
      <c r="AU51" t="s">
        <v>124</v>
      </c>
      <c r="AV51" s="142">
        <f t="shared" ca="1" si="14"/>
        <v>28024</v>
      </c>
      <c r="AW51" s="142">
        <f t="shared" ca="1" si="14"/>
        <v>17240</v>
      </c>
      <c r="AX51" s="142">
        <f t="shared" ca="1" si="15"/>
        <v>49715</v>
      </c>
    </row>
    <row r="52" spans="2:50">
      <c r="B52" s="55" t="s">
        <v>15</v>
      </c>
      <c r="C52" t="s">
        <v>46</v>
      </c>
      <c r="D52" s="142">
        <f t="shared" ca="1" si="0"/>
        <v>551233</v>
      </c>
      <c r="E52" s="142">
        <f t="shared" ca="1" si="1"/>
        <v>555543</v>
      </c>
      <c r="H52" s="55" t="s">
        <v>22</v>
      </c>
      <c r="I52" t="s">
        <v>43</v>
      </c>
      <c r="J52" s="142">
        <f t="shared" ca="1" si="2"/>
        <v>943821</v>
      </c>
      <c r="K52" s="142">
        <f t="shared" ca="1" si="3"/>
        <v>946309</v>
      </c>
      <c r="N52" s="55" t="s">
        <v>22</v>
      </c>
      <c r="O52" t="s">
        <v>44</v>
      </c>
      <c r="P52" s="142">
        <f t="shared" ca="1" si="4"/>
        <v>106532</v>
      </c>
      <c r="Q52" s="142">
        <f t="shared" ca="1" si="5"/>
        <v>109794</v>
      </c>
      <c r="T52" s="55" t="s">
        <v>24</v>
      </c>
      <c r="U52" t="s">
        <v>66</v>
      </c>
      <c r="V52" s="142">
        <f t="shared" ca="1" si="6"/>
        <v>614805</v>
      </c>
      <c r="W52" s="142">
        <f t="shared" ca="1" si="7"/>
        <v>615678</v>
      </c>
      <c r="AD52" s="142"/>
      <c r="AG52" t="s">
        <v>15</v>
      </c>
      <c r="AH52" t="s">
        <v>160</v>
      </c>
      <c r="AI52" s="142">
        <f t="shared" ca="1" si="10"/>
        <v>8155</v>
      </c>
      <c r="AJ52" s="142">
        <f t="shared" ca="1" si="11"/>
        <v>8389</v>
      </c>
      <c r="AM52" t="s">
        <v>24</v>
      </c>
      <c r="AN52" t="s">
        <v>134</v>
      </c>
      <c r="AO52" s="128">
        <v>0.2</v>
      </c>
      <c r="AP52" s="142">
        <f t="shared" ca="1" si="12"/>
        <v>86581</v>
      </c>
      <c r="AQ52" s="142">
        <f t="shared" ca="1" si="13"/>
        <v>88809</v>
      </c>
      <c r="AT52" t="s">
        <v>24</v>
      </c>
      <c r="AU52" t="s">
        <v>158</v>
      </c>
      <c r="AV52" s="142">
        <f t="shared" ca="1" si="14"/>
        <v>21022</v>
      </c>
      <c r="AW52" s="142">
        <f t="shared" ca="1" si="14"/>
        <v>89362</v>
      </c>
      <c r="AX52" s="142">
        <f t="shared" ca="1" si="15"/>
        <v>116872</v>
      </c>
    </row>
    <row r="53" spans="2:50">
      <c r="B53" s="55" t="s">
        <v>15</v>
      </c>
      <c r="C53" t="s">
        <v>37</v>
      </c>
      <c r="D53" s="142">
        <f t="shared" ca="1" si="0"/>
        <v>822031</v>
      </c>
      <c r="E53" s="142">
        <f t="shared" ca="1" si="1"/>
        <v>827802</v>
      </c>
      <c r="H53" s="55" t="s">
        <v>27</v>
      </c>
      <c r="I53" t="s">
        <v>43</v>
      </c>
      <c r="J53" s="142">
        <f t="shared" ca="1" si="2"/>
        <v>509274</v>
      </c>
      <c r="K53" s="142">
        <f t="shared" ca="1" si="3"/>
        <v>513898</v>
      </c>
      <c r="N53" s="55" t="s">
        <v>22</v>
      </c>
      <c r="O53" t="s">
        <v>46</v>
      </c>
      <c r="P53" s="142">
        <f t="shared" ca="1" si="4"/>
        <v>145399</v>
      </c>
      <c r="Q53" s="142">
        <f t="shared" ca="1" si="5"/>
        <v>146813</v>
      </c>
      <c r="T53" s="55" t="s">
        <v>26</v>
      </c>
      <c r="U53" t="s">
        <v>66</v>
      </c>
      <c r="V53" s="142">
        <f t="shared" ca="1" si="6"/>
        <v>309313</v>
      </c>
      <c r="W53" s="142">
        <f t="shared" ca="1" si="7"/>
        <v>312237</v>
      </c>
      <c r="AD53" s="142"/>
      <c r="AG53" t="s">
        <v>15</v>
      </c>
      <c r="AH53" t="s">
        <v>139</v>
      </c>
      <c r="AI53" s="142">
        <f t="shared" ca="1" si="10"/>
        <v>4078</v>
      </c>
      <c r="AJ53" s="142">
        <f t="shared" ca="1" si="11"/>
        <v>4157</v>
      </c>
      <c r="AM53" t="s">
        <v>24</v>
      </c>
      <c r="AN53" t="s">
        <v>124</v>
      </c>
      <c r="AO53" s="128">
        <v>0.3</v>
      </c>
      <c r="AP53" s="142">
        <f t="shared" ca="1" si="12"/>
        <v>29524</v>
      </c>
      <c r="AQ53" s="142">
        <f t="shared" ca="1" si="13"/>
        <v>30066</v>
      </c>
      <c r="AT53" t="s">
        <v>25</v>
      </c>
      <c r="AU53" t="s">
        <v>139</v>
      </c>
      <c r="AV53" s="142">
        <f t="shared" ca="1" si="14"/>
        <v>72965</v>
      </c>
      <c r="AW53" s="142">
        <f t="shared" ca="1" si="14"/>
        <v>43528</v>
      </c>
      <c r="AX53" s="142">
        <f t="shared" ca="1" si="15"/>
        <v>118730</v>
      </c>
    </row>
    <row r="54" spans="2:50">
      <c r="B54" s="55" t="s">
        <v>15</v>
      </c>
      <c r="C54" t="s">
        <v>49</v>
      </c>
      <c r="D54" s="142">
        <f t="shared" ca="1" si="0"/>
        <v>641196</v>
      </c>
      <c r="E54" s="142">
        <f t="shared" ca="1" si="1"/>
        <v>641483</v>
      </c>
      <c r="H54" s="55" t="s">
        <v>16</v>
      </c>
      <c r="I54" t="s">
        <v>43</v>
      </c>
      <c r="J54" s="142">
        <f t="shared" ca="1" si="2"/>
        <v>995924</v>
      </c>
      <c r="K54" s="142">
        <f t="shared" ca="1" si="3"/>
        <v>996996</v>
      </c>
      <c r="N54" s="55" t="s">
        <v>22</v>
      </c>
      <c r="O54" t="s">
        <v>37</v>
      </c>
      <c r="P54" s="142">
        <f t="shared" ca="1" si="4"/>
        <v>363488</v>
      </c>
      <c r="Q54" s="142">
        <f t="shared" ca="1" si="5"/>
        <v>364371</v>
      </c>
      <c r="T54" s="55" t="s">
        <v>25</v>
      </c>
      <c r="U54" t="s">
        <v>67</v>
      </c>
      <c r="V54" s="142">
        <f t="shared" ca="1" si="6"/>
        <v>903920</v>
      </c>
      <c r="W54" s="142">
        <f t="shared" ca="1" si="7"/>
        <v>911850</v>
      </c>
      <c r="AD54" s="142"/>
      <c r="AG54" t="s">
        <v>15</v>
      </c>
      <c r="AH54" t="s">
        <v>134</v>
      </c>
      <c r="AI54" s="142">
        <f t="shared" ca="1" si="10"/>
        <v>4294</v>
      </c>
      <c r="AJ54" s="142">
        <f t="shared" ca="1" si="11"/>
        <v>4646</v>
      </c>
      <c r="AM54" t="s">
        <v>24</v>
      </c>
      <c r="AN54" t="s">
        <v>171</v>
      </c>
      <c r="AO54" s="128">
        <v>0</v>
      </c>
      <c r="AP54" s="142">
        <f t="shared" ca="1" si="12"/>
        <v>93505</v>
      </c>
      <c r="AQ54" s="142">
        <f t="shared" ca="1" si="13"/>
        <v>97845</v>
      </c>
      <c r="AT54" t="s">
        <v>25</v>
      </c>
      <c r="AU54" t="s">
        <v>158</v>
      </c>
      <c r="AV54" s="142">
        <f t="shared" ca="1" si="14"/>
        <v>15795</v>
      </c>
      <c r="AW54" s="142">
        <f t="shared" ca="1" si="14"/>
        <v>99689</v>
      </c>
      <c r="AX54" s="142">
        <f t="shared" ca="1" si="15"/>
        <v>117947</v>
      </c>
    </row>
    <row r="55" spans="2:50">
      <c r="B55" s="55" t="s">
        <v>17</v>
      </c>
      <c r="C55" t="s">
        <v>36</v>
      </c>
      <c r="D55" s="142">
        <f t="shared" ca="1" si="0"/>
        <v>618193</v>
      </c>
      <c r="E55" s="142">
        <f t="shared" ca="1" si="1"/>
        <v>619707</v>
      </c>
      <c r="H55" s="55" t="s">
        <v>10</v>
      </c>
      <c r="I55" t="s">
        <v>39</v>
      </c>
      <c r="J55" s="142">
        <f t="shared" ca="1" si="2"/>
        <v>699213</v>
      </c>
      <c r="K55" s="142">
        <f t="shared" ca="1" si="3"/>
        <v>700375</v>
      </c>
      <c r="N55" s="55" t="s">
        <v>8</v>
      </c>
      <c r="O55" t="s">
        <v>38</v>
      </c>
      <c r="P55" s="142">
        <f t="shared" ca="1" si="4"/>
        <v>959786</v>
      </c>
      <c r="Q55" s="142">
        <f t="shared" ca="1" si="5"/>
        <v>966019</v>
      </c>
      <c r="T55" s="55">
        <v>2021</v>
      </c>
      <c r="U55" t="s">
        <v>66</v>
      </c>
      <c r="V55" s="142">
        <f t="shared" ca="1" si="6"/>
        <v>250225</v>
      </c>
      <c r="W55" s="142">
        <f t="shared" ca="1" si="7"/>
        <v>252680</v>
      </c>
      <c r="AD55" s="142"/>
      <c r="AG55" t="s">
        <v>23</v>
      </c>
      <c r="AH55" t="s">
        <v>139</v>
      </c>
      <c r="AI55" s="142">
        <f t="shared" ca="1" si="10"/>
        <v>6094</v>
      </c>
      <c r="AJ55" s="142">
        <f t="shared" ca="1" si="11"/>
        <v>6427</v>
      </c>
      <c r="AM55" t="s">
        <v>24</v>
      </c>
      <c r="AN55" t="s">
        <v>126</v>
      </c>
      <c r="AO55" s="128">
        <v>0.2</v>
      </c>
      <c r="AP55" s="142">
        <f t="shared" ca="1" si="12"/>
        <v>44855</v>
      </c>
      <c r="AQ55" s="142">
        <f t="shared" ca="1" si="13"/>
        <v>49194</v>
      </c>
      <c r="AT55" t="s">
        <v>25</v>
      </c>
      <c r="AU55" t="s">
        <v>157</v>
      </c>
      <c r="AV55" s="142">
        <f t="shared" ca="1" si="14"/>
        <v>56759</v>
      </c>
      <c r="AW55" s="142">
        <f t="shared" ca="1" si="14"/>
        <v>26545</v>
      </c>
      <c r="AX55" s="142">
        <f t="shared" ca="1" si="15"/>
        <v>85223</v>
      </c>
    </row>
    <row r="56" spans="2:50">
      <c r="B56" s="55" t="s">
        <v>17</v>
      </c>
      <c r="C56" t="s">
        <v>45</v>
      </c>
      <c r="D56" s="142">
        <f t="shared" ca="1" si="0"/>
        <v>162889</v>
      </c>
      <c r="E56" s="142">
        <f t="shared" ca="1" si="1"/>
        <v>163182</v>
      </c>
      <c r="H56" s="55" t="s">
        <v>23</v>
      </c>
      <c r="I56" t="s">
        <v>39</v>
      </c>
      <c r="J56" s="142">
        <f t="shared" ca="1" si="2"/>
        <v>598638</v>
      </c>
      <c r="K56" s="142">
        <f t="shared" ca="1" si="3"/>
        <v>599691</v>
      </c>
      <c r="N56" s="55" t="s">
        <v>8</v>
      </c>
      <c r="O56" t="s">
        <v>47</v>
      </c>
      <c r="P56" s="142">
        <f t="shared" ca="1" si="4"/>
        <v>383552</v>
      </c>
      <c r="Q56" s="142">
        <f t="shared" ca="1" si="5"/>
        <v>390435</v>
      </c>
      <c r="T56" s="55">
        <v>2021</v>
      </c>
      <c r="U56" t="s">
        <v>67</v>
      </c>
      <c r="V56" s="142">
        <f t="shared" ca="1" si="6"/>
        <v>260422</v>
      </c>
      <c r="W56" s="142">
        <f t="shared" ca="1" si="7"/>
        <v>264010</v>
      </c>
      <c r="AD56" s="142"/>
      <c r="AG56" t="s">
        <v>23</v>
      </c>
      <c r="AH56" t="s">
        <v>159</v>
      </c>
      <c r="AI56" s="142">
        <f t="shared" ca="1" si="10"/>
        <v>4728</v>
      </c>
      <c r="AJ56" s="142">
        <f t="shared" ca="1" si="11"/>
        <v>5337</v>
      </c>
      <c r="AM56" t="s">
        <v>25</v>
      </c>
      <c r="AN56" t="s">
        <v>134</v>
      </c>
      <c r="AO56" s="128">
        <v>0.25</v>
      </c>
      <c r="AP56" s="142">
        <f t="shared" ca="1" si="12"/>
        <v>67580</v>
      </c>
      <c r="AQ56" s="142">
        <f t="shared" ca="1" si="13"/>
        <v>71524</v>
      </c>
      <c r="AT56" t="s">
        <v>25</v>
      </c>
      <c r="AU56" t="s">
        <v>106</v>
      </c>
      <c r="AV56" s="142">
        <f t="shared" ca="1" si="14"/>
        <v>54873</v>
      </c>
      <c r="AW56" s="142">
        <f t="shared" ca="1" si="14"/>
        <v>75806</v>
      </c>
      <c r="AX56" s="142">
        <f t="shared" ca="1" si="15"/>
        <v>131959</v>
      </c>
    </row>
    <row r="57" spans="2:50">
      <c r="B57" s="55" t="s">
        <v>15</v>
      </c>
      <c r="C57" t="s">
        <v>38</v>
      </c>
      <c r="D57" s="142">
        <f t="shared" ca="1" si="0"/>
        <v>662433</v>
      </c>
      <c r="E57" s="142">
        <f t="shared" ca="1" si="1"/>
        <v>662644</v>
      </c>
      <c r="H57" s="55" t="s">
        <v>22</v>
      </c>
      <c r="I57" t="s">
        <v>39</v>
      </c>
      <c r="J57" s="142">
        <f t="shared" ca="1" si="2"/>
        <v>940392</v>
      </c>
      <c r="K57" s="142">
        <f t="shared" ca="1" si="3"/>
        <v>943174</v>
      </c>
      <c r="N57" s="55" t="s">
        <v>22</v>
      </c>
      <c r="O57" t="s">
        <v>49</v>
      </c>
      <c r="P57" s="142">
        <f t="shared" ca="1" si="4"/>
        <v>743372</v>
      </c>
      <c r="Q57" s="142">
        <f t="shared" ca="1" si="5"/>
        <v>743917</v>
      </c>
      <c r="T57" s="55" t="s">
        <v>25</v>
      </c>
      <c r="U57" t="s">
        <v>76</v>
      </c>
      <c r="V57" s="142">
        <f t="shared" ca="1" si="6"/>
        <v>277974</v>
      </c>
      <c r="W57" s="142">
        <f t="shared" ca="1" si="7"/>
        <v>280871</v>
      </c>
      <c r="AD57" s="142"/>
      <c r="AG57" t="s">
        <v>23</v>
      </c>
      <c r="AH57" t="s">
        <v>126</v>
      </c>
      <c r="AI57" s="142">
        <f t="shared" ca="1" si="10"/>
        <v>2721</v>
      </c>
      <c r="AJ57" s="142">
        <f t="shared" ca="1" si="11"/>
        <v>2788</v>
      </c>
      <c r="AM57" t="s">
        <v>25</v>
      </c>
      <c r="AN57" t="s">
        <v>126</v>
      </c>
      <c r="AO57" s="128">
        <v>0.2</v>
      </c>
      <c r="AP57" s="142">
        <f t="shared" ca="1" si="12"/>
        <v>41749</v>
      </c>
      <c r="AQ57" s="142">
        <f t="shared" ca="1" si="13"/>
        <v>43109</v>
      </c>
      <c r="AT57" t="s">
        <v>25</v>
      </c>
      <c r="AU57" t="s">
        <v>143</v>
      </c>
      <c r="AV57" s="142">
        <f t="shared" ca="1" si="14"/>
        <v>68795</v>
      </c>
      <c r="AW57" s="142">
        <f t="shared" ca="1" si="14"/>
        <v>22825</v>
      </c>
      <c r="AX57" s="142">
        <f t="shared" ca="1" si="15"/>
        <v>96266</v>
      </c>
    </row>
    <row r="58" spans="2:50">
      <c r="B58" s="55" t="s">
        <v>17</v>
      </c>
      <c r="C58" t="s">
        <v>42</v>
      </c>
      <c r="D58" s="142">
        <f t="shared" ca="1" si="0"/>
        <v>691881</v>
      </c>
      <c r="E58" s="142">
        <f t="shared" ca="1" si="1"/>
        <v>692868</v>
      </c>
      <c r="H58" s="55" t="s">
        <v>29</v>
      </c>
      <c r="I58" t="s">
        <v>43</v>
      </c>
      <c r="J58" s="142">
        <f t="shared" ca="1" si="2"/>
        <v>163050</v>
      </c>
      <c r="K58" s="142">
        <f t="shared" ca="1" si="3"/>
        <v>163649</v>
      </c>
      <c r="N58" s="55" t="s">
        <v>22</v>
      </c>
      <c r="O58" t="s">
        <v>52</v>
      </c>
      <c r="P58" s="142">
        <f t="shared" ca="1" si="4"/>
        <v>476206</v>
      </c>
      <c r="Q58" s="142">
        <f t="shared" ca="1" si="5"/>
        <v>478726</v>
      </c>
      <c r="T58" s="55" t="s">
        <v>24</v>
      </c>
      <c r="U58" t="s">
        <v>76</v>
      </c>
      <c r="V58" s="142">
        <f t="shared" ca="1" si="6"/>
        <v>920717</v>
      </c>
      <c r="W58" s="142">
        <f t="shared" ca="1" si="7"/>
        <v>928820</v>
      </c>
      <c r="AD58" s="142"/>
      <c r="AG58" t="s">
        <v>23</v>
      </c>
      <c r="AH58" t="s">
        <v>143</v>
      </c>
      <c r="AI58" s="142">
        <f t="shared" ca="1" si="10"/>
        <v>8115</v>
      </c>
      <c r="AJ58" s="142">
        <f t="shared" ca="1" si="11"/>
        <v>8124</v>
      </c>
      <c r="AM58" t="s">
        <v>25</v>
      </c>
      <c r="AN58" t="s">
        <v>157</v>
      </c>
      <c r="AO58" s="128">
        <v>0.3</v>
      </c>
      <c r="AP58" s="142">
        <f t="shared" ca="1" si="12"/>
        <v>84500</v>
      </c>
      <c r="AQ58" s="142">
        <f t="shared" ca="1" si="13"/>
        <v>89524</v>
      </c>
      <c r="AT58" t="s">
        <v>25</v>
      </c>
      <c r="AU58" t="s">
        <v>134</v>
      </c>
      <c r="AV58" s="142">
        <f t="shared" ca="1" si="14"/>
        <v>31243</v>
      </c>
      <c r="AW58" s="142">
        <f t="shared" ca="1" si="14"/>
        <v>39428</v>
      </c>
      <c r="AX58" s="142">
        <f t="shared" ca="1" si="15"/>
        <v>73537</v>
      </c>
    </row>
    <row r="59" spans="2:50">
      <c r="B59" s="55" t="s">
        <v>17</v>
      </c>
      <c r="C59" t="s">
        <v>38</v>
      </c>
      <c r="D59" s="142">
        <f t="shared" ca="1" si="0"/>
        <v>255300</v>
      </c>
      <c r="E59" s="142">
        <f t="shared" ca="1" si="1"/>
        <v>258440</v>
      </c>
      <c r="H59" s="55" t="s">
        <v>24</v>
      </c>
      <c r="I59" t="s">
        <v>43</v>
      </c>
      <c r="J59" s="142">
        <f t="shared" ca="1" si="2"/>
        <v>230949</v>
      </c>
      <c r="K59" s="142">
        <f t="shared" ca="1" si="3"/>
        <v>231250</v>
      </c>
      <c r="N59" s="55" t="s">
        <v>22</v>
      </c>
      <c r="O59" t="s">
        <v>42</v>
      </c>
      <c r="P59" s="142">
        <f t="shared" ca="1" si="4"/>
        <v>166721</v>
      </c>
      <c r="Q59" s="142">
        <f t="shared" ca="1" si="5"/>
        <v>167179</v>
      </c>
      <c r="T59" s="55" t="s">
        <v>26</v>
      </c>
      <c r="U59" t="s">
        <v>76</v>
      </c>
      <c r="V59" s="142">
        <f t="shared" ca="1" si="6"/>
        <v>615210</v>
      </c>
      <c r="W59" s="142">
        <f t="shared" ca="1" si="7"/>
        <v>615423</v>
      </c>
      <c r="AD59" s="142"/>
      <c r="AG59" t="s">
        <v>23</v>
      </c>
      <c r="AH59" t="s">
        <v>157</v>
      </c>
      <c r="AI59" s="142">
        <f t="shared" ca="1" si="10"/>
        <v>6717</v>
      </c>
      <c r="AJ59" s="142">
        <f t="shared" ca="1" si="11"/>
        <v>6875</v>
      </c>
      <c r="AM59" t="s">
        <v>25</v>
      </c>
      <c r="AN59" t="s">
        <v>143</v>
      </c>
      <c r="AP59" s="142">
        <f t="shared" ca="1" si="12"/>
        <v>49045</v>
      </c>
      <c r="AQ59" s="142">
        <f t="shared" ca="1" si="13"/>
        <v>49898</v>
      </c>
      <c r="AT59" t="s">
        <v>25</v>
      </c>
      <c r="AU59" t="s">
        <v>104</v>
      </c>
      <c r="AV59" s="142">
        <f t="shared" ca="1" si="14"/>
        <v>68288</v>
      </c>
      <c r="AW59" s="142">
        <f t="shared" ca="1" si="14"/>
        <v>70900</v>
      </c>
      <c r="AX59" s="142">
        <f t="shared" ca="1" si="15"/>
        <v>142496</v>
      </c>
    </row>
    <row r="60" spans="2:50">
      <c r="B60" s="55" t="s">
        <v>15</v>
      </c>
      <c r="C60" t="s">
        <v>36</v>
      </c>
      <c r="D60" s="142">
        <f t="shared" ca="1" si="0"/>
        <v>225699</v>
      </c>
      <c r="E60" s="142">
        <f t="shared" ca="1" si="1"/>
        <v>227839</v>
      </c>
      <c r="H60" s="55" t="s">
        <v>26</v>
      </c>
      <c r="I60" t="s">
        <v>43</v>
      </c>
      <c r="J60" s="142">
        <f t="shared" ca="1" si="2"/>
        <v>163624</v>
      </c>
      <c r="K60" s="142">
        <f t="shared" ca="1" si="3"/>
        <v>166143</v>
      </c>
      <c r="N60" s="55" t="s">
        <v>22</v>
      </c>
      <c r="O60" t="s">
        <v>43</v>
      </c>
      <c r="P60" s="142">
        <f t="shared" ca="1" si="4"/>
        <v>311593</v>
      </c>
      <c r="Q60" s="142">
        <f t="shared" ca="1" si="5"/>
        <v>316715</v>
      </c>
      <c r="T60" s="55" t="s">
        <v>29</v>
      </c>
      <c r="U60" t="s">
        <v>76</v>
      </c>
      <c r="V60" s="142">
        <f t="shared" ca="1" si="6"/>
        <v>420055</v>
      </c>
      <c r="W60" s="142">
        <f t="shared" ca="1" si="7"/>
        <v>421917</v>
      </c>
      <c r="AD60" s="142"/>
      <c r="AG60" t="s">
        <v>23</v>
      </c>
      <c r="AH60" t="s">
        <v>160</v>
      </c>
      <c r="AI60" s="142">
        <f t="shared" ca="1" si="10"/>
        <v>6221</v>
      </c>
      <c r="AJ60" s="142">
        <f t="shared" ca="1" si="11"/>
        <v>6238</v>
      </c>
      <c r="AM60" t="s">
        <v>25</v>
      </c>
      <c r="AN60" t="s">
        <v>139</v>
      </c>
      <c r="AO60" s="128">
        <v>0.15</v>
      </c>
      <c r="AP60" s="142">
        <f t="shared" ca="1" si="12"/>
        <v>14922</v>
      </c>
      <c r="AQ60" s="142">
        <f t="shared" ca="1" si="13"/>
        <v>15068</v>
      </c>
      <c r="AT60" t="s">
        <v>25</v>
      </c>
      <c r="AU60" t="s">
        <v>126</v>
      </c>
      <c r="AV60" s="142">
        <f t="shared" ca="1" si="14"/>
        <v>24273</v>
      </c>
      <c r="AW60" s="142">
        <f t="shared" ca="1" si="14"/>
        <v>38029</v>
      </c>
      <c r="AX60" s="142">
        <f t="shared" ca="1" si="15"/>
        <v>64549</v>
      </c>
    </row>
    <row r="61" spans="2:50">
      <c r="B61" s="55" t="s">
        <v>17</v>
      </c>
      <c r="C61" t="s">
        <v>18</v>
      </c>
      <c r="D61" s="142">
        <f t="shared" ca="1" si="0"/>
        <v>924909</v>
      </c>
      <c r="E61" s="142">
        <f t="shared" ca="1" si="1"/>
        <v>925929</v>
      </c>
      <c r="H61" s="55" t="s">
        <v>25</v>
      </c>
      <c r="I61" t="s">
        <v>43</v>
      </c>
      <c r="J61" s="142">
        <f t="shared" ca="1" si="2"/>
        <v>885663</v>
      </c>
      <c r="K61" s="142">
        <f t="shared" ca="1" si="3"/>
        <v>887759</v>
      </c>
      <c r="N61" s="55" t="s">
        <v>22</v>
      </c>
      <c r="O61" t="s">
        <v>45</v>
      </c>
      <c r="P61" s="142">
        <f t="shared" ca="1" si="4"/>
        <v>550664</v>
      </c>
      <c r="Q61" s="142">
        <f t="shared" ca="1" si="5"/>
        <v>558497</v>
      </c>
      <c r="T61" s="55">
        <v>2021</v>
      </c>
      <c r="U61" t="s">
        <v>76</v>
      </c>
      <c r="V61" s="142">
        <f t="shared" ca="1" si="6"/>
        <v>545727</v>
      </c>
      <c r="W61" s="142">
        <f t="shared" ca="1" si="7"/>
        <v>547311</v>
      </c>
      <c r="AD61" s="142"/>
      <c r="AG61" t="s">
        <v>9</v>
      </c>
      <c r="AH61" t="s">
        <v>157</v>
      </c>
      <c r="AI61" s="142">
        <f t="shared" ca="1" si="10"/>
        <v>5177</v>
      </c>
      <c r="AJ61" s="142">
        <f t="shared" ca="1" si="11"/>
        <v>5330</v>
      </c>
      <c r="AM61" t="s">
        <v>25</v>
      </c>
      <c r="AN61" t="s">
        <v>158</v>
      </c>
      <c r="AO61" s="128">
        <v>0.2</v>
      </c>
      <c r="AP61" s="142">
        <f t="shared" ca="1" si="12"/>
        <v>69886</v>
      </c>
      <c r="AQ61" s="142">
        <f t="shared" ca="1" si="13"/>
        <v>69996</v>
      </c>
      <c r="AT61" t="s">
        <v>25</v>
      </c>
      <c r="AU61" t="s">
        <v>171</v>
      </c>
      <c r="AV61" s="142">
        <f t="shared" ca="1" si="14"/>
        <v>85146</v>
      </c>
      <c r="AW61" s="142">
        <f t="shared" ca="1" si="14"/>
        <v>57877</v>
      </c>
      <c r="AX61" s="142">
        <f t="shared" ca="1" si="15"/>
        <v>143163</v>
      </c>
    </row>
    <row r="62" spans="2:50">
      <c r="B62" s="55" t="s">
        <v>15</v>
      </c>
      <c r="C62" t="s">
        <v>43</v>
      </c>
      <c r="D62" s="142">
        <f t="shared" ca="1" si="0"/>
        <v>405648</v>
      </c>
      <c r="E62" s="142">
        <f t="shared" ca="1" si="1"/>
        <v>406622</v>
      </c>
      <c r="H62" s="55" t="s">
        <v>25</v>
      </c>
      <c r="I62" t="s">
        <v>39</v>
      </c>
      <c r="J62" s="142">
        <f t="shared" ca="1" si="2"/>
        <v>235031</v>
      </c>
      <c r="K62" s="142">
        <f t="shared" ca="1" si="3"/>
        <v>240102</v>
      </c>
      <c r="N62" s="55" t="s">
        <v>22</v>
      </c>
      <c r="O62" t="s">
        <v>38</v>
      </c>
      <c r="P62" s="142">
        <f t="shared" ca="1" si="4"/>
        <v>451089</v>
      </c>
      <c r="Q62" s="142">
        <f t="shared" ca="1" si="5"/>
        <v>458362</v>
      </c>
      <c r="T62" s="55" t="s">
        <v>16</v>
      </c>
      <c r="U62" t="s">
        <v>73</v>
      </c>
      <c r="V62" s="142">
        <f t="shared" ca="1" si="6"/>
        <v>497106</v>
      </c>
      <c r="W62" s="142">
        <f t="shared" ca="1" si="7"/>
        <v>504911</v>
      </c>
      <c r="AD62" s="142"/>
      <c r="AG62" t="s">
        <v>9</v>
      </c>
      <c r="AH62" t="s">
        <v>160</v>
      </c>
      <c r="AI62" s="142">
        <f t="shared" ca="1" si="10"/>
        <v>6616</v>
      </c>
      <c r="AJ62" s="142">
        <f t="shared" ca="1" si="11"/>
        <v>7076</v>
      </c>
      <c r="AM62" t="s">
        <v>26</v>
      </c>
      <c r="AN62" t="s">
        <v>143</v>
      </c>
      <c r="AP62" s="142">
        <f t="shared" ca="1" si="12"/>
        <v>24637</v>
      </c>
      <c r="AQ62" s="142">
        <f t="shared" ca="1" si="13"/>
        <v>30391</v>
      </c>
      <c r="AT62" t="s">
        <v>26</v>
      </c>
      <c r="AU62" t="s">
        <v>143</v>
      </c>
      <c r="AV62" s="142">
        <f t="shared" ca="1" si="14"/>
        <v>46080</v>
      </c>
      <c r="AW62" s="142">
        <f t="shared" ca="1" si="14"/>
        <v>59697</v>
      </c>
      <c r="AX62" s="142">
        <f t="shared" ca="1" si="15"/>
        <v>108565</v>
      </c>
    </row>
    <row r="63" spans="2:50">
      <c r="B63" s="55" t="s">
        <v>17</v>
      </c>
      <c r="C63" t="s">
        <v>48</v>
      </c>
      <c r="D63" s="142">
        <f t="shared" ca="1" si="0"/>
        <v>371586</v>
      </c>
      <c r="E63" s="142">
        <f t="shared" ca="1" si="1"/>
        <v>373788</v>
      </c>
      <c r="H63" s="55" t="s">
        <v>24</v>
      </c>
      <c r="I63" t="s">
        <v>39</v>
      </c>
      <c r="J63" s="142">
        <f t="shared" ca="1" si="2"/>
        <v>311112</v>
      </c>
      <c r="K63" s="142">
        <f t="shared" ca="1" si="3"/>
        <v>313718</v>
      </c>
      <c r="N63" s="55" t="s">
        <v>8</v>
      </c>
      <c r="O63" t="s">
        <v>42</v>
      </c>
      <c r="P63" s="142">
        <f t="shared" ca="1" si="4"/>
        <v>278298</v>
      </c>
      <c r="Q63" s="142">
        <f t="shared" ca="1" si="5"/>
        <v>279978</v>
      </c>
      <c r="T63" s="55" t="s">
        <v>16</v>
      </c>
      <c r="U63" t="s">
        <v>76</v>
      </c>
      <c r="V63" s="142">
        <f t="shared" ca="1" si="6"/>
        <v>329399</v>
      </c>
      <c r="W63" s="142">
        <f t="shared" ca="1" si="7"/>
        <v>330269</v>
      </c>
      <c r="AD63" s="142"/>
      <c r="AG63" t="s">
        <v>9</v>
      </c>
      <c r="AH63" t="s">
        <v>126</v>
      </c>
      <c r="AI63" s="142">
        <f t="shared" ca="1" si="10"/>
        <v>8848</v>
      </c>
      <c r="AJ63" s="142">
        <f t="shared" ca="1" si="11"/>
        <v>9023</v>
      </c>
      <c r="AM63" t="s">
        <v>26</v>
      </c>
      <c r="AN63" t="s">
        <v>158</v>
      </c>
      <c r="AO63" s="128">
        <v>0.2</v>
      </c>
      <c r="AP63" s="142">
        <f t="shared" ca="1" si="12"/>
        <v>32246</v>
      </c>
      <c r="AQ63" s="142">
        <f t="shared" ca="1" si="13"/>
        <v>32254</v>
      </c>
      <c r="AT63" t="s">
        <v>29</v>
      </c>
      <c r="AU63" t="s">
        <v>143</v>
      </c>
      <c r="AV63" s="142">
        <f t="shared" ca="1" si="14"/>
        <v>72745</v>
      </c>
      <c r="AW63" s="142">
        <f t="shared" ca="1" si="14"/>
        <v>94211</v>
      </c>
      <c r="AX63" s="142">
        <f t="shared" ca="1" si="15"/>
        <v>175302</v>
      </c>
    </row>
    <row r="64" spans="2:50">
      <c r="B64" s="55" t="s">
        <v>15</v>
      </c>
      <c r="C64" t="s">
        <v>51</v>
      </c>
      <c r="D64" s="142">
        <f t="shared" ca="1" si="0"/>
        <v>908611</v>
      </c>
      <c r="E64" s="142">
        <f t="shared" ca="1" si="1"/>
        <v>909336</v>
      </c>
      <c r="H64" s="55">
        <v>2021</v>
      </c>
      <c r="I64" t="s">
        <v>43</v>
      </c>
      <c r="J64" s="142">
        <f t="shared" ca="1" si="2"/>
        <v>992031</v>
      </c>
      <c r="K64" s="142">
        <f t="shared" ca="1" si="3"/>
        <v>993570</v>
      </c>
      <c r="N64" s="55" t="s">
        <v>22</v>
      </c>
      <c r="O64" t="s">
        <v>51</v>
      </c>
      <c r="P64" s="142">
        <f t="shared" ca="1" si="4"/>
        <v>228812</v>
      </c>
      <c r="Q64" s="142">
        <f t="shared" ca="1" si="5"/>
        <v>229612</v>
      </c>
      <c r="T64" s="55" t="s">
        <v>16</v>
      </c>
      <c r="U64" t="s">
        <v>13</v>
      </c>
      <c r="V64" s="142">
        <f t="shared" ca="1" si="6"/>
        <v>588060</v>
      </c>
      <c r="W64" s="142">
        <f t="shared" ca="1" si="7"/>
        <v>588918</v>
      </c>
      <c r="AD64" s="142"/>
      <c r="AG64" t="s">
        <v>9</v>
      </c>
      <c r="AH64" t="s">
        <v>134</v>
      </c>
      <c r="AI64" s="142">
        <f t="shared" ca="1" si="10"/>
        <v>4023</v>
      </c>
      <c r="AJ64" s="142">
        <f t="shared" ca="1" si="11"/>
        <v>4228</v>
      </c>
      <c r="AM64" t="s">
        <v>29</v>
      </c>
      <c r="AN64" t="s">
        <v>143</v>
      </c>
      <c r="AP64" s="142">
        <f t="shared" ca="1" si="12"/>
        <v>22402</v>
      </c>
      <c r="AQ64" s="142">
        <f t="shared" ca="1" si="13"/>
        <v>22572</v>
      </c>
      <c r="AT64" t="s">
        <v>14</v>
      </c>
      <c r="AU64" t="s">
        <v>143</v>
      </c>
      <c r="AV64" s="142">
        <f t="shared" ca="1" si="14"/>
        <v>82983</v>
      </c>
      <c r="AW64" s="142">
        <f t="shared" ca="1" si="14"/>
        <v>28090</v>
      </c>
      <c r="AX64" s="142">
        <f t="shared" ca="1" si="15"/>
        <v>115680</v>
      </c>
    </row>
    <row r="65" spans="2:50">
      <c r="B65" s="55" t="s">
        <v>17</v>
      </c>
      <c r="C65" t="s">
        <v>44</v>
      </c>
      <c r="D65" s="142">
        <f t="shared" ca="1" si="0"/>
        <v>276185</v>
      </c>
      <c r="E65" s="142">
        <f t="shared" ca="1" si="1"/>
        <v>277383</v>
      </c>
      <c r="H65" s="55">
        <v>2021</v>
      </c>
      <c r="I65" t="s">
        <v>39</v>
      </c>
      <c r="J65" s="142">
        <f t="shared" ca="1" si="2"/>
        <v>620785</v>
      </c>
      <c r="K65" s="142">
        <f t="shared" ca="1" si="3"/>
        <v>623097</v>
      </c>
      <c r="N65" s="55" t="s">
        <v>22</v>
      </c>
      <c r="O65" t="s">
        <v>48</v>
      </c>
      <c r="P65" s="142">
        <f t="shared" ca="1" si="4"/>
        <v>424882</v>
      </c>
      <c r="Q65" s="142">
        <f t="shared" ca="1" si="5"/>
        <v>426023</v>
      </c>
      <c r="T65" s="55" t="s">
        <v>16</v>
      </c>
      <c r="U65" t="s">
        <v>75</v>
      </c>
      <c r="V65" s="142">
        <f t="shared" ca="1" si="6"/>
        <v>443825</v>
      </c>
      <c r="W65" s="142">
        <f t="shared" ca="1" si="7"/>
        <v>450191</v>
      </c>
      <c r="AD65" s="142"/>
      <c r="AG65" t="s">
        <v>9</v>
      </c>
      <c r="AH65" t="s">
        <v>139</v>
      </c>
      <c r="AI65" s="142">
        <f t="shared" ca="1" si="10"/>
        <v>7482</v>
      </c>
      <c r="AJ65" s="142">
        <f t="shared" ca="1" si="11"/>
        <v>7915</v>
      </c>
      <c r="AM65" t="s">
        <v>29</v>
      </c>
      <c r="AN65" t="s">
        <v>158</v>
      </c>
      <c r="AO65" s="128">
        <v>0.2</v>
      </c>
      <c r="AP65" s="142">
        <f t="shared" ca="1" si="12"/>
        <v>46083</v>
      </c>
      <c r="AQ65" s="142">
        <f t="shared" ca="1" si="13"/>
        <v>49839</v>
      </c>
      <c r="AT65" t="s">
        <v>9</v>
      </c>
      <c r="AU65" t="s">
        <v>126</v>
      </c>
      <c r="AV65" s="142">
        <f t="shared" ca="1" si="14"/>
        <v>59852</v>
      </c>
      <c r="AW65" s="142">
        <f t="shared" ca="1" si="14"/>
        <v>46186</v>
      </c>
      <c r="AX65" s="142">
        <f t="shared" ref="AX65:AX128" ca="1" si="19">RANDBETWEEN(AV65+AW65,AV65+AW65+RANDBETWEEN(1000,10000))</f>
        <v>106041</v>
      </c>
    </row>
    <row r="66" spans="2:50">
      <c r="B66" s="55" t="s">
        <v>15</v>
      </c>
      <c r="C66" t="s">
        <v>44</v>
      </c>
      <c r="D66" s="142">
        <f t="shared" ca="1" si="0"/>
        <v>433810</v>
      </c>
      <c r="E66" s="142">
        <f t="shared" ca="1" si="1"/>
        <v>434010</v>
      </c>
      <c r="H66" s="55" t="s">
        <v>8</v>
      </c>
      <c r="I66" t="s">
        <v>47</v>
      </c>
      <c r="J66" s="142">
        <f t="shared" ca="1" si="2"/>
        <v>319113</v>
      </c>
      <c r="K66" s="142">
        <f t="shared" ca="1" si="3"/>
        <v>324302</v>
      </c>
      <c r="N66" s="55" t="s">
        <v>8</v>
      </c>
      <c r="O66" t="s">
        <v>46</v>
      </c>
      <c r="P66" s="142">
        <f t="shared" ca="1" si="4"/>
        <v>951556</v>
      </c>
      <c r="Q66" s="142">
        <f t="shared" ca="1" si="5"/>
        <v>953691</v>
      </c>
      <c r="T66" s="55" t="s">
        <v>16</v>
      </c>
      <c r="U66" t="s">
        <v>77</v>
      </c>
      <c r="V66" s="142">
        <f t="shared" ca="1" si="6"/>
        <v>922626</v>
      </c>
      <c r="W66" s="142">
        <f t="shared" ca="1" si="7"/>
        <v>927662</v>
      </c>
      <c r="AD66" s="142"/>
      <c r="AG66" t="s">
        <v>9</v>
      </c>
      <c r="AH66" t="s">
        <v>159</v>
      </c>
      <c r="AI66" s="142">
        <f t="shared" ca="1" si="10"/>
        <v>1790</v>
      </c>
      <c r="AJ66" s="142">
        <f t="shared" ca="1" si="11"/>
        <v>2208</v>
      </c>
      <c r="AM66" t="s">
        <v>14</v>
      </c>
      <c r="AN66" t="s">
        <v>143</v>
      </c>
      <c r="AP66" s="142">
        <f t="shared" ca="1" si="12"/>
        <v>54139</v>
      </c>
      <c r="AQ66" s="142">
        <f t="shared" ca="1" si="13"/>
        <v>58004</v>
      </c>
      <c r="AT66" t="s">
        <v>15</v>
      </c>
      <c r="AU66" t="s">
        <v>126</v>
      </c>
      <c r="AV66" s="142">
        <f t="shared" ca="1" si="14"/>
        <v>20583</v>
      </c>
      <c r="AW66" s="142">
        <f t="shared" ca="1" si="14"/>
        <v>60597</v>
      </c>
      <c r="AX66" s="142">
        <f t="shared" ca="1" si="19"/>
        <v>84284</v>
      </c>
    </row>
    <row r="67" spans="2:50">
      <c r="B67" s="55" t="s">
        <v>15</v>
      </c>
      <c r="C67" t="s">
        <v>48</v>
      </c>
      <c r="D67" s="142">
        <f t="shared" ref="D67:D130" ca="1" si="20">RANDBETWEEN(100000,1000000)</f>
        <v>399204</v>
      </c>
      <c r="E67" s="142">
        <f t="shared" ref="E67:E130" ca="1" si="21">RANDBETWEEN(D67,D67+RANDBETWEEN(1000,10000))</f>
        <v>402730</v>
      </c>
      <c r="H67" s="55" t="s">
        <v>15</v>
      </c>
      <c r="I67" t="s">
        <v>47</v>
      </c>
      <c r="J67" s="142">
        <f t="shared" ref="J67:J130" ca="1" si="22">RANDBETWEEN(100000,1000000)</f>
        <v>686611</v>
      </c>
      <c r="K67" s="142">
        <f t="shared" ref="K67:K130" ca="1" si="23">RANDBETWEEN(J67,J67+RANDBETWEEN(1000,10000))</f>
        <v>687150</v>
      </c>
      <c r="N67" s="55" t="s">
        <v>8</v>
      </c>
      <c r="O67" t="s">
        <v>51</v>
      </c>
      <c r="P67" s="142">
        <f t="shared" ref="P67:P130" ca="1" si="24">RANDBETWEEN(100000,1000000)</f>
        <v>520329</v>
      </c>
      <c r="Q67" s="142">
        <f t="shared" ref="Q67:Q130" ca="1" si="25">RANDBETWEEN(P67,P67+RANDBETWEEN(1000,10000))</f>
        <v>524212</v>
      </c>
      <c r="T67" s="55" t="s">
        <v>16</v>
      </c>
      <c r="U67" t="s">
        <v>69</v>
      </c>
      <c r="V67" s="142">
        <f t="shared" ref="V67:V130" ca="1" si="26">RANDBETWEEN(100000,1000000)</f>
        <v>263151</v>
      </c>
      <c r="W67" s="142">
        <f t="shared" ref="W67:W130" ca="1" si="27">RANDBETWEEN(V67,V67+RANDBETWEEN(1000,10000))</f>
        <v>265652</v>
      </c>
      <c r="AD67" s="142"/>
      <c r="AG67" t="s">
        <v>9</v>
      </c>
      <c r="AH67" t="s">
        <v>43</v>
      </c>
      <c r="AI67" s="142">
        <f t="shared" ref="AI67:AJ130" ca="1" si="28">RANDBETWEEN(1000,10000)</f>
        <v>5995</v>
      </c>
      <c r="AJ67" s="142">
        <f t="shared" ref="AJ67:AJ130" ca="1" si="29">RANDBETWEEN(AI67,AI67+RANDBETWEEN(100,1000))</f>
        <v>6078</v>
      </c>
      <c r="AM67" t="s">
        <v>14</v>
      </c>
      <c r="AN67" t="s">
        <v>158</v>
      </c>
      <c r="AO67" s="128">
        <v>0.2</v>
      </c>
      <c r="AP67" s="142">
        <f t="shared" ref="AP67:AQ98" ca="1" si="30">RANDBETWEEN(10000,100000)</f>
        <v>52399</v>
      </c>
      <c r="AQ67" s="142">
        <f t="shared" ref="AQ67" ca="1" si="31">RANDBETWEEN(AP67,AP67+RANDBETWEEN(1000,10000))</f>
        <v>55465</v>
      </c>
      <c r="AT67" t="s">
        <v>8</v>
      </c>
      <c r="AU67" t="s">
        <v>126</v>
      </c>
      <c r="AV67" s="142">
        <f t="shared" ref="AV67:AW82" ca="1" si="32">RANDBETWEEN(10000,100000)</f>
        <v>45565</v>
      </c>
      <c r="AW67" s="142">
        <f t="shared" ca="1" si="32"/>
        <v>48216</v>
      </c>
      <c r="AX67" s="142">
        <f t="shared" ca="1" si="19"/>
        <v>99163</v>
      </c>
    </row>
    <row r="68" spans="2:50">
      <c r="B68" s="55" t="s">
        <v>17</v>
      </c>
      <c r="C68" t="s">
        <v>51</v>
      </c>
      <c r="D68" s="142">
        <f t="shared" ca="1" si="20"/>
        <v>999188</v>
      </c>
      <c r="E68" s="142">
        <f t="shared" ca="1" si="21"/>
        <v>1001690</v>
      </c>
      <c r="H68" s="55" t="s">
        <v>14</v>
      </c>
      <c r="I68" t="s">
        <v>47</v>
      </c>
      <c r="J68" s="142">
        <f t="shared" ca="1" si="22"/>
        <v>496861</v>
      </c>
      <c r="K68" s="142">
        <f t="shared" ca="1" si="23"/>
        <v>500649</v>
      </c>
      <c r="N68" s="55" t="s">
        <v>8</v>
      </c>
      <c r="O68" t="s">
        <v>50</v>
      </c>
      <c r="P68" s="142">
        <f t="shared" ca="1" si="24"/>
        <v>826344</v>
      </c>
      <c r="Q68" s="142">
        <f t="shared" ca="1" si="25"/>
        <v>827780</v>
      </c>
      <c r="T68" s="55" t="s">
        <v>16</v>
      </c>
      <c r="U68" t="s">
        <v>68</v>
      </c>
      <c r="V68" s="142">
        <f t="shared" ca="1" si="26"/>
        <v>418712</v>
      </c>
      <c r="W68" s="142">
        <f t="shared" ca="1" si="27"/>
        <v>423633</v>
      </c>
      <c r="AD68" s="142"/>
      <c r="AG68" t="s">
        <v>9</v>
      </c>
      <c r="AH68" t="s">
        <v>143</v>
      </c>
      <c r="AI68" s="142">
        <f t="shared" ca="1" si="28"/>
        <v>4934</v>
      </c>
      <c r="AJ68" s="142">
        <f t="shared" ca="1" si="29"/>
        <v>5130</v>
      </c>
      <c r="AM68" t="s">
        <v>9</v>
      </c>
      <c r="AN68" t="s">
        <v>126</v>
      </c>
      <c r="AO68" s="128">
        <v>0.2</v>
      </c>
      <c r="AP68" s="142">
        <f t="shared" ca="1" si="12"/>
        <v>31782</v>
      </c>
      <c r="AQ68" s="142">
        <f t="shared" ca="1" si="13"/>
        <v>33171</v>
      </c>
      <c r="AT68" t="s">
        <v>12</v>
      </c>
      <c r="AU68" t="s">
        <v>126</v>
      </c>
      <c r="AV68" s="142">
        <f t="shared" ca="1" si="32"/>
        <v>43204</v>
      </c>
      <c r="AW68" s="142">
        <f t="shared" ca="1" si="32"/>
        <v>97306</v>
      </c>
      <c r="AX68" s="142">
        <f t="shared" ca="1" si="19"/>
        <v>143033</v>
      </c>
    </row>
    <row r="69" spans="2:50">
      <c r="B69" s="55" t="s">
        <v>17</v>
      </c>
      <c r="C69" t="s">
        <v>50</v>
      </c>
      <c r="D69" s="142">
        <f t="shared" ca="1" si="20"/>
        <v>682035</v>
      </c>
      <c r="E69" s="142">
        <f t="shared" ca="1" si="21"/>
        <v>683241</v>
      </c>
      <c r="H69" s="55" t="s">
        <v>9</v>
      </c>
      <c r="I69" t="s">
        <v>47</v>
      </c>
      <c r="J69" s="142">
        <f t="shared" ca="1" si="22"/>
        <v>488165</v>
      </c>
      <c r="K69" s="142">
        <f t="shared" ca="1" si="23"/>
        <v>489091</v>
      </c>
      <c r="N69" s="55" t="s">
        <v>8</v>
      </c>
      <c r="O69" t="s">
        <v>44</v>
      </c>
      <c r="P69" s="142">
        <f t="shared" ca="1" si="24"/>
        <v>813023</v>
      </c>
      <c r="Q69" s="142">
        <f t="shared" ca="1" si="25"/>
        <v>816964</v>
      </c>
      <c r="T69" s="55" t="s">
        <v>16</v>
      </c>
      <c r="U69" t="s">
        <v>67</v>
      </c>
      <c r="V69" s="142">
        <f t="shared" ca="1" si="26"/>
        <v>976286</v>
      </c>
      <c r="W69" s="142">
        <f t="shared" ca="1" si="27"/>
        <v>980101</v>
      </c>
      <c r="AD69" s="142"/>
      <c r="AG69" t="s">
        <v>17</v>
      </c>
      <c r="AH69" t="s">
        <v>139</v>
      </c>
      <c r="AI69" s="142">
        <f t="shared" ca="1" si="28"/>
        <v>7773</v>
      </c>
      <c r="AJ69" s="142">
        <f t="shared" ca="1" si="29"/>
        <v>8254</v>
      </c>
      <c r="AM69" t="s">
        <v>15</v>
      </c>
      <c r="AN69" t="s">
        <v>126</v>
      </c>
      <c r="AO69" s="128">
        <v>0.2</v>
      </c>
      <c r="AP69" s="142">
        <f t="shared" ref="AP69:AP117" ca="1" si="33">RANDBETWEEN(10000,100000)</f>
        <v>10094</v>
      </c>
      <c r="AQ69" s="142">
        <f t="shared" ref="AQ69:AQ117" ca="1" si="34">RANDBETWEEN(AP69,AP69+RANDBETWEEN(1000,10000))</f>
        <v>15138</v>
      </c>
      <c r="AT69" t="s">
        <v>14</v>
      </c>
      <c r="AU69" t="s">
        <v>126</v>
      </c>
      <c r="AV69" s="142">
        <f t="shared" ca="1" si="32"/>
        <v>92771</v>
      </c>
      <c r="AW69" s="142">
        <f t="shared" ca="1" si="32"/>
        <v>46879</v>
      </c>
      <c r="AX69" s="142">
        <f t="shared" ca="1" si="19"/>
        <v>141031</v>
      </c>
    </row>
    <row r="70" spans="2:50">
      <c r="B70" s="55" t="s">
        <v>17</v>
      </c>
      <c r="C70" t="s">
        <v>46</v>
      </c>
      <c r="D70" s="142">
        <f t="shared" ca="1" si="20"/>
        <v>895814</v>
      </c>
      <c r="E70" s="142">
        <f t="shared" ca="1" si="21"/>
        <v>897171</v>
      </c>
      <c r="H70" s="55" t="s">
        <v>12</v>
      </c>
      <c r="I70" t="s">
        <v>47</v>
      </c>
      <c r="J70" s="142">
        <f t="shared" ca="1" si="22"/>
        <v>620204</v>
      </c>
      <c r="K70" s="142">
        <f t="shared" ca="1" si="23"/>
        <v>623870</v>
      </c>
      <c r="N70" s="55" t="s">
        <v>8</v>
      </c>
      <c r="O70" t="s">
        <v>48</v>
      </c>
      <c r="P70" s="142">
        <f t="shared" ca="1" si="24"/>
        <v>961233</v>
      </c>
      <c r="Q70" s="142">
        <f t="shared" ca="1" si="25"/>
        <v>969691</v>
      </c>
      <c r="T70" s="55" t="s">
        <v>16</v>
      </c>
      <c r="U70" t="s">
        <v>11</v>
      </c>
      <c r="V70" s="142">
        <f t="shared" ca="1" si="26"/>
        <v>492996</v>
      </c>
      <c r="W70" s="142">
        <f t="shared" ca="1" si="27"/>
        <v>493825</v>
      </c>
      <c r="AD70" s="142"/>
      <c r="AG70" t="s">
        <v>17</v>
      </c>
      <c r="AH70" t="s">
        <v>159</v>
      </c>
      <c r="AI70" s="142">
        <f t="shared" ca="1" si="28"/>
        <v>5977</v>
      </c>
      <c r="AJ70" s="142">
        <f t="shared" ca="1" si="29"/>
        <v>6201</v>
      </c>
      <c r="AM70" t="s">
        <v>8</v>
      </c>
      <c r="AN70" t="s">
        <v>126</v>
      </c>
      <c r="AO70" s="128">
        <v>0.2</v>
      </c>
      <c r="AP70" s="142">
        <f t="shared" ca="1" si="33"/>
        <v>89912</v>
      </c>
      <c r="AQ70" s="142">
        <f t="shared" ca="1" si="34"/>
        <v>94655</v>
      </c>
      <c r="AT70" t="s">
        <v>27</v>
      </c>
      <c r="AU70" t="s">
        <v>126</v>
      </c>
      <c r="AV70" s="142">
        <f t="shared" ca="1" si="32"/>
        <v>48296</v>
      </c>
      <c r="AW70" s="142">
        <f t="shared" ca="1" si="32"/>
        <v>53452</v>
      </c>
      <c r="AX70" s="142">
        <f t="shared" ca="1" si="19"/>
        <v>106084</v>
      </c>
    </row>
    <row r="71" spans="2:50">
      <c r="B71" s="55" t="s">
        <v>15</v>
      </c>
      <c r="C71" t="s">
        <v>50</v>
      </c>
      <c r="D71" s="142">
        <f t="shared" ca="1" si="20"/>
        <v>846506</v>
      </c>
      <c r="E71" s="142">
        <f t="shared" ca="1" si="21"/>
        <v>849993</v>
      </c>
      <c r="H71" s="55" t="s">
        <v>22</v>
      </c>
      <c r="I71" t="s">
        <v>47</v>
      </c>
      <c r="J71" s="142">
        <f t="shared" ca="1" si="22"/>
        <v>887693</v>
      </c>
      <c r="K71" s="142">
        <f t="shared" ca="1" si="23"/>
        <v>893690</v>
      </c>
      <c r="N71" s="55" t="s">
        <v>22</v>
      </c>
      <c r="O71" t="s">
        <v>50</v>
      </c>
      <c r="P71" s="142">
        <f t="shared" ca="1" si="24"/>
        <v>546536</v>
      </c>
      <c r="Q71" s="142">
        <f t="shared" ca="1" si="25"/>
        <v>551374</v>
      </c>
      <c r="T71" s="55" t="s">
        <v>16</v>
      </c>
      <c r="U71" t="s">
        <v>66</v>
      </c>
      <c r="V71" s="142">
        <f t="shared" ca="1" si="26"/>
        <v>105735</v>
      </c>
      <c r="W71" s="142">
        <f t="shared" ca="1" si="27"/>
        <v>112340</v>
      </c>
      <c r="AD71" s="142"/>
      <c r="AG71" t="s">
        <v>17</v>
      </c>
      <c r="AH71" t="s">
        <v>126</v>
      </c>
      <c r="AI71" s="142">
        <f t="shared" ca="1" si="28"/>
        <v>8584</v>
      </c>
      <c r="AJ71" s="142">
        <f t="shared" ca="1" si="29"/>
        <v>8998</v>
      </c>
      <c r="AM71" t="s">
        <v>12</v>
      </c>
      <c r="AN71" t="s">
        <v>126</v>
      </c>
      <c r="AO71" s="128">
        <v>0.2</v>
      </c>
      <c r="AP71" s="142">
        <f t="shared" ca="1" si="33"/>
        <v>35191</v>
      </c>
      <c r="AQ71" s="142">
        <f t="shared" ca="1" si="34"/>
        <v>36990</v>
      </c>
      <c r="AT71" t="s">
        <v>17</v>
      </c>
      <c r="AU71" t="s">
        <v>126</v>
      </c>
      <c r="AV71" s="142">
        <f t="shared" ca="1" si="32"/>
        <v>64874</v>
      </c>
      <c r="AW71" s="142">
        <f t="shared" ca="1" si="32"/>
        <v>47448</v>
      </c>
      <c r="AX71" s="142">
        <f t="shared" ca="1" si="19"/>
        <v>119374</v>
      </c>
    </row>
    <row r="72" spans="2:50">
      <c r="B72" s="55" t="s">
        <v>17</v>
      </c>
      <c r="C72" t="s">
        <v>49</v>
      </c>
      <c r="D72" s="142">
        <f t="shared" ca="1" si="20"/>
        <v>663802</v>
      </c>
      <c r="E72" s="142">
        <f t="shared" ca="1" si="21"/>
        <v>665738</v>
      </c>
      <c r="H72" s="55" t="s">
        <v>10</v>
      </c>
      <c r="I72" t="s">
        <v>47</v>
      </c>
      <c r="J72" s="142">
        <f t="shared" ca="1" si="22"/>
        <v>957470</v>
      </c>
      <c r="K72" s="142">
        <f t="shared" ca="1" si="23"/>
        <v>962928</v>
      </c>
      <c r="N72" s="55" t="s">
        <v>24</v>
      </c>
      <c r="O72" t="s">
        <v>51</v>
      </c>
      <c r="P72" s="142">
        <f t="shared" ca="1" si="24"/>
        <v>927039</v>
      </c>
      <c r="Q72" s="142">
        <f t="shared" ca="1" si="25"/>
        <v>927943</v>
      </c>
      <c r="T72" s="55" t="s">
        <v>26</v>
      </c>
      <c r="U72" t="s">
        <v>68</v>
      </c>
      <c r="V72" s="142">
        <f t="shared" ca="1" si="26"/>
        <v>594699</v>
      </c>
      <c r="W72" s="142">
        <f t="shared" ca="1" si="27"/>
        <v>597224</v>
      </c>
      <c r="AD72" s="142"/>
      <c r="AG72" t="s">
        <v>17</v>
      </c>
      <c r="AH72" t="s">
        <v>43</v>
      </c>
      <c r="AI72" s="142">
        <f t="shared" ca="1" si="28"/>
        <v>7773</v>
      </c>
      <c r="AJ72" s="142">
        <f t="shared" ca="1" si="29"/>
        <v>7972</v>
      </c>
      <c r="AM72" t="s">
        <v>14</v>
      </c>
      <c r="AN72" t="s">
        <v>126</v>
      </c>
      <c r="AO72" s="128">
        <v>0.2</v>
      </c>
      <c r="AP72" s="142">
        <f t="shared" ca="1" si="33"/>
        <v>33498</v>
      </c>
      <c r="AQ72" s="142">
        <f t="shared" ca="1" si="34"/>
        <v>35184</v>
      </c>
      <c r="AT72" t="s">
        <v>28</v>
      </c>
      <c r="AU72" t="s">
        <v>126</v>
      </c>
      <c r="AV72" s="142">
        <f t="shared" ca="1" si="32"/>
        <v>29409</v>
      </c>
      <c r="AW72" s="142">
        <f t="shared" ca="1" si="32"/>
        <v>99600</v>
      </c>
      <c r="AX72" s="142">
        <f t="shared" ca="1" si="19"/>
        <v>134002</v>
      </c>
    </row>
    <row r="73" spans="2:50">
      <c r="B73" s="55" t="s">
        <v>25</v>
      </c>
      <c r="C73" t="s">
        <v>47</v>
      </c>
      <c r="D73" s="142">
        <f t="shared" ca="1" si="20"/>
        <v>181249</v>
      </c>
      <c r="E73" s="142">
        <f t="shared" ca="1" si="21"/>
        <v>189124</v>
      </c>
      <c r="H73" s="55" t="s">
        <v>27</v>
      </c>
      <c r="I73" t="s">
        <v>47</v>
      </c>
      <c r="J73" s="142">
        <f t="shared" ca="1" si="22"/>
        <v>453081</v>
      </c>
      <c r="K73" s="142">
        <f t="shared" ca="1" si="23"/>
        <v>453630</v>
      </c>
      <c r="N73" s="55" t="s">
        <v>24</v>
      </c>
      <c r="O73" t="s">
        <v>45</v>
      </c>
      <c r="P73" s="142">
        <f t="shared" ca="1" si="24"/>
        <v>292313</v>
      </c>
      <c r="Q73" s="142">
        <f t="shared" ca="1" si="25"/>
        <v>297886</v>
      </c>
      <c r="T73" s="55" t="s">
        <v>24</v>
      </c>
      <c r="U73" t="s">
        <v>68</v>
      </c>
      <c r="V73" s="142">
        <f t="shared" ca="1" si="26"/>
        <v>324301</v>
      </c>
      <c r="W73" s="142">
        <f t="shared" ca="1" si="27"/>
        <v>325613</v>
      </c>
      <c r="AD73" s="142"/>
      <c r="AG73" t="s">
        <v>17</v>
      </c>
      <c r="AH73" t="s">
        <v>157</v>
      </c>
      <c r="AI73" s="142">
        <f t="shared" ca="1" si="28"/>
        <v>6248</v>
      </c>
      <c r="AJ73" s="142">
        <f t="shared" ca="1" si="29"/>
        <v>6424</v>
      </c>
      <c r="AM73" t="s">
        <v>27</v>
      </c>
      <c r="AN73" t="s">
        <v>126</v>
      </c>
      <c r="AO73" s="128">
        <v>0.2</v>
      </c>
      <c r="AP73" s="142">
        <f t="shared" ca="1" si="33"/>
        <v>74193</v>
      </c>
      <c r="AQ73" s="142">
        <f t="shared" ca="1" si="34"/>
        <v>81825</v>
      </c>
      <c r="AT73" t="s">
        <v>9</v>
      </c>
      <c r="AU73" t="s">
        <v>171</v>
      </c>
      <c r="AV73" s="142">
        <f t="shared" ca="1" si="32"/>
        <v>10402</v>
      </c>
      <c r="AW73" s="142">
        <f t="shared" ca="1" si="32"/>
        <v>99594</v>
      </c>
      <c r="AX73" s="142">
        <f t="shared" ca="1" si="19"/>
        <v>110464</v>
      </c>
    </row>
    <row r="74" spans="2:50">
      <c r="B74" s="55" t="s">
        <v>29</v>
      </c>
      <c r="C74" t="s">
        <v>47</v>
      </c>
      <c r="D74" s="142">
        <f t="shared" ca="1" si="20"/>
        <v>840735</v>
      </c>
      <c r="E74" s="142">
        <f t="shared" ca="1" si="21"/>
        <v>845376</v>
      </c>
      <c r="H74" s="55" t="s">
        <v>23</v>
      </c>
      <c r="I74" t="s">
        <v>47</v>
      </c>
      <c r="J74" s="142">
        <f t="shared" ca="1" si="22"/>
        <v>512082</v>
      </c>
      <c r="K74" s="142">
        <f t="shared" ca="1" si="23"/>
        <v>515081</v>
      </c>
      <c r="N74" s="55" t="s">
        <v>26</v>
      </c>
      <c r="O74" t="s">
        <v>51</v>
      </c>
      <c r="P74" s="142">
        <f t="shared" ca="1" si="24"/>
        <v>422794</v>
      </c>
      <c r="Q74" s="142">
        <f t="shared" ca="1" si="25"/>
        <v>424437</v>
      </c>
      <c r="T74" s="55" t="s">
        <v>25</v>
      </c>
      <c r="U74" t="s">
        <v>68</v>
      </c>
      <c r="V74" s="142">
        <f t="shared" ca="1" si="26"/>
        <v>691013</v>
      </c>
      <c r="W74" s="142">
        <f t="shared" ca="1" si="27"/>
        <v>692275</v>
      </c>
      <c r="AD74" s="142"/>
      <c r="AG74" t="s">
        <v>17</v>
      </c>
      <c r="AH74" t="s">
        <v>143</v>
      </c>
      <c r="AI74" s="142">
        <f t="shared" ca="1" si="28"/>
        <v>9581</v>
      </c>
      <c r="AJ74" s="142">
        <f t="shared" ca="1" si="29"/>
        <v>10307</v>
      </c>
      <c r="AM74" t="s">
        <v>17</v>
      </c>
      <c r="AN74" t="s">
        <v>126</v>
      </c>
      <c r="AO74" s="128">
        <v>0.2</v>
      </c>
      <c r="AP74" s="142">
        <f t="shared" ca="1" si="33"/>
        <v>40957</v>
      </c>
      <c r="AQ74" s="142">
        <f t="shared" ca="1" si="34"/>
        <v>42114</v>
      </c>
      <c r="AT74" t="s">
        <v>15</v>
      </c>
      <c r="AU74" t="s">
        <v>171</v>
      </c>
      <c r="AV74" s="142">
        <f t="shared" ca="1" si="32"/>
        <v>86159</v>
      </c>
      <c r="AW74" s="142">
        <f t="shared" ca="1" si="32"/>
        <v>32712</v>
      </c>
      <c r="AX74" s="142">
        <f t="shared" ca="1" si="19"/>
        <v>125757</v>
      </c>
    </row>
    <row r="75" spans="2:50">
      <c r="B75" s="55" t="s">
        <v>26</v>
      </c>
      <c r="C75" t="s">
        <v>47</v>
      </c>
      <c r="D75" s="142">
        <f t="shared" ca="1" si="20"/>
        <v>625688</v>
      </c>
      <c r="E75" s="142">
        <f t="shared" ca="1" si="21"/>
        <v>629056</v>
      </c>
      <c r="H75" s="55" t="s">
        <v>17</v>
      </c>
      <c r="I75" t="s">
        <v>47</v>
      </c>
      <c r="J75" s="142">
        <f t="shared" ca="1" si="22"/>
        <v>288053</v>
      </c>
      <c r="K75" s="142">
        <f t="shared" ca="1" si="23"/>
        <v>292048</v>
      </c>
      <c r="N75" s="55" t="s">
        <v>26</v>
      </c>
      <c r="O75" t="s">
        <v>45</v>
      </c>
      <c r="P75" s="142">
        <f t="shared" ca="1" si="24"/>
        <v>731272</v>
      </c>
      <c r="Q75" s="142">
        <f t="shared" ca="1" si="25"/>
        <v>734676</v>
      </c>
      <c r="T75" s="55" t="s">
        <v>29</v>
      </c>
      <c r="U75" t="s">
        <v>68</v>
      </c>
      <c r="V75" s="142">
        <f t="shared" ca="1" si="26"/>
        <v>189330</v>
      </c>
      <c r="W75" s="142">
        <f t="shared" ca="1" si="27"/>
        <v>192149</v>
      </c>
      <c r="AD75" s="142"/>
      <c r="AG75" t="s">
        <v>17</v>
      </c>
      <c r="AH75" t="s">
        <v>134</v>
      </c>
      <c r="AI75" s="142">
        <f t="shared" ca="1" si="28"/>
        <v>3905</v>
      </c>
      <c r="AJ75" s="142">
        <f t="shared" ca="1" si="29"/>
        <v>4025</v>
      </c>
      <c r="AM75" t="s">
        <v>28</v>
      </c>
      <c r="AN75" t="s">
        <v>126</v>
      </c>
      <c r="AO75" s="128">
        <v>0.2</v>
      </c>
      <c r="AP75" s="142">
        <f t="shared" ca="1" si="33"/>
        <v>98281</v>
      </c>
      <c r="AQ75" s="142">
        <f t="shared" ca="1" si="34"/>
        <v>101117</v>
      </c>
      <c r="AT75" t="s">
        <v>8</v>
      </c>
      <c r="AU75" t="s">
        <v>171</v>
      </c>
      <c r="AV75" s="142">
        <f t="shared" ca="1" si="32"/>
        <v>71796</v>
      </c>
      <c r="AW75" s="142">
        <f t="shared" ca="1" si="32"/>
        <v>61991</v>
      </c>
      <c r="AX75" s="142">
        <f t="shared" ca="1" si="19"/>
        <v>141740</v>
      </c>
    </row>
    <row r="76" spans="2:50">
      <c r="B76" s="55" t="s">
        <v>24</v>
      </c>
      <c r="C76" t="s">
        <v>47</v>
      </c>
      <c r="D76" s="142">
        <f t="shared" ca="1" si="20"/>
        <v>987652</v>
      </c>
      <c r="E76" s="142">
        <f t="shared" ca="1" si="21"/>
        <v>989644</v>
      </c>
      <c r="H76" s="55" t="s">
        <v>28</v>
      </c>
      <c r="I76" t="s">
        <v>47</v>
      </c>
      <c r="J76" s="142">
        <f t="shared" ca="1" si="22"/>
        <v>728321</v>
      </c>
      <c r="K76" s="142">
        <f t="shared" ca="1" si="23"/>
        <v>728498</v>
      </c>
      <c r="N76" s="55" t="s">
        <v>29</v>
      </c>
      <c r="O76" t="s">
        <v>51</v>
      </c>
      <c r="P76" s="142">
        <f t="shared" ca="1" si="24"/>
        <v>362301</v>
      </c>
      <c r="Q76" s="142">
        <f t="shared" ca="1" si="25"/>
        <v>362808</v>
      </c>
      <c r="T76" s="55">
        <v>2021</v>
      </c>
      <c r="U76" t="s">
        <v>68</v>
      </c>
      <c r="V76" s="142">
        <f t="shared" ca="1" si="26"/>
        <v>908313</v>
      </c>
      <c r="W76" s="142">
        <f t="shared" ca="1" si="27"/>
        <v>909708</v>
      </c>
      <c r="AD76" s="142"/>
      <c r="AG76" t="s">
        <v>27</v>
      </c>
      <c r="AH76" t="s">
        <v>43</v>
      </c>
      <c r="AI76" s="142">
        <f t="shared" ca="1" si="28"/>
        <v>5898</v>
      </c>
      <c r="AJ76" s="142">
        <f t="shared" ca="1" si="29"/>
        <v>5977</v>
      </c>
      <c r="AM76" t="s">
        <v>10</v>
      </c>
      <c r="AN76" t="s">
        <v>171</v>
      </c>
      <c r="AO76" s="128">
        <v>0</v>
      </c>
      <c r="AP76" s="142">
        <f t="shared" ca="1" si="33"/>
        <v>96072</v>
      </c>
      <c r="AQ76" s="142">
        <f t="shared" ca="1" si="34"/>
        <v>98245</v>
      </c>
      <c r="AT76" t="s">
        <v>12</v>
      </c>
      <c r="AU76" t="s">
        <v>171</v>
      </c>
      <c r="AV76" s="142">
        <f t="shared" ca="1" si="32"/>
        <v>14875</v>
      </c>
      <c r="AW76" s="142">
        <f t="shared" ca="1" si="32"/>
        <v>98540</v>
      </c>
      <c r="AX76" s="142">
        <f t="shared" ca="1" si="19"/>
        <v>117520</v>
      </c>
    </row>
    <row r="77" spans="2:50">
      <c r="B77" s="55">
        <v>2021</v>
      </c>
      <c r="C77" t="s">
        <v>47</v>
      </c>
      <c r="D77" s="142">
        <f t="shared" ca="1" si="20"/>
        <v>559678</v>
      </c>
      <c r="E77" s="142">
        <f t="shared" ca="1" si="21"/>
        <v>564362</v>
      </c>
      <c r="H77" s="55" t="s">
        <v>16</v>
      </c>
      <c r="I77" t="s">
        <v>47</v>
      </c>
      <c r="J77" s="142">
        <f t="shared" ca="1" si="22"/>
        <v>541498</v>
      </c>
      <c r="K77" s="142">
        <f t="shared" ca="1" si="23"/>
        <v>541957</v>
      </c>
      <c r="N77" s="55" t="s">
        <v>29</v>
      </c>
      <c r="O77" t="s">
        <v>45</v>
      </c>
      <c r="P77" s="142">
        <f t="shared" ca="1" si="24"/>
        <v>620297</v>
      </c>
      <c r="Q77" s="142">
        <f t="shared" ca="1" si="25"/>
        <v>628173</v>
      </c>
      <c r="T77" s="55" t="s">
        <v>9</v>
      </c>
      <c r="U77" t="s">
        <v>13</v>
      </c>
      <c r="V77" s="142">
        <f t="shared" ca="1" si="26"/>
        <v>540740</v>
      </c>
      <c r="W77" s="142">
        <f t="shared" ca="1" si="27"/>
        <v>545225</v>
      </c>
      <c r="AD77" s="142"/>
      <c r="AG77" t="s">
        <v>27</v>
      </c>
      <c r="AH77" t="s">
        <v>134</v>
      </c>
      <c r="AI77" s="142">
        <f t="shared" ca="1" si="28"/>
        <v>3538</v>
      </c>
      <c r="AJ77" s="142">
        <f t="shared" ca="1" si="29"/>
        <v>3998</v>
      </c>
      <c r="AM77" t="s">
        <v>9</v>
      </c>
      <c r="AN77" t="s">
        <v>171</v>
      </c>
      <c r="AO77" s="128">
        <v>0</v>
      </c>
      <c r="AP77" s="142">
        <f t="shared" ca="1" si="33"/>
        <v>78350</v>
      </c>
      <c r="AQ77" s="142">
        <f t="shared" ca="1" si="34"/>
        <v>79701</v>
      </c>
      <c r="AT77" t="s">
        <v>14</v>
      </c>
      <c r="AU77" t="s">
        <v>171</v>
      </c>
      <c r="AV77" s="142">
        <f t="shared" ca="1" si="32"/>
        <v>61795</v>
      </c>
      <c r="AW77" s="142">
        <f t="shared" ca="1" si="32"/>
        <v>86176</v>
      </c>
      <c r="AX77" s="142">
        <f t="shared" ca="1" si="19"/>
        <v>155236</v>
      </c>
    </row>
    <row r="78" spans="2:50">
      <c r="B78" s="55" t="s">
        <v>26</v>
      </c>
      <c r="C78" t="s">
        <v>49</v>
      </c>
      <c r="D78" s="142">
        <f t="shared" ca="1" si="20"/>
        <v>472395</v>
      </c>
      <c r="E78" s="142">
        <f t="shared" ca="1" si="21"/>
        <v>472636</v>
      </c>
      <c r="H78" s="55" t="s">
        <v>25</v>
      </c>
      <c r="I78" t="s">
        <v>47</v>
      </c>
      <c r="J78" s="142">
        <f t="shared" ca="1" si="22"/>
        <v>161632</v>
      </c>
      <c r="K78" s="142">
        <f t="shared" ca="1" si="23"/>
        <v>169537</v>
      </c>
      <c r="N78" s="55" t="s">
        <v>25</v>
      </c>
      <c r="O78" t="s">
        <v>51</v>
      </c>
      <c r="P78" s="142">
        <f t="shared" ca="1" si="24"/>
        <v>964709</v>
      </c>
      <c r="Q78" s="142">
        <f t="shared" ca="1" si="25"/>
        <v>965205</v>
      </c>
      <c r="T78" s="55" t="s">
        <v>9</v>
      </c>
      <c r="U78" t="s">
        <v>76</v>
      </c>
      <c r="V78" s="142">
        <f t="shared" ca="1" si="26"/>
        <v>550413</v>
      </c>
      <c r="W78" s="142">
        <f t="shared" ca="1" si="27"/>
        <v>558125</v>
      </c>
      <c r="AD78" s="142"/>
      <c r="AG78" t="s">
        <v>27</v>
      </c>
      <c r="AH78" t="s">
        <v>159</v>
      </c>
      <c r="AI78" s="142">
        <f t="shared" ca="1" si="28"/>
        <v>7574</v>
      </c>
      <c r="AJ78" s="142">
        <f t="shared" ca="1" si="29"/>
        <v>7815</v>
      </c>
      <c r="AM78" t="s">
        <v>15</v>
      </c>
      <c r="AN78" t="s">
        <v>171</v>
      </c>
      <c r="AO78" s="128">
        <v>0</v>
      </c>
      <c r="AP78" s="142">
        <f t="shared" ca="1" si="33"/>
        <v>76372</v>
      </c>
      <c r="AQ78" s="142">
        <f t="shared" ca="1" si="34"/>
        <v>77480</v>
      </c>
      <c r="AT78" t="s">
        <v>27</v>
      </c>
      <c r="AU78" t="s">
        <v>171</v>
      </c>
      <c r="AV78" s="142">
        <f t="shared" ca="1" si="32"/>
        <v>15044</v>
      </c>
      <c r="AW78" s="142">
        <f t="shared" ca="1" si="32"/>
        <v>54790</v>
      </c>
      <c r="AX78" s="142">
        <f t="shared" ca="1" si="19"/>
        <v>74677</v>
      </c>
    </row>
    <row r="79" spans="2:50">
      <c r="B79" s="55" t="s">
        <v>25</v>
      </c>
      <c r="C79" t="s">
        <v>52</v>
      </c>
      <c r="D79" s="142">
        <f t="shared" ca="1" si="20"/>
        <v>751220</v>
      </c>
      <c r="E79" s="142">
        <f t="shared" ca="1" si="21"/>
        <v>754643</v>
      </c>
      <c r="H79" s="55" t="s">
        <v>29</v>
      </c>
      <c r="I79" t="s">
        <v>47</v>
      </c>
      <c r="J79" s="142">
        <f t="shared" ca="1" si="22"/>
        <v>117290</v>
      </c>
      <c r="K79" s="142">
        <f t="shared" ca="1" si="23"/>
        <v>117944</v>
      </c>
      <c r="N79" s="55" t="s">
        <v>25</v>
      </c>
      <c r="O79" t="s">
        <v>45</v>
      </c>
      <c r="P79" s="142">
        <f t="shared" ca="1" si="24"/>
        <v>119099</v>
      </c>
      <c r="Q79" s="142">
        <f t="shared" ca="1" si="25"/>
        <v>124422</v>
      </c>
      <c r="T79" s="55" t="s">
        <v>9</v>
      </c>
      <c r="U79" t="s">
        <v>75</v>
      </c>
      <c r="V79" s="142">
        <f t="shared" ca="1" si="26"/>
        <v>434680</v>
      </c>
      <c r="W79" s="142">
        <f t="shared" ca="1" si="27"/>
        <v>435462</v>
      </c>
      <c r="AD79" s="142"/>
      <c r="AG79" t="s">
        <v>27</v>
      </c>
      <c r="AH79" t="s">
        <v>126</v>
      </c>
      <c r="AI79" s="142">
        <f t="shared" ca="1" si="28"/>
        <v>5125</v>
      </c>
      <c r="AJ79" s="142">
        <f t="shared" ca="1" si="29"/>
        <v>5542</v>
      </c>
      <c r="AM79" t="s">
        <v>8</v>
      </c>
      <c r="AN79" t="s">
        <v>171</v>
      </c>
      <c r="AO79" s="128">
        <v>0</v>
      </c>
      <c r="AP79" s="142">
        <f t="shared" ca="1" si="33"/>
        <v>76315</v>
      </c>
      <c r="AQ79" s="142">
        <f t="shared" ca="1" si="34"/>
        <v>77078</v>
      </c>
      <c r="AT79" t="s">
        <v>17</v>
      </c>
      <c r="AU79" t="s">
        <v>171</v>
      </c>
      <c r="AV79" s="142">
        <f t="shared" ca="1" si="32"/>
        <v>99854</v>
      </c>
      <c r="AW79" s="142">
        <f t="shared" ca="1" si="32"/>
        <v>48088</v>
      </c>
      <c r="AX79" s="142">
        <f t="shared" ca="1" si="19"/>
        <v>156063</v>
      </c>
    </row>
    <row r="80" spans="2:50">
      <c r="B80" s="55" t="s">
        <v>25</v>
      </c>
      <c r="C80" t="s">
        <v>49</v>
      </c>
      <c r="D80" s="142">
        <f t="shared" ca="1" si="20"/>
        <v>103686</v>
      </c>
      <c r="E80" s="142">
        <f t="shared" ca="1" si="21"/>
        <v>110405</v>
      </c>
      <c r="H80" s="55" t="s">
        <v>24</v>
      </c>
      <c r="I80" t="s">
        <v>47</v>
      </c>
      <c r="J80" s="142">
        <f t="shared" ca="1" si="22"/>
        <v>344039</v>
      </c>
      <c r="K80" s="142">
        <f t="shared" ca="1" si="23"/>
        <v>350038</v>
      </c>
      <c r="N80" s="55" t="s">
        <v>29</v>
      </c>
      <c r="O80" t="s">
        <v>42</v>
      </c>
      <c r="P80" s="142">
        <f t="shared" ca="1" si="24"/>
        <v>469820</v>
      </c>
      <c r="Q80" s="142">
        <f t="shared" ca="1" si="25"/>
        <v>476454</v>
      </c>
      <c r="T80" s="55" t="s">
        <v>9</v>
      </c>
      <c r="U80" t="s">
        <v>73</v>
      </c>
      <c r="V80" s="142">
        <f t="shared" ca="1" si="26"/>
        <v>437450</v>
      </c>
      <c r="W80" s="142">
        <f t="shared" ca="1" si="27"/>
        <v>443016</v>
      </c>
      <c r="AD80" s="142"/>
      <c r="AG80" t="s">
        <v>27</v>
      </c>
      <c r="AH80" t="s">
        <v>143</v>
      </c>
      <c r="AI80" s="142">
        <f t="shared" ca="1" si="28"/>
        <v>7135</v>
      </c>
      <c r="AJ80" s="142">
        <f t="shared" ca="1" si="29"/>
        <v>7805</v>
      </c>
      <c r="AM80" t="s">
        <v>12</v>
      </c>
      <c r="AN80" t="s">
        <v>171</v>
      </c>
      <c r="AO80" s="128">
        <v>0</v>
      </c>
      <c r="AP80" s="142">
        <f t="shared" ca="1" si="33"/>
        <v>35363</v>
      </c>
      <c r="AQ80" s="142">
        <f t="shared" ca="1" si="34"/>
        <v>37974</v>
      </c>
      <c r="AT80" t="s">
        <v>28</v>
      </c>
      <c r="AU80" t="s">
        <v>171</v>
      </c>
      <c r="AV80" s="142">
        <f t="shared" ca="1" si="32"/>
        <v>19550</v>
      </c>
      <c r="AW80" s="142">
        <f t="shared" ca="1" si="32"/>
        <v>11843</v>
      </c>
      <c r="AX80" s="142">
        <f t="shared" ca="1" si="19"/>
        <v>31755</v>
      </c>
    </row>
    <row r="81" spans="2:50">
      <c r="B81" s="55" t="s">
        <v>24</v>
      </c>
      <c r="C81" t="s">
        <v>49</v>
      </c>
      <c r="D81" s="142">
        <f t="shared" ca="1" si="20"/>
        <v>201582</v>
      </c>
      <c r="E81" s="142">
        <f t="shared" ca="1" si="21"/>
        <v>204669</v>
      </c>
      <c r="H81" s="55" t="s">
        <v>26</v>
      </c>
      <c r="I81" t="s">
        <v>47</v>
      </c>
      <c r="J81" s="142">
        <f t="shared" ca="1" si="22"/>
        <v>963606</v>
      </c>
      <c r="K81" s="142">
        <f t="shared" ca="1" si="23"/>
        <v>964509</v>
      </c>
      <c r="N81" s="55" t="s">
        <v>26</v>
      </c>
      <c r="O81" t="s">
        <v>42</v>
      </c>
      <c r="P81" s="142">
        <f t="shared" ca="1" si="24"/>
        <v>318614</v>
      </c>
      <c r="Q81" s="142">
        <f t="shared" ca="1" si="25"/>
        <v>323675</v>
      </c>
      <c r="T81" s="55" t="s">
        <v>9</v>
      </c>
      <c r="U81" t="s">
        <v>77</v>
      </c>
      <c r="V81" s="142">
        <f t="shared" ca="1" si="26"/>
        <v>367460</v>
      </c>
      <c r="W81" s="142">
        <f t="shared" ca="1" si="27"/>
        <v>370149</v>
      </c>
      <c r="AD81" s="142"/>
      <c r="AG81" t="s">
        <v>27</v>
      </c>
      <c r="AH81" t="s">
        <v>139</v>
      </c>
      <c r="AI81" s="142">
        <f t="shared" ca="1" si="28"/>
        <v>8070</v>
      </c>
      <c r="AJ81" s="142">
        <f t="shared" ca="1" si="29"/>
        <v>8241</v>
      </c>
      <c r="AM81" t="s">
        <v>14</v>
      </c>
      <c r="AN81" t="s">
        <v>171</v>
      </c>
      <c r="AO81" s="128">
        <v>0</v>
      </c>
      <c r="AP81" s="142">
        <f t="shared" ca="1" si="33"/>
        <v>96179</v>
      </c>
      <c r="AQ81" s="142">
        <f t="shared" ca="1" si="34"/>
        <v>96949</v>
      </c>
      <c r="AT81" t="s">
        <v>9</v>
      </c>
      <c r="AU81" t="s">
        <v>158</v>
      </c>
      <c r="AV81" s="142">
        <f t="shared" ca="1" si="32"/>
        <v>26167</v>
      </c>
      <c r="AW81" s="142">
        <f t="shared" ca="1" si="32"/>
        <v>94338</v>
      </c>
      <c r="AX81" s="142">
        <f t="shared" ca="1" si="19"/>
        <v>121200</v>
      </c>
    </row>
    <row r="82" spans="2:50">
      <c r="B82" s="55" t="s">
        <v>29</v>
      </c>
      <c r="C82" t="s">
        <v>49</v>
      </c>
      <c r="D82" s="142">
        <f t="shared" ca="1" si="20"/>
        <v>175318</v>
      </c>
      <c r="E82" s="142">
        <f t="shared" ca="1" si="21"/>
        <v>178041</v>
      </c>
      <c r="H82" s="55">
        <v>2021</v>
      </c>
      <c r="I82" t="s">
        <v>47</v>
      </c>
      <c r="J82" s="142">
        <f t="shared" ca="1" si="22"/>
        <v>173312</v>
      </c>
      <c r="K82" s="142">
        <f t="shared" ca="1" si="23"/>
        <v>176512</v>
      </c>
      <c r="N82" s="55" t="s">
        <v>25</v>
      </c>
      <c r="O82" t="s">
        <v>42</v>
      </c>
      <c r="P82" s="142">
        <f t="shared" ca="1" si="24"/>
        <v>840114</v>
      </c>
      <c r="Q82" s="142">
        <f t="shared" ca="1" si="25"/>
        <v>840598</v>
      </c>
      <c r="T82" s="55" t="s">
        <v>28</v>
      </c>
      <c r="U82" t="s">
        <v>67</v>
      </c>
      <c r="V82" s="142">
        <f t="shared" ca="1" si="26"/>
        <v>689394</v>
      </c>
      <c r="W82" s="142">
        <f t="shared" ca="1" si="27"/>
        <v>689902</v>
      </c>
      <c r="AD82" s="142"/>
      <c r="AG82" t="s">
        <v>27</v>
      </c>
      <c r="AH82" t="s">
        <v>157</v>
      </c>
      <c r="AI82" s="142">
        <f t="shared" ca="1" si="28"/>
        <v>9971</v>
      </c>
      <c r="AJ82" s="142">
        <f t="shared" ca="1" si="29"/>
        <v>10437</v>
      </c>
      <c r="AM82" t="s">
        <v>27</v>
      </c>
      <c r="AN82" t="s">
        <v>171</v>
      </c>
      <c r="AO82" s="128">
        <v>0</v>
      </c>
      <c r="AP82" s="142">
        <f t="shared" ca="1" si="33"/>
        <v>58246</v>
      </c>
      <c r="AQ82" s="142">
        <f t="shared" ca="1" si="34"/>
        <v>61846</v>
      </c>
      <c r="AT82" t="s">
        <v>15</v>
      </c>
      <c r="AU82" t="s">
        <v>158</v>
      </c>
      <c r="AV82" s="142">
        <f t="shared" ca="1" si="32"/>
        <v>50535</v>
      </c>
      <c r="AW82" s="142">
        <f t="shared" ca="1" si="32"/>
        <v>23034</v>
      </c>
      <c r="AX82" s="142">
        <f t="shared" ca="1" si="19"/>
        <v>75665</v>
      </c>
    </row>
    <row r="83" spans="2:50">
      <c r="B83" s="55" t="s">
        <v>24</v>
      </c>
      <c r="C83" t="s">
        <v>52</v>
      </c>
      <c r="D83" s="142">
        <f t="shared" ca="1" si="20"/>
        <v>790644</v>
      </c>
      <c r="E83" s="142">
        <f t="shared" ca="1" si="21"/>
        <v>798380</v>
      </c>
      <c r="H83" s="55" t="s">
        <v>9</v>
      </c>
      <c r="I83" t="s">
        <v>51</v>
      </c>
      <c r="J83" s="142">
        <f t="shared" ca="1" si="22"/>
        <v>418239</v>
      </c>
      <c r="K83" s="142">
        <f t="shared" ca="1" si="23"/>
        <v>418702</v>
      </c>
      <c r="N83" s="55" t="s">
        <v>24</v>
      </c>
      <c r="O83" t="s">
        <v>42</v>
      </c>
      <c r="P83" s="142">
        <f t="shared" ca="1" si="24"/>
        <v>750150</v>
      </c>
      <c r="Q83" s="142">
        <f t="shared" ca="1" si="25"/>
        <v>751684</v>
      </c>
      <c r="T83" s="55" t="s">
        <v>28</v>
      </c>
      <c r="U83" t="s">
        <v>11</v>
      </c>
      <c r="V83" s="142">
        <f t="shared" ca="1" si="26"/>
        <v>314881</v>
      </c>
      <c r="W83" s="142">
        <f t="shared" ca="1" si="27"/>
        <v>316656</v>
      </c>
      <c r="AD83" s="142"/>
      <c r="AG83" t="s">
        <v>24</v>
      </c>
      <c r="AH83" t="s">
        <v>139</v>
      </c>
      <c r="AI83" s="142">
        <f t="shared" ca="1" si="28"/>
        <v>2537</v>
      </c>
      <c r="AJ83" s="142">
        <f t="shared" ca="1" si="29"/>
        <v>2625</v>
      </c>
      <c r="AM83" t="s">
        <v>17</v>
      </c>
      <c r="AN83" t="s">
        <v>171</v>
      </c>
      <c r="AO83" s="128">
        <v>0</v>
      </c>
      <c r="AP83" s="142">
        <f t="shared" ca="1" si="33"/>
        <v>33040</v>
      </c>
      <c r="AQ83" s="142">
        <f t="shared" ca="1" si="34"/>
        <v>34016</v>
      </c>
      <c r="AT83" t="s">
        <v>8</v>
      </c>
      <c r="AU83" t="s">
        <v>158</v>
      </c>
      <c r="AV83" s="142">
        <f t="shared" ref="AV83:AW98" ca="1" si="35">RANDBETWEEN(10000,100000)</f>
        <v>20386</v>
      </c>
      <c r="AW83" s="142">
        <f t="shared" ca="1" si="35"/>
        <v>40000</v>
      </c>
      <c r="AX83" s="142">
        <f t="shared" ca="1" si="19"/>
        <v>61229</v>
      </c>
    </row>
    <row r="84" spans="2:50">
      <c r="B84" s="55" t="s">
        <v>24</v>
      </c>
      <c r="C84" t="s">
        <v>50</v>
      </c>
      <c r="D84" s="142">
        <f t="shared" ca="1" si="20"/>
        <v>218492</v>
      </c>
      <c r="E84" s="142">
        <f t="shared" ca="1" si="21"/>
        <v>220099</v>
      </c>
      <c r="H84" s="55" t="s">
        <v>17</v>
      </c>
      <c r="I84" t="s">
        <v>51</v>
      </c>
      <c r="J84" s="142">
        <f t="shared" ca="1" si="22"/>
        <v>867828</v>
      </c>
      <c r="K84" s="142">
        <f t="shared" ca="1" si="23"/>
        <v>868331</v>
      </c>
      <c r="N84" s="55">
        <v>2021</v>
      </c>
      <c r="O84" t="s">
        <v>51</v>
      </c>
      <c r="P84" s="142">
        <f t="shared" ca="1" si="24"/>
        <v>375535</v>
      </c>
      <c r="Q84" s="142">
        <f t="shared" ca="1" si="25"/>
        <v>382828</v>
      </c>
      <c r="T84" s="55" t="s">
        <v>28</v>
      </c>
      <c r="U84" t="s">
        <v>13</v>
      </c>
      <c r="V84" s="142">
        <f t="shared" ca="1" si="26"/>
        <v>330619</v>
      </c>
      <c r="W84" s="142">
        <f t="shared" ca="1" si="27"/>
        <v>331309</v>
      </c>
      <c r="AD84" s="142"/>
      <c r="AG84" t="s">
        <v>24</v>
      </c>
      <c r="AH84" t="s">
        <v>157</v>
      </c>
      <c r="AI84" s="142">
        <f t="shared" ca="1" si="28"/>
        <v>3450</v>
      </c>
      <c r="AJ84" s="142">
        <f t="shared" ca="1" si="29"/>
        <v>4202</v>
      </c>
      <c r="AM84" t="s">
        <v>28</v>
      </c>
      <c r="AN84" t="s">
        <v>171</v>
      </c>
      <c r="AO84" s="128">
        <v>0</v>
      </c>
      <c r="AP84" s="142">
        <f t="shared" ca="1" si="33"/>
        <v>65477</v>
      </c>
      <c r="AQ84" s="142">
        <f t="shared" ca="1" si="34"/>
        <v>68247</v>
      </c>
      <c r="AT84" t="s">
        <v>12</v>
      </c>
      <c r="AU84" t="s">
        <v>158</v>
      </c>
      <c r="AV84" s="142">
        <f t="shared" ca="1" si="35"/>
        <v>43590</v>
      </c>
      <c r="AW84" s="142">
        <f t="shared" ca="1" si="35"/>
        <v>18575</v>
      </c>
      <c r="AX84" s="142">
        <f t="shared" ca="1" si="19"/>
        <v>70054</v>
      </c>
    </row>
    <row r="85" spans="2:50">
      <c r="B85" s="55" t="s">
        <v>26</v>
      </c>
      <c r="C85" t="s">
        <v>50</v>
      </c>
      <c r="D85" s="142">
        <f t="shared" ca="1" si="20"/>
        <v>819167</v>
      </c>
      <c r="E85" s="142">
        <f t="shared" ca="1" si="21"/>
        <v>821067</v>
      </c>
      <c r="H85" s="55" t="s">
        <v>9</v>
      </c>
      <c r="I85" t="s">
        <v>45</v>
      </c>
      <c r="J85" s="142">
        <f t="shared" ca="1" si="22"/>
        <v>125396</v>
      </c>
      <c r="K85" s="142">
        <f t="shared" ca="1" si="23"/>
        <v>126542</v>
      </c>
      <c r="N85" s="55">
        <v>2021</v>
      </c>
      <c r="O85" t="s">
        <v>45</v>
      </c>
      <c r="P85" s="142">
        <f t="shared" ca="1" si="24"/>
        <v>552175</v>
      </c>
      <c r="Q85" s="142">
        <f t="shared" ca="1" si="25"/>
        <v>557671</v>
      </c>
      <c r="T85" s="55" t="s">
        <v>9</v>
      </c>
      <c r="U85" t="s">
        <v>69</v>
      </c>
      <c r="V85" s="142">
        <f t="shared" ca="1" si="26"/>
        <v>973101</v>
      </c>
      <c r="W85" s="142">
        <f t="shared" ca="1" si="27"/>
        <v>975812</v>
      </c>
      <c r="AD85" s="142"/>
      <c r="AG85" t="s">
        <v>24</v>
      </c>
      <c r="AH85" t="s">
        <v>126</v>
      </c>
      <c r="AI85" s="142">
        <f t="shared" ca="1" si="28"/>
        <v>3188</v>
      </c>
      <c r="AJ85" s="142">
        <f t="shared" ca="1" si="29"/>
        <v>3686</v>
      </c>
      <c r="AM85" t="s">
        <v>9</v>
      </c>
      <c r="AN85" t="s">
        <v>134</v>
      </c>
      <c r="AO85" s="128">
        <v>0.25</v>
      </c>
      <c r="AP85" s="142">
        <f t="shared" ca="1" si="33"/>
        <v>25787</v>
      </c>
      <c r="AQ85" s="142">
        <f t="shared" ca="1" si="34"/>
        <v>27363</v>
      </c>
      <c r="AT85" t="s">
        <v>14</v>
      </c>
      <c r="AU85" t="s">
        <v>158</v>
      </c>
      <c r="AV85" s="142">
        <f t="shared" ca="1" si="35"/>
        <v>77463</v>
      </c>
      <c r="AW85" s="142">
        <f t="shared" ca="1" si="35"/>
        <v>84948</v>
      </c>
      <c r="AX85" s="142">
        <f t="shared" ca="1" si="19"/>
        <v>162534</v>
      </c>
    </row>
    <row r="86" spans="2:50">
      <c r="B86" s="55" t="s">
        <v>25</v>
      </c>
      <c r="C86" t="s">
        <v>50</v>
      </c>
      <c r="D86" s="142">
        <f t="shared" ca="1" si="20"/>
        <v>943601</v>
      </c>
      <c r="E86" s="142">
        <f t="shared" ca="1" si="21"/>
        <v>947985</v>
      </c>
      <c r="H86" s="55" t="s">
        <v>14</v>
      </c>
      <c r="I86" t="s">
        <v>45</v>
      </c>
      <c r="J86" s="142">
        <f t="shared" ca="1" si="22"/>
        <v>316242</v>
      </c>
      <c r="K86" s="142">
        <f t="shared" ca="1" si="23"/>
        <v>316979</v>
      </c>
      <c r="N86" s="55">
        <v>2021</v>
      </c>
      <c r="O86" t="s">
        <v>42</v>
      </c>
      <c r="P86" s="142">
        <f t="shared" ca="1" si="24"/>
        <v>564204</v>
      </c>
      <c r="Q86" s="142">
        <f t="shared" ca="1" si="25"/>
        <v>570482</v>
      </c>
      <c r="T86" s="55" t="s">
        <v>9</v>
      </c>
      <c r="U86" t="s">
        <v>11</v>
      </c>
      <c r="V86" s="142">
        <f t="shared" ca="1" si="26"/>
        <v>827808</v>
      </c>
      <c r="W86" s="142">
        <f t="shared" ca="1" si="27"/>
        <v>828993</v>
      </c>
      <c r="AD86" s="142"/>
      <c r="AG86" t="s">
        <v>24</v>
      </c>
      <c r="AH86" t="s">
        <v>160</v>
      </c>
      <c r="AI86" s="142">
        <f t="shared" ca="1" si="28"/>
        <v>4111</v>
      </c>
      <c r="AJ86" s="142">
        <f t="shared" ca="1" si="29"/>
        <v>5039</v>
      </c>
      <c r="AM86" t="s">
        <v>8</v>
      </c>
      <c r="AN86" t="s">
        <v>134</v>
      </c>
      <c r="AO86" s="128">
        <v>0.25</v>
      </c>
      <c r="AP86" s="142">
        <f t="shared" ca="1" si="33"/>
        <v>81838</v>
      </c>
      <c r="AQ86" s="142">
        <f t="shared" ca="1" si="34"/>
        <v>83986</v>
      </c>
      <c r="AT86" t="s">
        <v>27</v>
      </c>
      <c r="AU86" t="s">
        <v>158</v>
      </c>
      <c r="AV86" s="142">
        <f t="shared" ca="1" si="35"/>
        <v>43133</v>
      </c>
      <c r="AW86" s="142">
        <f t="shared" ca="1" si="35"/>
        <v>95620</v>
      </c>
      <c r="AX86" s="142">
        <f t="shared" ca="1" si="19"/>
        <v>144647</v>
      </c>
    </row>
    <row r="87" spans="2:50">
      <c r="B87" s="55" t="s">
        <v>29</v>
      </c>
      <c r="C87" t="s">
        <v>50</v>
      </c>
      <c r="D87" s="142">
        <f t="shared" ca="1" si="20"/>
        <v>141899</v>
      </c>
      <c r="E87" s="142">
        <f t="shared" ca="1" si="21"/>
        <v>143292</v>
      </c>
      <c r="H87" s="55" t="s">
        <v>12</v>
      </c>
      <c r="I87" t="s">
        <v>45</v>
      </c>
      <c r="J87" s="142">
        <f t="shared" ca="1" si="22"/>
        <v>401561</v>
      </c>
      <c r="K87" s="142">
        <f t="shared" ca="1" si="23"/>
        <v>402683</v>
      </c>
      <c r="N87" s="55" t="s">
        <v>10</v>
      </c>
      <c r="O87" t="s">
        <v>42</v>
      </c>
      <c r="P87" s="142">
        <f t="shared" ca="1" si="24"/>
        <v>135792</v>
      </c>
      <c r="Q87" s="142">
        <f t="shared" ca="1" si="25"/>
        <v>137635</v>
      </c>
      <c r="T87" s="55" t="s">
        <v>28</v>
      </c>
      <c r="U87" t="s">
        <v>75</v>
      </c>
      <c r="V87" s="142">
        <f t="shared" ca="1" si="26"/>
        <v>813982</v>
      </c>
      <c r="W87" s="142">
        <f t="shared" ca="1" si="27"/>
        <v>816798</v>
      </c>
      <c r="AD87" s="142"/>
      <c r="AG87" t="s">
        <v>24</v>
      </c>
      <c r="AH87" t="s">
        <v>159</v>
      </c>
      <c r="AI87" s="142">
        <f t="shared" ca="1" si="28"/>
        <v>3130</v>
      </c>
      <c r="AJ87" s="142">
        <f t="shared" ca="1" si="29"/>
        <v>3148</v>
      </c>
      <c r="AM87" t="s">
        <v>12</v>
      </c>
      <c r="AN87" t="s">
        <v>134</v>
      </c>
      <c r="AO87" s="128">
        <v>0.25</v>
      </c>
      <c r="AP87" s="142">
        <f t="shared" ca="1" si="33"/>
        <v>17163</v>
      </c>
      <c r="AQ87" s="142">
        <f t="shared" ca="1" si="34"/>
        <v>17753</v>
      </c>
      <c r="AT87" t="s">
        <v>17</v>
      </c>
      <c r="AU87" t="s">
        <v>158</v>
      </c>
      <c r="AV87" s="142">
        <f t="shared" ca="1" si="35"/>
        <v>26793</v>
      </c>
      <c r="AW87" s="142">
        <f t="shared" ca="1" si="35"/>
        <v>38519</v>
      </c>
      <c r="AX87" s="142">
        <f t="shared" ca="1" si="19"/>
        <v>68773</v>
      </c>
    </row>
    <row r="88" spans="2:50">
      <c r="B88" s="55">
        <v>2021</v>
      </c>
      <c r="C88" t="s">
        <v>49</v>
      </c>
      <c r="D88" s="142">
        <f t="shared" ca="1" si="20"/>
        <v>592077</v>
      </c>
      <c r="E88" s="142">
        <f t="shared" ca="1" si="21"/>
        <v>594730</v>
      </c>
      <c r="H88" s="55" t="s">
        <v>12</v>
      </c>
      <c r="I88" t="s">
        <v>51</v>
      </c>
      <c r="J88" s="142">
        <f t="shared" ca="1" si="22"/>
        <v>252860</v>
      </c>
      <c r="K88" s="142">
        <f t="shared" ca="1" si="23"/>
        <v>252918</v>
      </c>
      <c r="N88" s="55" t="s">
        <v>10</v>
      </c>
      <c r="O88" t="s">
        <v>49</v>
      </c>
      <c r="P88" s="142">
        <f t="shared" ca="1" si="24"/>
        <v>304910</v>
      </c>
      <c r="Q88" s="142">
        <f t="shared" ca="1" si="25"/>
        <v>309643</v>
      </c>
      <c r="T88" s="55" t="s">
        <v>9</v>
      </c>
      <c r="U88" t="s">
        <v>67</v>
      </c>
      <c r="V88" s="142">
        <f t="shared" ca="1" si="26"/>
        <v>122905</v>
      </c>
      <c r="W88" s="142">
        <f t="shared" ca="1" si="27"/>
        <v>127623</v>
      </c>
      <c r="AD88" s="142"/>
      <c r="AG88" t="s">
        <v>24</v>
      </c>
      <c r="AH88" t="s">
        <v>143</v>
      </c>
      <c r="AI88" s="142">
        <f t="shared" ca="1" si="28"/>
        <v>9841</v>
      </c>
      <c r="AJ88" s="142">
        <f t="shared" ca="1" si="29"/>
        <v>9899</v>
      </c>
      <c r="AM88" t="s">
        <v>14</v>
      </c>
      <c r="AN88" t="s">
        <v>134</v>
      </c>
      <c r="AO88" s="128">
        <v>0.25</v>
      </c>
      <c r="AP88" s="142">
        <f t="shared" ca="1" si="33"/>
        <v>38884</v>
      </c>
      <c r="AQ88" s="142">
        <f t="shared" ca="1" si="34"/>
        <v>48687</v>
      </c>
      <c r="AT88" t="s">
        <v>28</v>
      </c>
      <c r="AU88" t="s">
        <v>158</v>
      </c>
      <c r="AV88" s="142">
        <f t="shared" ca="1" si="35"/>
        <v>12811</v>
      </c>
      <c r="AW88" s="142">
        <f t="shared" ca="1" si="35"/>
        <v>55125</v>
      </c>
      <c r="AX88" s="142">
        <f t="shared" ca="1" si="19"/>
        <v>73827</v>
      </c>
    </row>
    <row r="89" spans="2:50">
      <c r="B89" s="55">
        <v>2021</v>
      </c>
      <c r="C89" t="s">
        <v>52</v>
      </c>
      <c r="D89" s="142">
        <f t="shared" ca="1" si="20"/>
        <v>363645</v>
      </c>
      <c r="E89" s="142">
        <f t="shared" ca="1" si="21"/>
        <v>363808</v>
      </c>
      <c r="H89" s="55" t="s">
        <v>22</v>
      </c>
      <c r="I89" t="s">
        <v>51</v>
      </c>
      <c r="J89" s="142">
        <f t="shared" ca="1" si="22"/>
        <v>744397</v>
      </c>
      <c r="K89" s="142">
        <f t="shared" ca="1" si="23"/>
        <v>744906</v>
      </c>
      <c r="N89" s="55" t="s">
        <v>10</v>
      </c>
      <c r="O89" t="s">
        <v>39</v>
      </c>
      <c r="P89" s="142">
        <f t="shared" ca="1" si="24"/>
        <v>241740</v>
      </c>
      <c r="Q89" s="142">
        <f t="shared" ca="1" si="25"/>
        <v>241907</v>
      </c>
      <c r="T89" s="55" t="s">
        <v>28</v>
      </c>
      <c r="U89" t="s">
        <v>66</v>
      </c>
      <c r="V89" s="142">
        <f t="shared" ca="1" si="26"/>
        <v>573369</v>
      </c>
      <c r="W89" s="142">
        <f t="shared" ca="1" si="27"/>
        <v>574927</v>
      </c>
      <c r="AD89" s="142"/>
      <c r="AG89" t="s">
        <v>25</v>
      </c>
      <c r="AH89" t="s">
        <v>126</v>
      </c>
      <c r="AI89" s="142">
        <f t="shared" ca="1" si="28"/>
        <v>9582</v>
      </c>
      <c r="AJ89" s="142">
        <f t="shared" ca="1" si="29"/>
        <v>9665</v>
      </c>
      <c r="AM89" t="s">
        <v>27</v>
      </c>
      <c r="AN89" t="s">
        <v>134</v>
      </c>
      <c r="AO89" s="128">
        <v>0.25</v>
      </c>
      <c r="AP89" s="142">
        <f t="shared" ca="1" si="33"/>
        <v>12801</v>
      </c>
      <c r="AQ89" s="142">
        <f t="shared" ca="1" si="34"/>
        <v>15517</v>
      </c>
      <c r="AT89" t="s">
        <v>9</v>
      </c>
      <c r="AU89" t="s">
        <v>134</v>
      </c>
      <c r="AV89" s="142">
        <f t="shared" ca="1" si="35"/>
        <v>46604</v>
      </c>
      <c r="AW89" s="142">
        <f t="shared" ca="1" si="35"/>
        <v>30055</v>
      </c>
      <c r="AX89" s="142">
        <f t="shared" ca="1" si="19"/>
        <v>83371</v>
      </c>
    </row>
    <row r="90" spans="2:50">
      <c r="B90" s="55">
        <v>2021</v>
      </c>
      <c r="C90" t="s">
        <v>50</v>
      </c>
      <c r="D90" s="142">
        <f t="shared" ca="1" si="20"/>
        <v>847567</v>
      </c>
      <c r="E90" s="142">
        <f t="shared" ca="1" si="21"/>
        <v>850833</v>
      </c>
      <c r="H90" s="55" t="s">
        <v>17</v>
      </c>
      <c r="I90" t="s">
        <v>45</v>
      </c>
      <c r="J90" s="142">
        <f t="shared" ca="1" si="22"/>
        <v>932170</v>
      </c>
      <c r="K90" s="142">
        <f t="shared" ca="1" si="23"/>
        <v>933862</v>
      </c>
      <c r="N90" s="55" t="s">
        <v>23</v>
      </c>
      <c r="O90" t="s">
        <v>49</v>
      </c>
      <c r="P90" s="142">
        <f t="shared" ca="1" si="24"/>
        <v>356073</v>
      </c>
      <c r="Q90" s="142">
        <f t="shared" ca="1" si="25"/>
        <v>359305</v>
      </c>
      <c r="T90" s="55" t="s">
        <v>9</v>
      </c>
      <c r="U90" t="s">
        <v>68</v>
      </c>
      <c r="V90" s="142">
        <f t="shared" ca="1" si="26"/>
        <v>726560</v>
      </c>
      <c r="W90" s="142">
        <f t="shared" ca="1" si="27"/>
        <v>726904</v>
      </c>
      <c r="AD90" s="142"/>
      <c r="AG90" t="s">
        <v>25</v>
      </c>
      <c r="AH90" t="s">
        <v>159</v>
      </c>
      <c r="AI90" s="142">
        <f t="shared" ca="1" si="28"/>
        <v>2801</v>
      </c>
      <c r="AJ90" s="142">
        <f t="shared" ca="1" si="29"/>
        <v>3325</v>
      </c>
      <c r="AM90" t="s">
        <v>17</v>
      </c>
      <c r="AN90" t="s">
        <v>134</v>
      </c>
      <c r="AO90" s="128">
        <v>0.25</v>
      </c>
      <c r="AP90" s="142">
        <f t="shared" ca="1" si="33"/>
        <v>21269</v>
      </c>
      <c r="AQ90" s="142">
        <f t="shared" ca="1" si="34"/>
        <v>22597</v>
      </c>
      <c r="AT90" t="s">
        <v>15</v>
      </c>
      <c r="AU90" t="s">
        <v>134</v>
      </c>
      <c r="AV90" s="142">
        <f t="shared" ca="1" si="35"/>
        <v>98539</v>
      </c>
      <c r="AW90" s="142">
        <f t="shared" ca="1" si="35"/>
        <v>23968</v>
      </c>
      <c r="AX90" s="142">
        <f t="shared" ca="1" si="19"/>
        <v>123940</v>
      </c>
    </row>
    <row r="91" spans="2:50">
      <c r="B91" s="55" t="s">
        <v>9</v>
      </c>
      <c r="C91" t="s">
        <v>47</v>
      </c>
      <c r="D91" s="142">
        <f t="shared" ca="1" si="20"/>
        <v>439065</v>
      </c>
      <c r="E91" s="142">
        <f t="shared" ca="1" si="21"/>
        <v>441106</v>
      </c>
      <c r="H91" s="55" t="s">
        <v>8</v>
      </c>
      <c r="I91" t="s">
        <v>51</v>
      </c>
      <c r="J91" s="142">
        <f t="shared" ca="1" si="22"/>
        <v>628485</v>
      </c>
      <c r="K91" s="142">
        <f t="shared" ca="1" si="23"/>
        <v>631914</v>
      </c>
      <c r="N91" s="55" t="s">
        <v>23</v>
      </c>
      <c r="O91" t="s">
        <v>39</v>
      </c>
      <c r="P91" s="142">
        <f t="shared" ca="1" si="24"/>
        <v>727495</v>
      </c>
      <c r="Q91" s="142">
        <f t="shared" ca="1" si="25"/>
        <v>728153</v>
      </c>
      <c r="T91" s="55" t="s">
        <v>28</v>
      </c>
      <c r="U91" t="s">
        <v>77</v>
      </c>
      <c r="V91" s="142">
        <f t="shared" ca="1" si="26"/>
        <v>392580</v>
      </c>
      <c r="W91" s="142">
        <f t="shared" ca="1" si="27"/>
        <v>395872</v>
      </c>
      <c r="AD91" s="142"/>
      <c r="AG91" t="s">
        <v>25</v>
      </c>
      <c r="AH91" t="s">
        <v>157</v>
      </c>
      <c r="AI91" s="142">
        <f t="shared" ca="1" si="28"/>
        <v>5195</v>
      </c>
      <c r="AJ91" s="142">
        <f t="shared" ca="1" si="29"/>
        <v>5773</v>
      </c>
      <c r="AM91" t="s">
        <v>28</v>
      </c>
      <c r="AN91" t="s">
        <v>134</v>
      </c>
      <c r="AO91" s="128">
        <v>0.25</v>
      </c>
      <c r="AP91" s="142">
        <f t="shared" ca="1" si="33"/>
        <v>29303</v>
      </c>
      <c r="AQ91" s="142">
        <f t="shared" ca="1" si="34"/>
        <v>29318</v>
      </c>
      <c r="AT91" t="s">
        <v>8</v>
      </c>
      <c r="AU91" t="s">
        <v>134</v>
      </c>
      <c r="AV91" s="142">
        <f t="shared" ca="1" si="35"/>
        <v>62763</v>
      </c>
      <c r="AW91" s="142">
        <f t="shared" ca="1" si="35"/>
        <v>78258</v>
      </c>
      <c r="AX91" s="142">
        <f t="shared" ca="1" si="19"/>
        <v>142633</v>
      </c>
    </row>
    <row r="92" spans="2:50">
      <c r="B92" s="55" t="s">
        <v>28</v>
      </c>
      <c r="C92" t="s">
        <v>43</v>
      </c>
      <c r="D92" s="142">
        <f t="shared" ca="1" si="20"/>
        <v>423988</v>
      </c>
      <c r="E92" s="142">
        <f t="shared" ca="1" si="21"/>
        <v>425337</v>
      </c>
      <c r="H92" s="55" t="s">
        <v>23</v>
      </c>
      <c r="I92" t="s">
        <v>45</v>
      </c>
      <c r="J92" s="142">
        <f t="shared" ca="1" si="22"/>
        <v>331091</v>
      </c>
      <c r="K92" s="142">
        <f t="shared" ca="1" si="23"/>
        <v>336076</v>
      </c>
      <c r="N92" s="55" t="s">
        <v>10</v>
      </c>
      <c r="O92" t="s">
        <v>38</v>
      </c>
      <c r="P92" s="142">
        <f t="shared" ca="1" si="24"/>
        <v>361595</v>
      </c>
      <c r="Q92" s="142">
        <f t="shared" ca="1" si="25"/>
        <v>368845</v>
      </c>
      <c r="T92" s="55" t="s">
        <v>28</v>
      </c>
      <c r="U92" t="s">
        <v>76</v>
      </c>
      <c r="V92" s="142">
        <f t="shared" ca="1" si="26"/>
        <v>698203</v>
      </c>
      <c r="W92" s="142">
        <f t="shared" ca="1" si="27"/>
        <v>701608</v>
      </c>
      <c r="AD92" s="142"/>
      <c r="AG92" t="s">
        <v>25</v>
      </c>
      <c r="AH92" t="s">
        <v>43</v>
      </c>
      <c r="AI92" s="142">
        <f t="shared" ca="1" si="28"/>
        <v>7425</v>
      </c>
      <c r="AJ92" s="142">
        <f t="shared" ca="1" si="29"/>
        <v>7529</v>
      </c>
      <c r="AM92" t="s">
        <v>9</v>
      </c>
      <c r="AN92" t="s">
        <v>139</v>
      </c>
      <c r="AO92" s="128">
        <v>0.15</v>
      </c>
      <c r="AP92" s="142">
        <f t="shared" ca="1" si="33"/>
        <v>33870</v>
      </c>
      <c r="AQ92" s="142">
        <f t="shared" ca="1" si="34"/>
        <v>36325</v>
      </c>
      <c r="AT92" t="s">
        <v>12</v>
      </c>
      <c r="AU92" t="s">
        <v>134</v>
      </c>
      <c r="AV92" s="142">
        <f t="shared" ca="1" si="35"/>
        <v>31394</v>
      </c>
      <c r="AW92" s="142">
        <f t="shared" ca="1" si="35"/>
        <v>93691</v>
      </c>
      <c r="AX92" s="142">
        <f t="shared" ca="1" si="19"/>
        <v>125198</v>
      </c>
    </row>
    <row r="93" spans="2:50">
      <c r="B93" s="55" t="s">
        <v>9</v>
      </c>
      <c r="C93" t="s">
        <v>37</v>
      </c>
      <c r="D93" s="142">
        <f t="shared" ca="1" si="20"/>
        <v>328773</v>
      </c>
      <c r="E93" s="142">
        <f t="shared" ca="1" si="21"/>
        <v>336797</v>
      </c>
      <c r="H93" s="55" t="s">
        <v>23</v>
      </c>
      <c r="I93" t="s">
        <v>51</v>
      </c>
      <c r="J93" s="142">
        <f t="shared" ca="1" si="22"/>
        <v>896777</v>
      </c>
      <c r="K93" s="142">
        <f t="shared" ca="1" si="23"/>
        <v>898704</v>
      </c>
      <c r="N93" s="55" t="s">
        <v>23</v>
      </c>
      <c r="O93" t="s">
        <v>52</v>
      </c>
      <c r="P93" s="142">
        <f t="shared" ca="1" si="24"/>
        <v>565155</v>
      </c>
      <c r="Q93" s="142">
        <f t="shared" ca="1" si="25"/>
        <v>566325</v>
      </c>
      <c r="T93" s="55" t="s">
        <v>9</v>
      </c>
      <c r="U93" t="s">
        <v>66</v>
      </c>
      <c r="V93" s="142">
        <f t="shared" ca="1" si="26"/>
        <v>320728</v>
      </c>
      <c r="W93" s="142">
        <f t="shared" ca="1" si="27"/>
        <v>321230</v>
      </c>
      <c r="AD93" s="142"/>
      <c r="AG93" t="s">
        <v>25</v>
      </c>
      <c r="AH93" t="s">
        <v>134</v>
      </c>
      <c r="AI93" s="142">
        <f t="shared" ca="1" si="28"/>
        <v>1198</v>
      </c>
      <c r="AJ93" s="142">
        <f t="shared" ca="1" si="29"/>
        <v>1628</v>
      </c>
      <c r="AM93" t="s">
        <v>15</v>
      </c>
      <c r="AN93" t="s">
        <v>139</v>
      </c>
      <c r="AO93" s="128">
        <v>0.15</v>
      </c>
      <c r="AP93" s="142">
        <f t="shared" ca="1" si="33"/>
        <v>35300</v>
      </c>
      <c r="AQ93" s="142">
        <f t="shared" ca="1" si="34"/>
        <v>35450</v>
      </c>
      <c r="AT93" t="s">
        <v>14</v>
      </c>
      <c r="AU93" t="s">
        <v>134</v>
      </c>
      <c r="AV93" s="142">
        <f t="shared" ca="1" si="35"/>
        <v>82427</v>
      </c>
      <c r="AW93" s="142">
        <f t="shared" ca="1" si="35"/>
        <v>81309</v>
      </c>
      <c r="AX93" s="142">
        <f t="shared" ca="1" si="19"/>
        <v>164122</v>
      </c>
    </row>
    <row r="94" spans="2:50">
      <c r="B94" s="55" t="s">
        <v>9</v>
      </c>
      <c r="C94" t="s">
        <v>42</v>
      </c>
      <c r="D94" s="142">
        <f t="shared" ca="1" si="20"/>
        <v>483988</v>
      </c>
      <c r="E94" s="142">
        <f t="shared" ca="1" si="21"/>
        <v>485114</v>
      </c>
      <c r="H94" s="55" t="s">
        <v>15</v>
      </c>
      <c r="I94" t="s">
        <v>45</v>
      </c>
      <c r="J94" s="142">
        <f t="shared" ca="1" si="22"/>
        <v>642277</v>
      </c>
      <c r="K94" s="142">
        <f t="shared" ca="1" si="23"/>
        <v>645830</v>
      </c>
      <c r="N94" s="55" t="s">
        <v>23</v>
      </c>
      <c r="O94" t="s">
        <v>47</v>
      </c>
      <c r="P94" s="142">
        <f t="shared" ca="1" si="24"/>
        <v>196382</v>
      </c>
      <c r="Q94" s="142">
        <f t="shared" ca="1" si="25"/>
        <v>197087</v>
      </c>
      <c r="T94" s="55" t="s">
        <v>28</v>
      </c>
      <c r="U94" t="s">
        <v>73</v>
      </c>
      <c r="V94" s="142">
        <f t="shared" ca="1" si="26"/>
        <v>776558</v>
      </c>
      <c r="W94" s="142">
        <f t="shared" ca="1" si="27"/>
        <v>779156</v>
      </c>
      <c r="AD94" s="142"/>
      <c r="AG94" t="s">
        <v>25</v>
      </c>
      <c r="AH94" t="s">
        <v>143</v>
      </c>
      <c r="AI94" s="142">
        <f t="shared" ca="1" si="28"/>
        <v>3426</v>
      </c>
      <c r="AJ94" s="142">
        <f t="shared" ca="1" si="29"/>
        <v>3796</v>
      </c>
      <c r="AM94" t="s">
        <v>8</v>
      </c>
      <c r="AN94" t="s">
        <v>139</v>
      </c>
      <c r="AO94" s="128">
        <v>0.15</v>
      </c>
      <c r="AP94" s="142">
        <f t="shared" ca="1" si="33"/>
        <v>32271</v>
      </c>
      <c r="AQ94" s="142">
        <f t="shared" ca="1" si="34"/>
        <v>34528</v>
      </c>
      <c r="AT94" t="s">
        <v>27</v>
      </c>
      <c r="AU94" t="s">
        <v>134</v>
      </c>
      <c r="AV94" s="142">
        <f t="shared" ca="1" si="35"/>
        <v>17103</v>
      </c>
      <c r="AW94" s="142">
        <f t="shared" ca="1" si="35"/>
        <v>60484</v>
      </c>
      <c r="AX94" s="142">
        <f t="shared" ca="1" si="19"/>
        <v>77787</v>
      </c>
    </row>
    <row r="95" spans="2:50">
      <c r="B95" s="55" t="s">
        <v>9</v>
      </c>
      <c r="C95" t="s">
        <v>36</v>
      </c>
      <c r="D95" s="142">
        <f t="shared" ca="1" si="20"/>
        <v>454861</v>
      </c>
      <c r="E95" s="142">
        <f t="shared" ca="1" si="21"/>
        <v>455682</v>
      </c>
      <c r="H95" s="55" t="s">
        <v>14</v>
      </c>
      <c r="I95" t="s">
        <v>51</v>
      </c>
      <c r="J95" s="142">
        <f t="shared" ca="1" si="22"/>
        <v>843706</v>
      </c>
      <c r="K95" s="142">
        <f t="shared" ca="1" si="23"/>
        <v>845956</v>
      </c>
      <c r="N95" s="55" t="s">
        <v>23</v>
      </c>
      <c r="O95" t="s">
        <v>46</v>
      </c>
      <c r="P95" s="142">
        <f t="shared" ca="1" si="24"/>
        <v>447056</v>
      </c>
      <c r="Q95" s="142">
        <f t="shared" ca="1" si="25"/>
        <v>450302</v>
      </c>
      <c r="T95" s="55" t="s">
        <v>28</v>
      </c>
      <c r="U95" t="s">
        <v>68</v>
      </c>
      <c r="V95" s="142">
        <f t="shared" ca="1" si="26"/>
        <v>516004</v>
      </c>
      <c r="W95" s="142">
        <f t="shared" ca="1" si="27"/>
        <v>519748</v>
      </c>
      <c r="AD95" s="142"/>
      <c r="AG95" t="s">
        <v>25</v>
      </c>
      <c r="AH95" t="s">
        <v>139</v>
      </c>
      <c r="AI95" s="142">
        <f t="shared" ca="1" si="28"/>
        <v>7476</v>
      </c>
      <c r="AJ95" s="142">
        <f t="shared" ca="1" si="29"/>
        <v>7766</v>
      </c>
      <c r="AM95" t="s">
        <v>12</v>
      </c>
      <c r="AN95" t="s">
        <v>139</v>
      </c>
      <c r="AO95" s="128">
        <v>0.15</v>
      </c>
      <c r="AP95" s="142">
        <f t="shared" ca="1" si="33"/>
        <v>82969</v>
      </c>
      <c r="AQ95" s="142">
        <f t="shared" ca="1" si="34"/>
        <v>83454</v>
      </c>
      <c r="AT95" t="s">
        <v>17</v>
      </c>
      <c r="AU95" t="s">
        <v>134</v>
      </c>
      <c r="AV95" s="142">
        <f t="shared" ca="1" si="35"/>
        <v>79737</v>
      </c>
      <c r="AW95" s="142">
        <f t="shared" ca="1" si="35"/>
        <v>60800</v>
      </c>
      <c r="AX95" s="142">
        <f t="shared" ca="1" si="19"/>
        <v>143244</v>
      </c>
    </row>
    <row r="96" spans="2:50">
      <c r="B96" s="55" t="s">
        <v>9</v>
      </c>
      <c r="C96" t="s">
        <v>45</v>
      </c>
      <c r="D96" s="142">
        <f t="shared" ca="1" si="20"/>
        <v>539461</v>
      </c>
      <c r="E96" s="142">
        <f t="shared" ca="1" si="21"/>
        <v>542849</v>
      </c>
      <c r="H96" s="55" t="s">
        <v>15</v>
      </c>
      <c r="I96" t="s">
        <v>51</v>
      </c>
      <c r="J96" s="142">
        <f t="shared" ca="1" si="22"/>
        <v>601761</v>
      </c>
      <c r="K96" s="142">
        <f t="shared" ca="1" si="23"/>
        <v>606225</v>
      </c>
      <c r="N96" s="55" t="s">
        <v>23</v>
      </c>
      <c r="O96" t="s">
        <v>40</v>
      </c>
      <c r="P96" s="142">
        <f t="shared" ca="1" si="24"/>
        <v>851217</v>
      </c>
      <c r="Q96" s="142">
        <f t="shared" ca="1" si="25"/>
        <v>858334</v>
      </c>
      <c r="T96" s="55" t="s">
        <v>28</v>
      </c>
      <c r="U96" t="s">
        <v>69</v>
      </c>
      <c r="V96" s="142">
        <f t="shared" ca="1" si="26"/>
        <v>318575</v>
      </c>
      <c r="W96" s="142">
        <f t="shared" ca="1" si="27"/>
        <v>319257</v>
      </c>
      <c r="AD96" s="142"/>
      <c r="AG96" t="s">
        <v>25</v>
      </c>
      <c r="AH96" t="s">
        <v>160</v>
      </c>
      <c r="AI96" s="142">
        <f t="shared" ca="1" si="28"/>
        <v>4735</v>
      </c>
      <c r="AJ96" s="142">
        <f t="shared" ca="1" si="29"/>
        <v>5055</v>
      </c>
      <c r="AM96" t="s">
        <v>14</v>
      </c>
      <c r="AN96" t="s">
        <v>139</v>
      </c>
      <c r="AO96" s="128">
        <v>0.15</v>
      </c>
      <c r="AP96" s="142">
        <f t="shared" ca="1" si="33"/>
        <v>14098</v>
      </c>
      <c r="AQ96" s="142">
        <f t="shared" ca="1" si="34"/>
        <v>14220</v>
      </c>
      <c r="AT96" t="s">
        <v>28</v>
      </c>
      <c r="AU96" t="s">
        <v>134</v>
      </c>
      <c r="AV96" s="142">
        <f t="shared" ca="1" si="35"/>
        <v>25912</v>
      </c>
      <c r="AW96" s="142">
        <f t="shared" ca="1" si="35"/>
        <v>60937</v>
      </c>
      <c r="AX96" s="142">
        <f t="shared" ca="1" si="19"/>
        <v>87054</v>
      </c>
    </row>
    <row r="97" spans="2:50">
      <c r="B97" s="55" t="s">
        <v>9</v>
      </c>
      <c r="C97" t="s">
        <v>18</v>
      </c>
      <c r="D97" s="142">
        <f t="shared" ca="1" si="20"/>
        <v>242979</v>
      </c>
      <c r="E97" s="142">
        <f t="shared" ca="1" si="21"/>
        <v>246053</v>
      </c>
      <c r="H97" s="55" t="s">
        <v>28</v>
      </c>
      <c r="I97" t="s">
        <v>45</v>
      </c>
      <c r="J97" s="142">
        <f t="shared" ca="1" si="22"/>
        <v>462392</v>
      </c>
      <c r="K97" s="142">
        <f t="shared" ca="1" si="23"/>
        <v>464932</v>
      </c>
      <c r="N97" s="55" t="s">
        <v>10</v>
      </c>
      <c r="O97" t="s">
        <v>45</v>
      </c>
      <c r="P97" s="142">
        <f t="shared" ca="1" si="24"/>
        <v>767486</v>
      </c>
      <c r="Q97" s="142">
        <f t="shared" ca="1" si="25"/>
        <v>767763</v>
      </c>
      <c r="T97" s="55" t="s">
        <v>24</v>
      </c>
      <c r="U97" t="s">
        <v>69</v>
      </c>
      <c r="V97" s="142">
        <f t="shared" ca="1" si="26"/>
        <v>301292</v>
      </c>
      <c r="W97" s="142">
        <f t="shared" ca="1" si="27"/>
        <v>302115</v>
      </c>
      <c r="AD97" s="142"/>
      <c r="AG97" t="s">
        <v>26</v>
      </c>
      <c r="AH97" t="s">
        <v>139</v>
      </c>
      <c r="AI97" s="142">
        <f t="shared" ca="1" si="28"/>
        <v>2698</v>
      </c>
      <c r="AJ97" s="142">
        <f t="shared" ca="1" si="29"/>
        <v>3133</v>
      </c>
      <c r="AM97" t="s">
        <v>27</v>
      </c>
      <c r="AN97" t="s">
        <v>139</v>
      </c>
      <c r="AO97" s="128">
        <v>0.15</v>
      </c>
      <c r="AP97" s="142">
        <f t="shared" ca="1" si="33"/>
        <v>32846</v>
      </c>
      <c r="AQ97" s="142">
        <f t="shared" ca="1" si="34"/>
        <v>35535</v>
      </c>
      <c r="AT97" t="s">
        <v>9</v>
      </c>
      <c r="AU97" t="s">
        <v>139</v>
      </c>
      <c r="AV97" s="142">
        <f t="shared" ca="1" si="35"/>
        <v>48596</v>
      </c>
      <c r="AW97" s="142">
        <f t="shared" ca="1" si="35"/>
        <v>19476</v>
      </c>
      <c r="AX97" s="142">
        <f t="shared" ca="1" si="19"/>
        <v>73095</v>
      </c>
    </row>
    <row r="98" spans="2:50">
      <c r="B98" s="55" t="s">
        <v>28</v>
      </c>
      <c r="C98" t="s">
        <v>38</v>
      </c>
      <c r="D98" s="142">
        <f t="shared" ca="1" si="20"/>
        <v>148194</v>
      </c>
      <c r="E98" s="142">
        <f t="shared" ca="1" si="21"/>
        <v>149152</v>
      </c>
      <c r="H98" s="55" t="s">
        <v>28</v>
      </c>
      <c r="I98" t="s">
        <v>51</v>
      </c>
      <c r="J98" s="142">
        <f t="shared" ca="1" si="22"/>
        <v>333354</v>
      </c>
      <c r="K98" s="142">
        <f t="shared" ca="1" si="23"/>
        <v>334154</v>
      </c>
      <c r="N98" s="55" t="s">
        <v>10</v>
      </c>
      <c r="O98" t="s">
        <v>52</v>
      </c>
      <c r="P98" s="142">
        <f t="shared" ca="1" si="24"/>
        <v>875456</v>
      </c>
      <c r="Q98" s="142">
        <f t="shared" ca="1" si="25"/>
        <v>876979</v>
      </c>
      <c r="T98" s="55" t="s">
        <v>26</v>
      </c>
      <c r="U98" t="s">
        <v>69</v>
      </c>
      <c r="V98" s="142">
        <f t="shared" ca="1" si="26"/>
        <v>504815</v>
      </c>
      <c r="W98" s="142">
        <f t="shared" ca="1" si="27"/>
        <v>507058</v>
      </c>
      <c r="AD98" s="142"/>
      <c r="AG98" t="s">
        <v>26</v>
      </c>
      <c r="AH98" t="s">
        <v>157</v>
      </c>
      <c r="AI98" s="142">
        <f t="shared" ca="1" si="28"/>
        <v>2767</v>
      </c>
      <c r="AJ98" s="142">
        <f t="shared" ca="1" si="29"/>
        <v>2920</v>
      </c>
      <c r="AM98" t="s">
        <v>17</v>
      </c>
      <c r="AN98" t="s">
        <v>139</v>
      </c>
      <c r="AO98" s="128">
        <v>0.15</v>
      </c>
      <c r="AP98" s="142">
        <f t="shared" ca="1" si="33"/>
        <v>56696</v>
      </c>
      <c r="AQ98" s="142">
        <f t="shared" ca="1" si="34"/>
        <v>58852</v>
      </c>
      <c r="AT98" t="s">
        <v>15</v>
      </c>
      <c r="AU98" t="s">
        <v>139</v>
      </c>
      <c r="AV98" s="142">
        <f t="shared" ca="1" si="35"/>
        <v>68534</v>
      </c>
      <c r="AW98" s="142">
        <f t="shared" ca="1" si="35"/>
        <v>22103</v>
      </c>
      <c r="AX98" s="142">
        <f t="shared" ca="1" si="19"/>
        <v>96631</v>
      </c>
    </row>
    <row r="99" spans="2:50">
      <c r="B99" s="55" t="s">
        <v>9</v>
      </c>
      <c r="C99" t="s">
        <v>46</v>
      </c>
      <c r="D99" s="142">
        <f t="shared" ca="1" si="20"/>
        <v>671359</v>
      </c>
      <c r="E99" s="142">
        <f t="shared" ca="1" si="21"/>
        <v>673760</v>
      </c>
      <c r="H99" s="55" t="s">
        <v>10</v>
      </c>
      <c r="I99" t="s">
        <v>45</v>
      </c>
      <c r="J99" s="142">
        <f t="shared" ca="1" si="22"/>
        <v>473100</v>
      </c>
      <c r="K99" s="142">
        <f t="shared" ca="1" si="23"/>
        <v>474435</v>
      </c>
      <c r="N99" s="55" t="s">
        <v>23</v>
      </c>
      <c r="O99" t="s">
        <v>44</v>
      </c>
      <c r="P99" s="142">
        <f t="shared" ca="1" si="24"/>
        <v>510674</v>
      </c>
      <c r="Q99" s="142">
        <f t="shared" ca="1" si="25"/>
        <v>512125</v>
      </c>
      <c r="T99" s="55" t="s">
        <v>25</v>
      </c>
      <c r="U99" t="s">
        <v>69</v>
      </c>
      <c r="V99" s="142">
        <f t="shared" ca="1" si="26"/>
        <v>678980</v>
      </c>
      <c r="W99" s="142">
        <f t="shared" ca="1" si="27"/>
        <v>680497</v>
      </c>
      <c r="AD99" s="142"/>
      <c r="AG99" t="s">
        <v>26</v>
      </c>
      <c r="AH99" t="s">
        <v>134</v>
      </c>
      <c r="AI99" s="142">
        <f t="shared" ca="1" si="28"/>
        <v>1985</v>
      </c>
      <c r="AJ99" s="142">
        <f t="shared" ca="1" si="29"/>
        <v>1989</v>
      </c>
      <c r="AM99" t="s">
        <v>28</v>
      </c>
      <c r="AN99" t="s">
        <v>139</v>
      </c>
      <c r="AO99" s="128">
        <v>0.15</v>
      </c>
      <c r="AP99" s="142">
        <f t="shared" ca="1" si="33"/>
        <v>12973</v>
      </c>
      <c r="AQ99" s="142">
        <f t="shared" ca="1" si="34"/>
        <v>14864</v>
      </c>
      <c r="AT99" t="s">
        <v>8</v>
      </c>
      <c r="AU99" t="s">
        <v>139</v>
      </c>
      <c r="AV99" s="142">
        <f t="shared" ref="AV99:AW114" ca="1" si="36">RANDBETWEEN(10000,100000)</f>
        <v>34187</v>
      </c>
      <c r="AW99" s="142">
        <f t="shared" ca="1" si="36"/>
        <v>14948</v>
      </c>
      <c r="AX99" s="142">
        <f t="shared" ca="1" si="19"/>
        <v>58537</v>
      </c>
    </row>
    <row r="100" spans="2:50">
      <c r="B100" s="55" t="s">
        <v>28</v>
      </c>
      <c r="C100" t="s">
        <v>18</v>
      </c>
      <c r="D100" s="142">
        <f t="shared" ca="1" si="20"/>
        <v>334230</v>
      </c>
      <c r="E100" s="142">
        <f t="shared" ca="1" si="21"/>
        <v>336307</v>
      </c>
      <c r="H100" s="55" t="s">
        <v>10</v>
      </c>
      <c r="I100" t="s">
        <v>51</v>
      </c>
      <c r="J100" s="142">
        <f t="shared" ca="1" si="22"/>
        <v>449293</v>
      </c>
      <c r="K100" s="142">
        <f t="shared" ca="1" si="23"/>
        <v>450161</v>
      </c>
      <c r="N100" s="55" t="s">
        <v>23</v>
      </c>
      <c r="O100" t="s">
        <v>43</v>
      </c>
      <c r="P100" s="142">
        <f t="shared" ca="1" si="24"/>
        <v>703929</v>
      </c>
      <c r="Q100" s="142">
        <f t="shared" ca="1" si="25"/>
        <v>705048</v>
      </c>
      <c r="T100" s="55" t="s">
        <v>29</v>
      </c>
      <c r="U100" t="s">
        <v>69</v>
      </c>
      <c r="V100" s="142">
        <f t="shared" ca="1" si="26"/>
        <v>969859</v>
      </c>
      <c r="W100" s="142">
        <f t="shared" ca="1" si="27"/>
        <v>974784</v>
      </c>
      <c r="AD100" s="142"/>
      <c r="AG100" t="s">
        <v>26</v>
      </c>
      <c r="AH100" t="s">
        <v>126</v>
      </c>
      <c r="AI100" s="142">
        <f t="shared" ca="1" si="28"/>
        <v>2201</v>
      </c>
      <c r="AJ100" s="142">
        <f t="shared" ca="1" si="29"/>
        <v>2309</v>
      </c>
      <c r="AM100" t="s">
        <v>23</v>
      </c>
      <c r="AN100" t="s">
        <v>124</v>
      </c>
      <c r="AO100" s="128">
        <v>0.3</v>
      </c>
      <c r="AP100" s="142">
        <f t="shared" ca="1" si="33"/>
        <v>15090</v>
      </c>
      <c r="AQ100" s="142">
        <f t="shared" ca="1" si="34"/>
        <v>15908</v>
      </c>
      <c r="AT100" t="s">
        <v>12</v>
      </c>
      <c r="AU100" t="s">
        <v>139</v>
      </c>
      <c r="AV100" s="142">
        <f t="shared" ca="1" si="36"/>
        <v>96728</v>
      </c>
      <c r="AW100" s="142">
        <f t="shared" ca="1" si="36"/>
        <v>51694</v>
      </c>
      <c r="AX100" s="142">
        <f t="shared" ca="1" si="19"/>
        <v>151151</v>
      </c>
    </row>
    <row r="101" spans="2:50">
      <c r="B101" s="55" t="s">
        <v>28</v>
      </c>
      <c r="C101" t="s">
        <v>45</v>
      </c>
      <c r="D101" s="142">
        <f t="shared" ca="1" si="20"/>
        <v>529730</v>
      </c>
      <c r="E101" s="142">
        <f t="shared" ca="1" si="21"/>
        <v>530912</v>
      </c>
      <c r="H101" s="55" t="s">
        <v>16</v>
      </c>
      <c r="I101" t="s">
        <v>51</v>
      </c>
      <c r="J101" s="142">
        <f t="shared" ca="1" si="22"/>
        <v>205929</v>
      </c>
      <c r="K101" s="142">
        <f t="shared" ca="1" si="23"/>
        <v>209509</v>
      </c>
      <c r="N101" s="55" t="s">
        <v>23</v>
      </c>
      <c r="O101" t="s">
        <v>45</v>
      </c>
      <c r="P101" s="142">
        <f t="shared" ca="1" si="24"/>
        <v>364842</v>
      </c>
      <c r="Q101" s="142">
        <f t="shared" ca="1" si="25"/>
        <v>365304</v>
      </c>
      <c r="T101" s="55">
        <v>2021</v>
      </c>
      <c r="U101" t="s">
        <v>69</v>
      </c>
      <c r="V101" s="142">
        <f t="shared" ca="1" si="26"/>
        <v>720672</v>
      </c>
      <c r="W101" s="142">
        <f t="shared" ca="1" si="27"/>
        <v>724934</v>
      </c>
      <c r="AD101" s="142"/>
      <c r="AG101" t="s">
        <v>26</v>
      </c>
      <c r="AH101" t="s">
        <v>43</v>
      </c>
      <c r="AI101" s="142">
        <f t="shared" ca="1" si="28"/>
        <v>1408</v>
      </c>
      <c r="AJ101" s="142">
        <f t="shared" ca="1" si="29"/>
        <v>1857</v>
      </c>
      <c r="AM101" t="s">
        <v>10</v>
      </c>
      <c r="AN101" t="s">
        <v>124</v>
      </c>
      <c r="AO101" s="128">
        <v>0.3</v>
      </c>
      <c r="AP101" s="142">
        <f t="shared" ca="1" si="33"/>
        <v>10621</v>
      </c>
      <c r="AQ101" s="142">
        <f t="shared" ca="1" si="34"/>
        <v>17032</v>
      </c>
      <c r="AT101" t="s">
        <v>14</v>
      </c>
      <c r="AU101" t="s">
        <v>139</v>
      </c>
      <c r="AV101" s="142">
        <f t="shared" ca="1" si="36"/>
        <v>27233</v>
      </c>
      <c r="AW101" s="142">
        <f t="shared" ca="1" si="36"/>
        <v>34095</v>
      </c>
      <c r="AX101" s="142">
        <f t="shared" ca="1" si="19"/>
        <v>63684</v>
      </c>
    </row>
    <row r="102" spans="2:50">
      <c r="B102" s="55" t="s">
        <v>28</v>
      </c>
      <c r="C102" t="s">
        <v>36</v>
      </c>
      <c r="D102" s="142">
        <f t="shared" ca="1" si="20"/>
        <v>344704</v>
      </c>
      <c r="E102" s="142">
        <f t="shared" ca="1" si="21"/>
        <v>350835</v>
      </c>
      <c r="H102" s="55" t="s">
        <v>16</v>
      </c>
      <c r="I102" t="s">
        <v>45</v>
      </c>
      <c r="J102" s="142">
        <f t="shared" ca="1" si="22"/>
        <v>673336</v>
      </c>
      <c r="K102" s="142">
        <f t="shared" ca="1" si="23"/>
        <v>673861</v>
      </c>
      <c r="N102" s="55" t="s">
        <v>10</v>
      </c>
      <c r="O102" t="s">
        <v>43</v>
      </c>
      <c r="P102" s="142">
        <f t="shared" ca="1" si="24"/>
        <v>959309</v>
      </c>
      <c r="Q102" s="142">
        <f t="shared" ca="1" si="25"/>
        <v>962547</v>
      </c>
      <c r="T102" s="55" t="s">
        <v>14</v>
      </c>
      <c r="U102" t="s">
        <v>75</v>
      </c>
      <c r="V102" s="142">
        <f t="shared" ca="1" si="26"/>
        <v>736537</v>
      </c>
      <c r="W102" s="142">
        <f t="shared" ca="1" si="27"/>
        <v>737507</v>
      </c>
      <c r="AD102" s="142"/>
      <c r="AG102" t="s">
        <v>26</v>
      </c>
      <c r="AH102" t="s">
        <v>159</v>
      </c>
      <c r="AI102" s="142">
        <f t="shared" ca="1" si="28"/>
        <v>4994</v>
      </c>
      <c r="AJ102" s="142">
        <f t="shared" ca="1" si="29"/>
        <v>5806</v>
      </c>
      <c r="AM102" t="s">
        <v>9</v>
      </c>
      <c r="AN102" t="s">
        <v>124</v>
      </c>
      <c r="AO102" s="128">
        <v>0.3</v>
      </c>
      <c r="AP102" s="142">
        <f t="shared" ca="1" si="33"/>
        <v>55189</v>
      </c>
      <c r="AQ102" s="142">
        <f t="shared" ca="1" si="34"/>
        <v>57851</v>
      </c>
      <c r="AT102" t="s">
        <v>27</v>
      </c>
      <c r="AU102" t="s">
        <v>139</v>
      </c>
      <c r="AV102" s="142">
        <f t="shared" ca="1" si="36"/>
        <v>18735</v>
      </c>
      <c r="AW102" s="142">
        <f t="shared" ca="1" si="36"/>
        <v>72710</v>
      </c>
      <c r="AX102" s="142">
        <f t="shared" ca="1" si="19"/>
        <v>94856</v>
      </c>
    </row>
    <row r="103" spans="2:50">
      <c r="B103" s="55" t="s">
        <v>9</v>
      </c>
      <c r="C103" t="s">
        <v>49</v>
      </c>
      <c r="D103" s="142">
        <f t="shared" ca="1" si="20"/>
        <v>448682</v>
      </c>
      <c r="E103" s="142">
        <f t="shared" ca="1" si="21"/>
        <v>450596</v>
      </c>
      <c r="H103" s="55" t="s">
        <v>27</v>
      </c>
      <c r="I103" t="s">
        <v>45</v>
      </c>
      <c r="J103" s="142">
        <f t="shared" ca="1" si="22"/>
        <v>124919</v>
      </c>
      <c r="K103" s="142">
        <f t="shared" ca="1" si="23"/>
        <v>126301</v>
      </c>
      <c r="N103" s="55" t="s">
        <v>23</v>
      </c>
      <c r="O103" t="s">
        <v>37</v>
      </c>
      <c r="P103" s="142">
        <f t="shared" ca="1" si="24"/>
        <v>279594</v>
      </c>
      <c r="Q103" s="142">
        <f t="shared" ca="1" si="25"/>
        <v>282865</v>
      </c>
      <c r="T103" s="55" t="s">
        <v>12</v>
      </c>
      <c r="U103" t="s">
        <v>75</v>
      </c>
      <c r="V103" s="142">
        <f t="shared" ca="1" si="26"/>
        <v>406864</v>
      </c>
      <c r="W103" s="142">
        <f t="shared" ca="1" si="27"/>
        <v>409233</v>
      </c>
      <c r="AD103" s="142"/>
      <c r="AG103" t="s">
        <v>26</v>
      </c>
      <c r="AH103" t="s">
        <v>143</v>
      </c>
      <c r="AI103" s="142">
        <f t="shared" ca="1" si="28"/>
        <v>4244</v>
      </c>
      <c r="AJ103" s="142">
        <f t="shared" ca="1" si="29"/>
        <v>4284</v>
      </c>
      <c r="AM103" t="s">
        <v>15</v>
      </c>
      <c r="AN103" t="s">
        <v>124</v>
      </c>
      <c r="AO103" s="128">
        <v>0.3</v>
      </c>
      <c r="AP103" s="142">
        <f t="shared" ca="1" si="33"/>
        <v>79119</v>
      </c>
      <c r="AQ103" s="142">
        <f t="shared" ca="1" si="34"/>
        <v>80217</v>
      </c>
      <c r="AT103" t="s">
        <v>17</v>
      </c>
      <c r="AU103" t="s">
        <v>139</v>
      </c>
      <c r="AV103" s="142">
        <f t="shared" ca="1" si="36"/>
        <v>30757</v>
      </c>
      <c r="AW103" s="142">
        <f t="shared" ca="1" si="36"/>
        <v>28289</v>
      </c>
      <c r="AX103" s="142">
        <f t="shared" ca="1" si="19"/>
        <v>59979</v>
      </c>
    </row>
    <row r="104" spans="2:50">
      <c r="B104" s="55" t="s">
        <v>28</v>
      </c>
      <c r="C104" t="s">
        <v>42</v>
      </c>
      <c r="D104" s="142">
        <f t="shared" ca="1" si="20"/>
        <v>249048</v>
      </c>
      <c r="E104" s="142">
        <f t="shared" ca="1" si="21"/>
        <v>253900</v>
      </c>
      <c r="H104" s="55" t="s">
        <v>8</v>
      </c>
      <c r="I104" t="s">
        <v>45</v>
      </c>
      <c r="J104" s="142">
        <f t="shared" ca="1" si="22"/>
        <v>852883</v>
      </c>
      <c r="K104" s="142">
        <f t="shared" ca="1" si="23"/>
        <v>860145</v>
      </c>
      <c r="N104" s="55" t="s">
        <v>10</v>
      </c>
      <c r="O104" t="s">
        <v>40</v>
      </c>
      <c r="P104" s="142">
        <f t="shared" ca="1" si="24"/>
        <v>170124</v>
      </c>
      <c r="Q104" s="142">
        <f t="shared" ca="1" si="25"/>
        <v>170233</v>
      </c>
      <c r="T104" s="55" t="s">
        <v>14</v>
      </c>
      <c r="U104" t="s">
        <v>69</v>
      </c>
      <c r="V104" s="142">
        <f t="shared" ca="1" si="26"/>
        <v>291748</v>
      </c>
      <c r="W104" s="142">
        <f t="shared" ca="1" si="27"/>
        <v>295033</v>
      </c>
      <c r="AD104" s="142"/>
      <c r="AG104" t="s">
        <v>29</v>
      </c>
      <c r="AH104" t="s">
        <v>126</v>
      </c>
      <c r="AI104" s="142">
        <f t="shared" ca="1" si="28"/>
        <v>3237</v>
      </c>
      <c r="AJ104" s="142">
        <f t="shared" ca="1" si="29"/>
        <v>3346</v>
      </c>
      <c r="AM104" t="s">
        <v>8</v>
      </c>
      <c r="AN104" t="s">
        <v>124</v>
      </c>
      <c r="AO104" s="128">
        <v>0.3</v>
      </c>
      <c r="AP104" s="142">
        <f t="shared" ca="1" si="33"/>
        <v>26344</v>
      </c>
      <c r="AQ104" s="142">
        <f t="shared" ca="1" si="34"/>
        <v>27322</v>
      </c>
      <c r="AT104" t="s">
        <v>28</v>
      </c>
      <c r="AU104" t="s">
        <v>139</v>
      </c>
      <c r="AV104" s="142">
        <f t="shared" ca="1" si="36"/>
        <v>66186</v>
      </c>
      <c r="AW104" s="142">
        <f t="shared" ca="1" si="36"/>
        <v>80241</v>
      </c>
      <c r="AX104" s="142">
        <f t="shared" ca="1" si="19"/>
        <v>147022</v>
      </c>
    </row>
    <row r="105" spans="2:50">
      <c r="B105" s="55" t="s">
        <v>9</v>
      </c>
      <c r="C105" t="s">
        <v>43</v>
      </c>
      <c r="D105" s="142">
        <f t="shared" ca="1" si="20"/>
        <v>178980</v>
      </c>
      <c r="E105" s="142">
        <f t="shared" ca="1" si="21"/>
        <v>184681</v>
      </c>
      <c r="H105" s="55" t="s">
        <v>27</v>
      </c>
      <c r="I105" t="s">
        <v>51</v>
      </c>
      <c r="J105" s="142">
        <f t="shared" ca="1" si="22"/>
        <v>994321</v>
      </c>
      <c r="K105" s="142">
        <f t="shared" ca="1" si="23"/>
        <v>996303</v>
      </c>
      <c r="N105" s="55" t="s">
        <v>10</v>
      </c>
      <c r="O105" t="s">
        <v>47</v>
      </c>
      <c r="P105" s="142">
        <f t="shared" ca="1" si="24"/>
        <v>768713</v>
      </c>
      <c r="Q105" s="142">
        <f t="shared" ca="1" si="25"/>
        <v>769410</v>
      </c>
      <c r="T105" s="55" t="s">
        <v>14</v>
      </c>
      <c r="U105" t="s">
        <v>76</v>
      </c>
      <c r="V105" s="142">
        <f t="shared" ca="1" si="26"/>
        <v>724224</v>
      </c>
      <c r="W105" s="142">
        <f t="shared" ca="1" si="27"/>
        <v>725299</v>
      </c>
      <c r="AD105" s="142"/>
      <c r="AG105" t="s">
        <v>29</v>
      </c>
      <c r="AH105" t="s">
        <v>43</v>
      </c>
      <c r="AI105" s="142">
        <f t="shared" ca="1" si="28"/>
        <v>5593</v>
      </c>
      <c r="AJ105" s="142">
        <f t="shared" ca="1" si="29"/>
        <v>5895</v>
      </c>
      <c r="AM105" t="s">
        <v>12</v>
      </c>
      <c r="AN105" t="s">
        <v>124</v>
      </c>
      <c r="AO105" s="128">
        <v>0.3</v>
      </c>
      <c r="AP105" s="142">
        <f t="shared" ca="1" si="33"/>
        <v>63913</v>
      </c>
      <c r="AQ105" s="142">
        <f t="shared" ca="1" si="34"/>
        <v>64237</v>
      </c>
      <c r="AT105" t="s">
        <v>9</v>
      </c>
      <c r="AU105" t="s">
        <v>104</v>
      </c>
      <c r="AV105" s="142">
        <f t="shared" ca="1" si="36"/>
        <v>21896</v>
      </c>
      <c r="AW105" s="142">
        <f t="shared" ca="1" si="36"/>
        <v>80192</v>
      </c>
      <c r="AX105" s="142">
        <f t="shared" ca="1" si="19"/>
        <v>102399</v>
      </c>
    </row>
    <row r="106" spans="2:50">
      <c r="B106" s="55" t="s">
        <v>9</v>
      </c>
      <c r="C106" t="s">
        <v>40</v>
      </c>
      <c r="D106" s="142">
        <f t="shared" ca="1" si="20"/>
        <v>915284</v>
      </c>
      <c r="E106" s="142">
        <f t="shared" ca="1" si="21"/>
        <v>917019</v>
      </c>
      <c r="H106" s="55" t="s">
        <v>22</v>
      </c>
      <c r="I106" t="s">
        <v>45</v>
      </c>
      <c r="J106" s="142">
        <f t="shared" ca="1" si="22"/>
        <v>179722</v>
      </c>
      <c r="K106" s="142">
        <f t="shared" ca="1" si="23"/>
        <v>179847</v>
      </c>
      <c r="N106" s="55" t="s">
        <v>10</v>
      </c>
      <c r="O106" t="s">
        <v>37</v>
      </c>
      <c r="P106" s="142">
        <f t="shared" ca="1" si="24"/>
        <v>841963</v>
      </c>
      <c r="Q106" s="142">
        <f t="shared" ca="1" si="25"/>
        <v>844246</v>
      </c>
      <c r="T106" s="55" t="s">
        <v>14</v>
      </c>
      <c r="U106" t="s">
        <v>73</v>
      </c>
      <c r="V106" s="142">
        <f t="shared" ca="1" si="26"/>
        <v>751236</v>
      </c>
      <c r="W106" s="142">
        <f t="shared" ca="1" si="27"/>
        <v>754359</v>
      </c>
      <c r="AD106" s="142"/>
      <c r="AG106" t="s">
        <v>29</v>
      </c>
      <c r="AH106" t="s">
        <v>157</v>
      </c>
      <c r="AI106" s="142">
        <f t="shared" ca="1" si="28"/>
        <v>2849</v>
      </c>
      <c r="AJ106" s="142">
        <f t="shared" ca="1" si="29"/>
        <v>2945</v>
      </c>
      <c r="AM106" t="s">
        <v>14</v>
      </c>
      <c r="AN106" t="s">
        <v>124</v>
      </c>
      <c r="AO106" s="128">
        <v>0.3</v>
      </c>
      <c r="AP106" s="142">
        <f t="shared" ca="1" si="33"/>
        <v>39036</v>
      </c>
      <c r="AQ106" s="142">
        <f t="shared" ca="1" si="34"/>
        <v>45208</v>
      </c>
      <c r="AT106" t="s">
        <v>15</v>
      </c>
      <c r="AU106" t="s">
        <v>104</v>
      </c>
      <c r="AV106" s="142">
        <f t="shared" ca="1" si="36"/>
        <v>71533</v>
      </c>
      <c r="AW106" s="142">
        <f t="shared" ca="1" si="36"/>
        <v>57295</v>
      </c>
      <c r="AX106" s="142">
        <f t="shared" ca="1" si="19"/>
        <v>129773</v>
      </c>
    </row>
    <row r="107" spans="2:50">
      <c r="B107" s="55" t="s">
        <v>9</v>
      </c>
      <c r="C107" t="s">
        <v>38</v>
      </c>
      <c r="D107" s="142">
        <f t="shared" ca="1" si="20"/>
        <v>898384</v>
      </c>
      <c r="E107" s="142">
        <f t="shared" ca="1" si="21"/>
        <v>901611</v>
      </c>
      <c r="H107" s="55" t="s">
        <v>10</v>
      </c>
      <c r="I107" t="s">
        <v>42</v>
      </c>
      <c r="J107" s="142">
        <f t="shared" ca="1" si="22"/>
        <v>515812</v>
      </c>
      <c r="K107" s="142">
        <f t="shared" ca="1" si="23"/>
        <v>520307</v>
      </c>
      <c r="N107" s="55" t="s">
        <v>23</v>
      </c>
      <c r="O107" t="s">
        <v>38</v>
      </c>
      <c r="P107" s="142">
        <f t="shared" ca="1" si="24"/>
        <v>976644</v>
      </c>
      <c r="Q107" s="142">
        <f t="shared" ca="1" si="25"/>
        <v>976886</v>
      </c>
      <c r="T107" s="55" t="s">
        <v>12</v>
      </c>
      <c r="U107" t="s">
        <v>68</v>
      </c>
      <c r="V107" s="142">
        <f t="shared" ca="1" si="26"/>
        <v>954934</v>
      </c>
      <c r="W107" s="142">
        <f t="shared" ca="1" si="27"/>
        <v>957362</v>
      </c>
      <c r="AD107" s="142"/>
      <c r="AG107" t="s">
        <v>29</v>
      </c>
      <c r="AH107" t="s">
        <v>159</v>
      </c>
      <c r="AI107" s="142">
        <f t="shared" ca="1" si="28"/>
        <v>5286</v>
      </c>
      <c r="AJ107" s="142">
        <f t="shared" ca="1" si="29"/>
        <v>5529</v>
      </c>
      <c r="AM107" t="s">
        <v>27</v>
      </c>
      <c r="AN107" t="s">
        <v>124</v>
      </c>
      <c r="AO107" s="128">
        <v>0.3</v>
      </c>
      <c r="AP107" s="142">
        <f t="shared" ca="1" si="33"/>
        <v>58882</v>
      </c>
      <c r="AQ107" s="142">
        <f t="shared" ca="1" si="34"/>
        <v>60411</v>
      </c>
      <c r="AT107" t="s">
        <v>8</v>
      </c>
      <c r="AU107" t="s">
        <v>104</v>
      </c>
      <c r="AV107" s="142">
        <f t="shared" ca="1" si="36"/>
        <v>96033</v>
      </c>
      <c r="AW107" s="142">
        <f t="shared" ca="1" si="36"/>
        <v>49563</v>
      </c>
      <c r="AX107" s="142">
        <f t="shared" ca="1" si="19"/>
        <v>149456</v>
      </c>
    </row>
    <row r="108" spans="2:50">
      <c r="B108" s="55" t="s">
        <v>28</v>
      </c>
      <c r="C108" t="s">
        <v>47</v>
      </c>
      <c r="D108" s="142">
        <f t="shared" ca="1" si="20"/>
        <v>190671</v>
      </c>
      <c r="E108" s="142">
        <f t="shared" ca="1" si="21"/>
        <v>193875</v>
      </c>
      <c r="H108" s="55" t="s">
        <v>23</v>
      </c>
      <c r="I108" t="s">
        <v>42</v>
      </c>
      <c r="J108" s="142">
        <f t="shared" ca="1" si="22"/>
        <v>247355</v>
      </c>
      <c r="K108" s="142">
        <f t="shared" ca="1" si="23"/>
        <v>248082</v>
      </c>
      <c r="N108" s="55" t="s">
        <v>23</v>
      </c>
      <c r="O108" t="s">
        <v>42</v>
      </c>
      <c r="P108" s="142">
        <f t="shared" ca="1" si="24"/>
        <v>221711</v>
      </c>
      <c r="Q108" s="142">
        <f t="shared" ca="1" si="25"/>
        <v>223815</v>
      </c>
      <c r="T108" s="55" t="s">
        <v>12</v>
      </c>
      <c r="U108" t="s">
        <v>11</v>
      </c>
      <c r="V108" s="142">
        <f t="shared" ca="1" si="26"/>
        <v>382321</v>
      </c>
      <c r="W108" s="142">
        <f t="shared" ca="1" si="27"/>
        <v>385295</v>
      </c>
      <c r="AD108" s="142"/>
      <c r="AG108" t="s">
        <v>29</v>
      </c>
      <c r="AH108" t="s">
        <v>139</v>
      </c>
      <c r="AI108" s="142">
        <f t="shared" ca="1" si="28"/>
        <v>7804</v>
      </c>
      <c r="AJ108" s="142">
        <f t="shared" ca="1" si="29"/>
        <v>8033</v>
      </c>
      <c r="AM108" t="s">
        <v>17</v>
      </c>
      <c r="AN108" t="s">
        <v>124</v>
      </c>
      <c r="AO108" s="128">
        <v>0.3</v>
      </c>
      <c r="AP108" s="142">
        <f t="shared" ca="1" si="33"/>
        <v>98455</v>
      </c>
      <c r="AQ108" s="142">
        <f t="shared" ca="1" si="34"/>
        <v>98836</v>
      </c>
      <c r="AT108" t="s">
        <v>12</v>
      </c>
      <c r="AU108" t="s">
        <v>104</v>
      </c>
      <c r="AV108" s="142">
        <f t="shared" ca="1" si="36"/>
        <v>58729</v>
      </c>
      <c r="AW108" s="142">
        <f t="shared" ca="1" si="36"/>
        <v>24868</v>
      </c>
      <c r="AX108" s="142">
        <f t="shared" ca="1" si="19"/>
        <v>88160</v>
      </c>
    </row>
    <row r="109" spans="2:50">
      <c r="B109" s="55" t="s">
        <v>28</v>
      </c>
      <c r="C109" t="s">
        <v>46</v>
      </c>
      <c r="D109" s="142">
        <f t="shared" ca="1" si="20"/>
        <v>456513</v>
      </c>
      <c r="E109" s="142">
        <f t="shared" ca="1" si="21"/>
        <v>459017</v>
      </c>
      <c r="H109" s="55" t="s">
        <v>16</v>
      </c>
      <c r="I109" t="s">
        <v>42</v>
      </c>
      <c r="J109" s="142">
        <f t="shared" ca="1" si="22"/>
        <v>635066</v>
      </c>
      <c r="K109" s="142">
        <f t="shared" ca="1" si="23"/>
        <v>641980</v>
      </c>
      <c r="N109" s="55" t="s">
        <v>10</v>
      </c>
      <c r="O109" t="s">
        <v>46</v>
      </c>
      <c r="P109" s="142">
        <f t="shared" ca="1" si="24"/>
        <v>400512</v>
      </c>
      <c r="Q109" s="142">
        <f t="shared" ca="1" si="25"/>
        <v>403663</v>
      </c>
      <c r="T109" s="55" t="s">
        <v>12</v>
      </c>
      <c r="U109" t="s">
        <v>69</v>
      </c>
      <c r="V109" s="142">
        <f t="shared" ca="1" si="26"/>
        <v>471595</v>
      </c>
      <c r="W109" s="142">
        <f t="shared" ca="1" si="27"/>
        <v>472966</v>
      </c>
      <c r="AD109" s="142"/>
      <c r="AG109" t="s">
        <v>29</v>
      </c>
      <c r="AH109" t="s">
        <v>143</v>
      </c>
      <c r="AI109" s="142">
        <f t="shared" ca="1" si="28"/>
        <v>8558</v>
      </c>
      <c r="AJ109" s="142">
        <f t="shared" ca="1" si="29"/>
        <v>9388</v>
      </c>
      <c r="AM109" t="s">
        <v>28</v>
      </c>
      <c r="AN109" t="s">
        <v>124</v>
      </c>
      <c r="AO109" s="128">
        <v>0.3</v>
      </c>
      <c r="AP109" s="142">
        <f t="shared" ca="1" si="33"/>
        <v>91469</v>
      </c>
      <c r="AQ109" s="142">
        <f t="shared" ca="1" si="34"/>
        <v>94883</v>
      </c>
      <c r="AT109" t="s">
        <v>14</v>
      </c>
      <c r="AU109" t="s">
        <v>104</v>
      </c>
      <c r="AV109" s="142">
        <f t="shared" ca="1" si="36"/>
        <v>60280</v>
      </c>
      <c r="AW109" s="142">
        <f t="shared" ca="1" si="36"/>
        <v>88145</v>
      </c>
      <c r="AX109" s="142">
        <f t="shared" ca="1" si="19"/>
        <v>150445</v>
      </c>
    </row>
    <row r="110" spans="2:50">
      <c r="B110" s="55" t="s">
        <v>28</v>
      </c>
      <c r="C110" t="s">
        <v>44</v>
      </c>
      <c r="D110" s="142">
        <f t="shared" ca="1" si="20"/>
        <v>369179</v>
      </c>
      <c r="E110" s="142">
        <f t="shared" ca="1" si="21"/>
        <v>378422</v>
      </c>
      <c r="H110" s="55" t="s">
        <v>22</v>
      </c>
      <c r="I110" t="s">
        <v>42</v>
      </c>
      <c r="J110" s="142">
        <f t="shared" ca="1" si="22"/>
        <v>470611</v>
      </c>
      <c r="K110" s="142">
        <f t="shared" ca="1" si="23"/>
        <v>471397</v>
      </c>
      <c r="N110" s="55" t="s">
        <v>23</v>
      </c>
      <c r="O110" t="s">
        <v>48</v>
      </c>
      <c r="P110" s="142">
        <f t="shared" ca="1" si="24"/>
        <v>443711</v>
      </c>
      <c r="Q110" s="142">
        <f t="shared" ca="1" si="25"/>
        <v>446337</v>
      </c>
      <c r="T110" s="55" t="s">
        <v>12</v>
      </c>
      <c r="U110" t="s">
        <v>66</v>
      </c>
      <c r="V110" s="142">
        <f t="shared" ca="1" si="26"/>
        <v>468165</v>
      </c>
      <c r="W110" s="142">
        <f t="shared" ca="1" si="27"/>
        <v>472506</v>
      </c>
      <c r="AD110" s="142"/>
      <c r="AG110" t="s">
        <v>29</v>
      </c>
      <c r="AH110" t="s">
        <v>134</v>
      </c>
      <c r="AI110" s="142">
        <f t="shared" ca="1" si="28"/>
        <v>9458</v>
      </c>
      <c r="AJ110" s="142">
        <f t="shared" ca="1" si="29"/>
        <v>9960</v>
      </c>
      <c r="AM110" t="s">
        <v>9</v>
      </c>
      <c r="AN110" t="s">
        <v>157</v>
      </c>
      <c r="AO110" s="128">
        <v>0.3</v>
      </c>
      <c r="AP110" s="142">
        <f t="shared" ca="1" si="33"/>
        <v>82739</v>
      </c>
      <c r="AQ110" s="142">
        <f t="shared" ca="1" si="34"/>
        <v>86343</v>
      </c>
      <c r="AT110" t="s">
        <v>27</v>
      </c>
      <c r="AU110" t="s">
        <v>104</v>
      </c>
      <c r="AV110" s="142">
        <f t="shared" ca="1" si="36"/>
        <v>36977</v>
      </c>
      <c r="AW110" s="142">
        <f t="shared" ca="1" si="36"/>
        <v>93210</v>
      </c>
      <c r="AX110" s="142">
        <f t="shared" ca="1" si="19"/>
        <v>131820</v>
      </c>
    </row>
    <row r="111" spans="2:50">
      <c r="B111" s="55" t="s">
        <v>28</v>
      </c>
      <c r="C111" t="s">
        <v>51</v>
      </c>
      <c r="D111" s="142">
        <f t="shared" ca="1" si="20"/>
        <v>269655</v>
      </c>
      <c r="E111" s="142">
        <f t="shared" ca="1" si="21"/>
        <v>270131</v>
      </c>
      <c r="H111" s="55" t="s">
        <v>24</v>
      </c>
      <c r="I111" t="s">
        <v>45</v>
      </c>
      <c r="J111" s="142">
        <f t="shared" ca="1" si="22"/>
        <v>483951</v>
      </c>
      <c r="K111" s="142">
        <f t="shared" ca="1" si="23"/>
        <v>484670</v>
      </c>
      <c r="N111" s="55" t="s">
        <v>10</v>
      </c>
      <c r="O111" t="s">
        <v>51</v>
      </c>
      <c r="P111" s="142">
        <f t="shared" ca="1" si="24"/>
        <v>294437</v>
      </c>
      <c r="Q111" s="142">
        <f t="shared" ca="1" si="25"/>
        <v>295506</v>
      </c>
      <c r="T111" s="55" t="s">
        <v>14</v>
      </c>
      <c r="U111" t="s">
        <v>68</v>
      </c>
      <c r="V111" s="142">
        <f t="shared" ca="1" si="26"/>
        <v>836452</v>
      </c>
      <c r="W111" s="142">
        <f t="shared" ca="1" si="27"/>
        <v>836593</v>
      </c>
      <c r="AD111" s="142"/>
      <c r="AG111" t="s">
        <v>14</v>
      </c>
      <c r="AH111" t="s">
        <v>43</v>
      </c>
      <c r="AI111" s="142">
        <f t="shared" ca="1" si="28"/>
        <v>4837</v>
      </c>
      <c r="AJ111" s="142">
        <f t="shared" ca="1" si="29"/>
        <v>5555</v>
      </c>
      <c r="AM111" t="s">
        <v>15</v>
      </c>
      <c r="AN111" t="s">
        <v>157</v>
      </c>
      <c r="AO111" s="128">
        <v>0.3</v>
      </c>
      <c r="AP111" s="142">
        <f t="shared" ca="1" si="33"/>
        <v>24436</v>
      </c>
      <c r="AQ111" s="142">
        <f t="shared" ca="1" si="34"/>
        <v>25937</v>
      </c>
      <c r="AT111" t="s">
        <v>17</v>
      </c>
      <c r="AU111" t="s">
        <v>104</v>
      </c>
      <c r="AV111" s="142">
        <f t="shared" ca="1" si="36"/>
        <v>69127</v>
      </c>
      <c r="AW111" s="142">
        <f t="shared" ca="1" si="36"/>
        <v>35672</v>
      </c>
      <c r="AX111" s="142">
        <f t="shared" ca="1" si="19"/>
        <v>107672</v>
      </c>
    </row>
    <row r="112" spans="2:50">
      <c r="B112" s="55" t="s">
        <v>28</v>
      </c>
      <c r="C112" t="s">
        <v>48</v>
      </c>
      <c r="D112" s="142">
        <f t="shared" ca="1" si="20"/>
        <v>307394</v>
      </c>
      <c r="E112" s="142">
        <f t="shared" ca="1" si="21"/>
        <v>310597</v>
      </c>
      <c r="H112" s="55" t="s">
        <v>24</v>
      </c>
      <c r="I112" t="s">
        <v>51</v>
      </c>
      <c r="J112" s="142">
        <f t="shared" ca="1" si="22"/>
        <v>868879</v>
      </c>
      <c r="K112" s="142">
        <f t="shared" ca="1" si="23"/>
        <v>870004</v>
      </c>
      <c r="N112" s="55" t="s">
        <v>10</v>
      </c>
      <c r="O112" t="s">
        <v>50</v>
      </c>
      <c r="P112" s="142">
        <f t="shared" ca="1" si="24"/>
        <v>326719</v>
      </c>
      <c r="Q112" s="142">
        <f t="shared" ca="1" si="25"/>
        <v>329509</v>
      </c>
      <c r="T112" s="55" t="s">
        <v>14</v>
      </c>
      <c r="U112" t="s">
        <v>77</v>
      </c>
      <c r="V112" s="142">
        <f t="shared" ca="1" si="26"/>
        <v>205815</v>
      </c>
      <c r="W112" s="142">
        <f t="shared" ca="1" si="27"/>
        <v>208105</v>
      </c>
      <c r="AD112" s="142"/>
      <c r="AG112" t="s">
        <v>14</v>
      </c>
      <c r="AH112" t="s">
        <v>134</v>
      </c>
      <c r="AI112" s="142">
        <f t="shared" ca="1" si="28"/>
        <v>9714</v>
      </c>
      <c r="AJ112" s="142">
        <f t="shared" ca="1" si="29"/>
        <v>10339</v>
      </c>
      <c r="AM112" t="s">
        <v>8</v>
      </c>
      <c r="AN112" t="s">
        <v>157</v>
      </c>
      <c r="AO112" s="128">
        <v>0.3</v>
      </c>
      <c r="AP112" s="142">
        <f t="shared" ca="1" si="33"/>
        <v>99120</v>
      </c>
      <c r="AQ112" s="142">
        <f t="shared" ca="1" si="34"/>
        <v>100445</v>
      </c>
      <c r="AT112" t="s">
        <v>28</v>
      </c>
      <c r="AU112" t="s">
        <v>104</v>
      </c>
      <c r="AV112" s="142">
        <f t="shared" ca="1" si="36"/>
        <v>98761</v>
      </c>
      <c r="AW112" s="142">
        <f t="shared" ca="1" si="36"/>
        <v>51075</v>
      </c>
      <c r="AX112" s="142">
        <f t="shared" ca="1" si="19"/>
        <v>151234</v>
      </c>
    </row>
    <row r="113" spans="2:50">
      <c r="B113" s="55" t="s">
        <v>28</v>
      </c>
      <c r="C113" t="s">
        <v>49</v>
      </c>
      <c r="D113" s="142">
        <f t="shared" ca="1" si="20"/>
        <v>731648</v>
      </c>
      <c r="E113" s="142">
        <f t="shared" ca="1" si="21"/>
        <v>732455</v>
      </c>
      <c r="H113" s="55" t="s">
        <v>25</v>
      </c>
      <c r="I113" t="s">
        <v>45</v>
      </c>
      <c r="J113" s="142">
        <f t="shared" ca="1" si="22"/>
        <v>468132</v>
      </c>
      <c r="K113" s="142">
        <f t="shared" ca="1" si="23"/>
        <v>472079</v>
      </c>
      <c r="N113" s="55" t="s">
        <v>23</v>
      </c>
      <c r="O113" t="s">
        <v>51</v>
      </c>
      <c r="P113" s="142">
        <f t="shared" ca="1" si="24"/>
        <v>154285</v>
      </c>
      <c r="Q113" s="142">
        <f t="shared" ca="1" si="25"/>
        <v>155712</v>
      </c>
      <c r="T113" s="55" t="s">
        <v>14</v>
      </c>
      <c r="U113" t="s">
        <v>67</v>
      </c>
      <c r="V113" s="142">
        <f t="shared" ca="1" si="26"/>
        <v>916079</v>
      </c>
      <c r="W113" s="142">
        <f t="shared" ca="1" si="27"/>
        <v>917767</v>
      </c>
      <c r="AD113" s="142"/>
      <c r="AG113" t="s">
        <v>14</v>
      </c>
      <c r="AH113" t="s">
        <v>159</v>
      </c>
      <c r="AI113" s="142">
        <f t="shared" ca="1" si="28"/>
        <v>6088</v>
      </c>
      <c r="AJ113" s="142">
        <f t="shared" ca="1" si="29"/>
        <v>6266</v>
      </c>
      <c r="AM113" t="s">
        <v>12</v>
      </c>
      <c r="AN113" t="s">
        <v>157</v>
      </c>
      <c r="AO113" s="128">
        <v>0.3</v>
      </c>
      <c r="AP113" s="142">
        <f t="shared" ca="1" si="33"/>
        <v>46065</v>
      </c>
      <c r="AQ113" s="142">
        <f t="shared" ca="1" si="34"/>
        <v>47652</v>
      </c>
      <c r="AT113" t="s">
        <v>23</v>
      </c>
      <c r="AU113" t="s">
        <v>124</v>
      </c>
      <c r="AV113" s="142">
        <f t="shared" ca="1" si="36"/>
        <v>79920</v>
      </c>
      <c r="AW113" s="142">
        <f t="shared" ca="1" si="36"/>
        <v>68934</v>
      </c>
      <c r="AX113" s="142">
        <f t="shared" ca="1" si="19"/>
        <v>149738</v>
      </c>
    </row>
    <row r="114" spans="2:50">
      <c r="B114" s="55" t="s">
        <v>9</v>
      </c>
      <c r="C114" t="s">
        <v>48</v>
      </c>
      <c r="D114" s="142">
        <f t="shared" ca="1" si="20"/>
        <v>306087</v>
      </c>
      <c r="E114" s="142">
        <f t="shared" ca="1" si="21"/>
        <v>309461</v>
      </c>
      <c r="H114" s="55" t="s">
        <v>25</v>
      </c>
      <c r="I114" t="s">
        <v>51</v>
      </c>
      <c r="J114" s="142">
        <f t="shared" ca="1" si="22"/>
        <v>164163</v>
      </c>
      <c r="K114" s="142">
        <f t="shared" ca="1" si="23"/>
        <v>164821</v>
      </c>
      <c r="N114" s="55" t="s">
        <v>23</v>
      </c>
      <c r="O114" t="s">
        <v>50</v>
      </c>
      <c r="P114" s="142">
        <f t="shared" ca="1" si="24"/>
        <v>544996</v>
      </c>
      <c r="Q114" s="142">
        <f t="shared" ca="1" si="25"/>
        <v>546779</v>
      </c>
      <c r="T114" s="55" t="s">
        <v>12</v>
      </c>
      <c r="U114" t="s">
        <v>67</v>
      </c>
      <c r="V114" s="142">
        <f t="shared" ca="1" si="26"/>
        <v>434125</v>
      </c>
      <c r="W114" s="142">
        <f t="shared" ca="1" si="27"/>
        <v>436492</v>
      </c>
      <c r="AD114" s="142"/>
      <c r="AG114" t="s">
        <v>14</v>
      </c>
      <c r="AH114" t="s">
        <v>126</v>
      </c>
      <c r="AI114" s="142">
        <f t="shared" ca="1" si="28"/>
        <v>7437</v>
      </c>
      <c r="AJ114" s="142">
        <f t="shared" ca="1" si="29"/>
        <v>7825</v>
      </c>
      <c r="AM114" t="s">
        <v>14</v>
      </c>
      <c r="AN114" t="s">
        <v>157</v>
      </c>
      <c r="AO114" s="128">
        <v>0.3</v>
      </c>
      <c r="AP114" s="142">
        <f t="shared" ca="1" si="33"/>
        <v>53140</v>
      </c>
      <c r="AQ114" s="142">
        <f t="shared" ca="1" si="34"/>
        <v>56512</v>
      </c>
      <c r="AT114" t="s">
        <v>10</v>
      </c>
      <c r="AU114" t="s">
        <v>124</v>
      </c>
      <c r="AV114" s="142">
        <f t="shared" ca="1" si="36"/>
        <v>24495</v>
      </c>
      <c r="AW114" s="142">
        <f t="shared" ca="1" si="36"/>
        <v>13041</v>
      </c>
      <c r="AX114" s="142">
        <f t="shared" ca="1" si="19"/>
        <v>38024</v>
      </c>
    </row>
    <row r="115" spans="2:50">
      <c r="B115" s="55" t="s">
        <v>9</v>
      </c>
      <c r="C115" t="s">
        <v>50</v>
      </c>
      <c r="D115" s="142">
        <f t="shared" ca="1" si="20"/>
        <v>716836</v>
      </c>
      <c r="E115" s="142">
        <f t="shared" ca="1" si="21"/>
        <v>718245</v>
      </c>
      <c r="H115" s="55" t="s">
        <v>29</v>
      </c>
      <c r="I115" t="s">
        <v>51</v>
      </c>
      <c r="J115" s="142">
        <f t="shared" ca="1" si="22"/>
        <v>404290</v>
      </c>
      <c r="K115" s="142">
        <f t="shared" ca="1" si="23"/>
        <v>404906</v>
      </c>
      <c r="N115" s="55" t="s">
        <v>10</v>
      </c>
      <c r="O115" t="s">
        <v>44</v>
      </c>
      <c r="P115" s="142">
        <f t="shared" ca="1" si="24"/>
        <v>723092</v>
      </c>
      <c r="Q115" s="142">
        <f t="shared" ca="1" si="25"/>
        <v>726442</v>
      </c>
      <c r="T115" s="55" t="s">
        <v>14</v>
      </c>
      <c r="U115" t="s">
        <v>66</v>
      </c>
      <c r="V115" s="142">
        <f t="shared" ca="1" si="26"/>
        <v>707510</v>
      </c>
      <c r="W115" s="142">
        <f t="shared" ca="1" si="27"/>
        <v>713610</v>
      </c>
      <c r="AD115" s="142"/>
      <c r="AG115" t="s">
        <v>14</v>
      </c>
      <c r="AH115" t="s">
        <v>143</v>
      </c>
      <c r="AI115" s="142">
        <f t="shared" ca="1" si="28"/>
        <v>5103</v>
      </c>
      <c r="AJ115" s="142">
        <f t="shared" ca="1" si="29"/>
        <v>5139</v>
      </c>
      <c r="AM115" t="s">
        <v>27</v>
      </c>
      <c r="AN115" t="s">
        <v>157</v>
      </c>
      <c r="AO115" s="128">
        <v>0.3</v>
      </c>
      <c r="AP115" s="142">
        <f t="shared" ca="1" si="33"/>
        <v>77212</v>
      </c>
      <c r="AQ115" s="142">
        <f t="shared" ca="1" si="34"/>
        <v>81507</v>
      </c>
      <c r="AT115" t="s">
        <v>9</v>
      </c>
      <c r="AU115" t="s">
        <v>124</v>
      </c>
      <c r="AV115" s="142">
        <f t="shared" ref="AV115:AW130" ca="1" si="37">RANDBETWEEN(10000,100000)</f>
        <v>44183</v>
      </c>
      <c r="AW115" s="142">
        <f t="shared" ca="1" si="37"/>
        <v>50400</v>
      </c>
      <c r="AX115" s="142">
        <f t="shared" ca="1" si="19"/>
        <v>97032</v>
      </c>
    </row>
    <row r="116" spans="2:50">
      <c r="B116" s="55" t="s">
        <v>9</v>
      </c>
      <c r="C116" t="s">
        <v>44</v>
      </c>
      <c r="D116" s="142">
        <f t="shared" ca="1" si="20"/>
        <v>928116</v>
      </c>
      <c r="E116" s="142">
        <f t="shared" ca="1" si="21"/>
        <v>931770</v>
      </c>
      <c r="H116" s="55" t="s">
        <v>29</v>
      </c>
      <c r="I116" t="s">
        <v>45</v>
      </c>
      <c r="J116" s="142">
        <f t="shared" ca="1" si="22"/>
        <v>663378</v>
      </c>
      <c r="K116" s="142">
        <f t="shared" ca="1" si="23"/>
        <v>664963</v>
      </c>
      <c r="N116" s="55" t="s">
        <v>10</v>
      </c>
      <c r="O116" t="s">
        <v>48</v>
      </c>
      <c r="P116" s="142">
        <f t="shared" ca="1" si="24"/>
        <v>465172</v>
      </c>
      <c r="Q116" s="142">
        <f t="shared" ca="1" si="25"/>
        <v>471884</v>
      </c>
      <c r="T116" s="55" t="s">
        <v>14</v>
      </c>
      <c r="U116" t="s">
        <v>11</v>
      </c>
      <c r="V116" s="142">
        <f t="shared" ca="1" si="26"/>
        <v>139286</v>
      </c>
      <c r="W116" s="142">
        <f t="shared" ca="1" si="27"/>
        <v>139921</v>
      </c>
      <c r="AD116" s="142"/>
      <c r="AG116" t="s">
        <v>14</v>
      </c>
      <c r="AH116" t="s">
        <v>139</v>
      </c>
      <c r="AI116" s="142">
        <f t="shared" ca="1" si="28"/>
        <v>4338</v>
      </c>
      <c r="AJ116" s="142">
        <f t="shared" ca="1" si="29"/>
        <v>4394</v>
      </c>
      <c r="AM116" t="s">
        <v>17</v>
      </c>
      <c r="AN116" t="s">
        <v>157</v>
      </c>
      <c r="AO116" s="128">
        <v>0.3</v>
      </c>
      <c r="AP116" s="142">
        <f t="shared" ca="1" si="33"/>
        <v>99699</v>
      </c>
      <c r="AQ116" s="142">
        <f t="shared" ca="1" si="34"/>
        <v>100589</v>
      </c>
      <c r="AT116" t="s">
        <v>15</v>
      </c>
      <c r="AU116" t="s">
        <v>124</v>
      </c>
      <c r="AV116" s="142">
        <f t="shared" ca="1" si="37"/>
        <v>57469</v>
      </c>
      <c r="AW116" s="142">
        <f t="shared" ca="1" si="37"/>
        <v>99574</v>
      </c>
      <c r="AX116" s="142">
        <f t="shared" ca="1" si="19"/>
        <v>162627</v>
      </c>
    </row>
    <row r="117" spans="2:50">
      <c r="B117" s="55" t="s">
        <v>9</v>
      </c>
      <c r="C117" t="s">
        <v>51</v>
      </c>
      <c r="D117" s="142">
        <f t="shared" ca="1" si="20"/>
        <v>907782</v>
      </c>
      <c r="E117" s="142">
        <f t="shared" ca="1" si="21"/>
        <v>909168</v>
      </c>
      <c r="H117" s="55" t="s">
        <v>26</v>
      </c>
      <c r="I117" t="s">
        <v>45</v>
      </c>
      <c r="J117" s="142">
        <f t="shared" ca="1" si="22"/>
        <v>793228</v>
      </c>
      <c r="K117" s="142">
        <f t="shared" ca="1" si="23"/>
        <v>794152</v>
      </c>
      <c r="N117" s="55" t="s">
        <v>29</v>
      </c>
      <c r="O117" t="s">
        <v>43</v>
      </c>
      <c r="P117" s="142">
        <f t="shared" ca="1" si="24"/>
        <v>146523</v>
      </c>
      <c r="Q117" s="142">
        <f t="shared" ca="1" si="25"/>
        <v>148120</v>
      </c>
      <c r="T117" s="55" t="s">
        <v>12</v>
      </c>
      <c r="U117" t="s">
        <v>73</v>
      </c>
      <c r="V117" s="142">
        <f t="shared" ca="1" si="26"/>
        <v>314227</v>
      </c>
      <c r="W117" s="142">
        <f t="shared" ca="1" si="27"/>
        <v>318399</v>
      </c>
      <c r="AD117" s="142"/>
      <c r="AG117" t="s">
        <v>14</v>
      </c>
      <c r="AH117" t="s">
        <v>157</v>
      </c>
      <c r="AI117" s="142">
        <f t="shared" ca="1" si="28"/>
        <v>3156</v>
      </c>
      <c r="AJ117" s="142">
        <f t="shared" ca="1" si="29"/>
        <v>3178</v>
      </c>
      <c r="AM117" t="s">
        <v>28</v>
      </c>
      <c r="AN117" t="s">
        <v>157</v>
      </c>
      <c r="AO117" s="128">
        <v>0.3</v>
      </c>
      <c r="AP117" s="142">
        <f t="shared" ca="1" si="33"/>
        <v>56585</v>
      </c>
      <c r="AQ117" s="142">
        <f t="shared" ca="1" si="34"/>
        <v>57542</v>
      </c>
      <c r="AT117" t="s">
        <v>8</v>
      </c>
      <c r="AU117" t="s">
        <v>124</v>
      </c>
      <c r="AV117" s="142">
        <f t="shared" ca="1" si="37"/>
        <v>44010</v>
      </c>
      <c r="AW117" s="142">
        <f t="shared" ca="1" si="37"/>
        <v>94029</v>
      </c>
      <c r="AX117" s="142">
        <f t="shared" ca="1" si="19"/>
        <v>138728</v>
      </c>
    </row>
    <row r="118" spans="2:50">
      <c r="B118" s="55" t="s">
        <v>28</v>
      </c>
      <c r="C118" t="s">
        <v>50</v>
      </c>
      <c r="D118" s="142">
        <f t="shared" ca="1" si="20"/>
        <v>920731</v>
      </c>
      <c r="E118" s="142">
        <f t="shared" ca="1" si="21"/>
        <v>922834</v>
      </c>
      <c r="H118" s="55" t="s">
        <v>26</v>
      </c>
      <c r="I118" t="s">
        <v>51</v>
      </c>
      <c r="J118" s="142">
        <f t="shared" ca="1" si="22"/>
        <v>166585</v>
      </c>
      <c r="K118" s="142">
        <f t="shared" ca="1" si="23"/>
        <v>167484</v>
      </c>
      <c r="N118" s="55" t="s">
        <v>26</v>
      </c>
      <c r="O118" t="s">
        <v>43</v>
      </c>
      <c r="P118" s="142">
        <f t="shared" ca="1" si="24"/>
        <v>541679</v>
      </c>
      <c r="Q118" s="142">
        <f t="shared" ca="1" si="25"/>
        <v>544334</v>
      </c>
      <c r="T118" s="55" t="s">
        <v>14</v>
      </c>
      <c r="U118" t="s">
        <v>13</v>
      </c>
      <c r="V118" s="142">
        <f t="shared" ca="1" si="26"/>
        <v>803532</v>
      </c>
      <c r="W118" s="142">
        <f t="shared" ca="1" si="27"/>
        <v>803581</v>
      </c>
      <c r="AD118" s="142"/>
      <c r="AG118" t="s">
        <v>10</v>
      </c>
      <c r="AH118" t="s">
        <v>165</v>
      </c>
      <c r="AI118" s="142">
        <f t="shared" ca="1" si="28"/>
        <v>7385</v>
      </c>
      <c r="AJ118" s="142">
        <f t="shared" ca="1" si="29"/>
        <v>7496</v>
      </c>
      <c r="AP118" s="142"/>
      <c r="AQ118" s="142"/>
      <c r="AT118" t="s">
        <v>12</v>
      </c>
      <c r="AU118" t="s">
        <v>124</v>
      </c>
      <c r="AV118" s="142">
        <f t="shared" ca="1" si="37"/>
        <v>88325</v>
      </c>
      <c r="AW118" s="142">
        <f t="shared" ca="1" si="37"/>
        <v>29967</v>
      </c>
      <c r="AX118" s="142">
        <f t="shared" ca="1" si="19"/>
        <v>120934</v>
      </c>
    </row>
    <row r="119" spans="2:50">
      <c r="B119" s="55" t="s">
        <v>26</v>
      </c>
      <c r="C119" t="s">
        <v>37</v>
      </c>
      <c r="D119" s="142">
        <f t="shared" ca="1" si="20"/>
        <v>159182</v>
      </c>
      <c r="E119" s="142">
        <f t="shared" ca="1" si="21"/>
        <v>159774</v>
      </c>
      <c r="H119" s="55" t="s">
        <v>25</v>
      </c>
      <c r="I119" t="s">
        <v>42</v>
      </c>
      <c r="J119" s="142">
        <f t="shared" ca="1" si="22"/>
        <v>922903</v>
      </c>
      <c r="K119" s="142">
        <f t="shared" ca="1" si="23"/>
        <v>923275</v>
      </c>
      <c r="N119" s="55" t="s">
        <v>24</v>
      </c>
      <c r="O119" t="s">
        <v>43</v>
      </c>
      <c r="P119" s="142">
        <f t="shared" ca="1" si="24"/>
        <v>751916</v>
      </c>
      <c r="Q119" s="142">
        <f t="shared" ca="1" si="25"/>
        <v>752391</v>
      </c>
      <c r="T119" s="55" t="s">
        <v>12</v>
      </c>
      <c r="U119" t="s">
        <v>76</v>
      </c>
      <c r="V119" s="142">
        <f t="shared" ca="1" si="26"/>
        <v>124121</v>
      </c>
      <c r="W119" s="142">
        <f t="shared" ca="1" si="27"/>
        <v>126300</v>
      </c>
      <c r="AD119" s="142"/>
      <c r="AG119" t="s">
        <v>9</v>
      </c>
      <c r="AH119" t="s">
        <v>165</v>
      </c>
      <c r="AI119" s="142">
        <f t="shared" ca="1" si="28"/>
        <v>7163</v>
      </c>
      <c r="AJ119" s="142">
        <f t="shared" ca="1" si="29"/>
        <v>7187</v>
      </c>
      <c r="AP119" s="142"/>
      <c r="AQ119" s="142"/>
      <c r="AT119" t="s">
        <v>14</v>
      </c>
      <c r="AU119" t="s">
        <v>124</v>
      </c>
      <c r="AV119" s="142">
        <f t="shared" ca="1" si="37"/>
        <v>55609</v>
      </c>
      <c r="AW119" s="142">
        <f t="shared" ca="1" si="37"/>
        <v>14966</v>
      </c>
      <c r="AX119" s="142">
        <f t="shared" ca="1" si="19"/>
        <v>75143</v>
      </c>
    </row>
    <row r="120" spans="2:50">
      <c r="B120" s="55" t="s">
        <v>24</v>
      </c>
      <c r="C120" t="s">
        <v>37</v>
      </c>
      <c r="D120" s="142">
        <f t="shared" ca="1" si="20"/>
        <v>169339</v>
      </c>
      <c r="E120" s="142">
        <f t="shared" ca="1" si="21"/>
        <v>169422</v>
      </c>
      <c r="H120" s="55" t="s">
        <v>24</v>
      </c>
      <c r="I120" t="s">
        <v>42</v>
      </c>
      <c r="J120" s="142">
        <f t="shared" ca="1" si="22"/>
        <v>115102</v>
      </c>
      <c r="K120" s="142">
        <f t="shared" ca="1" si="23"/>
        <v>118858</v>
      </c>
      <c r="N120" s="55" t="s">
        <v>25</v>
      </c>
      <c r="O120" t="s">
        <v>43</v>
      </c>
      <c r="P120" s="142">
        <f t="shared" ca="1" si="24"/>
        <v>444708</v>
      </c>
      <c r="Q120" s="142">
        <f t="shared" ca="1" si="25"/>
        <v>445056</v>
      </c>
      <c r="T120" s="55" t="s">
        <v>12</v>
      </c>
      <c r="U120" t="s">
        <v>77</v>
      </c>
      <c r="V120" s="142">
        <f t="shared" ca="1" si="26"/>
        <v>588703</v>
      </c>
      <c r="W120" s="142">
        <f t="shared" ca="1" si="27"/>
        <v>590205</v>
      </c>
      <c r="AD120" s="142"/>
      <c r="AG120" t="s">
        <v>15</v>
      </c>
      <c r="AH120" t="s">
        <v>165</v>
      </c>
      <c r="AI120" s="142">
        <f t="shared" ca="1" si="28"/>
        <v>8638</v>
      </c>
      <c r="AJ120" s="142">
        <f t="shared" ca="1" si="29"/>
        <v>8880</v>
      </c>
      <c r="AP120" s="142"/>
      <c r="AQ120" s="142"/>
      <c r="AT120" t="s">
        <v>27</v>
      </c>
      <c r="AU120" t="s">
        <v>124</v>
      </c>
      <c r="AV120" s="142">
        <f t="shared" ca="1" si="37"/>
        <v>90331</v>
      </c>
      <c r="AW120" s="142">
        <f t="shared" ca="1" si="37"/>
        <v>32268</v>
      </c>
      <c r="AX120" s="142">
        <f t="shared" ca="1" si="19"/>
        <v>128456</v>
      </c>
    </row>
    <row r="121" spans="2:50">
      <c r="B121" s="55" t="s">
        <v>29</v>
      </c>
      <c r="C121" t="s">
        <v>37</v>
      </c>
      <c r="D121" s="142">
        <f t="shared" ca="1" si="20"/>
        <v>216129</v>
      </c>
      <c r="E121" s="142">
        <f t="shared" ca="1" si="21"/>
        <v>222478</v>
      </c>
      <c r="H121" s="55">
        <v>2021</v>
      </c>
      <c r="I121" t="s">
        <v>51</v>
      </c>
      <c r="J121" s="142">
        <f t="shared" ca="1" si="22"/>
        <v>376754</v>
      </c>
      <c r="K121" s="142">
        <f t="shared" ca="1" si="23"/>
        <v>378482</v>
      </c>
      <c r="N121" s="55" t="s">
        <v>25</v>
      </c>
      <c r="O121" t="s">
        <v>39</v>
      </c>
      <c r="P121" s="142">
        <f t="shared" ca="1" si="24"/>
        <v>989499</v>
      </c>
      <c r="Q121" s="142">
        <f t="shared" ca="1" si="25"/>
        <v>991401</v>
      </c>
      <c r="T121" s="55" t="s">
        <v>12</v>
      </c>
      <c r="U121" t="s">
        <v>13</v>
      </c>
      <c r="V121" s="142">
        <f t="shared" ca="1" si="26"/>
        <v>943929</v>
      </c>
      <c r="W121" s="142">
        <f t="shared" ca="1" si="27"/>
        <v>944687</v>
      </c>
      <c r="AD121" s="142"/>
      <c r="AG121" t="s">
        <v>8</v>
      </c>
      <c r="AH121" t="s">
        <v>165</v>
      </c>
      <c r="AI121" s="142">
        <f t="shared" ca="1" si="28"/>
        <v>8487</v>
      </c>
      <c r="AJ121" s="142">
        <f t="shared" ca="1" si="29"/>
        <v>8608</v>
      </c>
      <c r="AP121" s="142"/>
      <c r="AQ121" s="142"/>
      <c r="AT121" t="s">
        <v>17</v>
      </c>
      <c r="AU121" t="s">
        <v>124</v>
      </c>
      <c r="AV121" s="142">
        <f t="shared" ca="1" si="37"/>
        <v>36454</v>
      </c>
      <c r="AW121" s="142">
        <f t="shared" ca="1" si="37"/>
        <v>17067</v>
      </c>
      <c r="AX121" s="142">
        <f t="shared" ca="1" si="19"/>
        <v>59967</v>
      </c>
    </row>
    <row r="122" spans="2:50">
      <c r="B122" s="55" t="s">
        <v>24</v>
      </c>
      <c r="C122" t="s">
        <v>44</v>
      </c>
      <c r="D122" s="142">
        <f t="shared" ca="1" si="20"/>
        <v>874491</v>
      </c>
      <c r="E122" s="142">
        <f t="shared" ca="1" si="21"/>
        <v>874902</v>
      </c>
      <c r="H122" s="55">
        <v>2021</v>
      </c>
      <c r="I122" t="s">
        <v>45</v>
      </c>
      <c r="J122" s="142">
        <f t="shared" ca="1" si="22"/>
        <v>669724</v>
      </c>
      <c r="K122" s="142">
        <f t="shared" ca="1" si="23"/>
        <v>674845</v>
      </c>
      <c r="N122" s="55" t="s">
        <v>24</v>
      </c>
      <c r="O122" t="s">
        <v>39</v>
      </c>
      <c r="P122" s="142">
        <f t="shared" ca="1" si="24"/>
        <v>660027</v>
      </c>
      <c r="Q122" s="142">
        <f t="shared" ca="1" si="25"/>
        <v>662010</v>
      </c>
      <c r="T122" s="55" t="s">
        <v>27</v>
      </c>
      <c r="U122" t="s">
        <v>75</v>
      </c>
      <c r="V122" s="142">
        <f t="shared" ca="1" si="26"/>
        <v>613814</v>
      </c>
      <c r="W122" s="142">
        <f t="shared" ca="1" si="27"/>
        <v>614971</v>
      </c>
      <c r="AD122" s="142"/>
      <c r="AG122" t="s">
        <v>12</v>
      </c>
      <c r="AH122" t="s">
        <v>165</v>
      </c>
      <c r="AI122" s="142">
        <f t="shared" ca="1" si="28"/>
        <v>6089</v>
      </c>
      <c r="AJ122" s="142">
        <f t="shared" ca="1" si="29"/>
        <v>7007</v>
      </c>
      <c r="AP122" s="142"/>
      <c r="AQ122" s="142"/>
      <c r="AT122" t="s">
        <v>28</v>
      </c>
      <c r="AU122" t="s">
        <v>124</v>
      </c>
      <c r="AV122" s="142">
        <f t="shared" ca="1" si="37"/>
        <v>91265</v>
      </c>
      <c r="AW122" s="142">
        <f t="shared" ca="1" si="37"/>
        <v>23944</v>
      </c>
      <c r="AX122" s="142">
        <f t="shared" ca="1" si="19"/>
        <v>116443</v>
      </c>
    </row>
    <row r="123" spans="2:50">
      <c r="B123" s="55" t="s">
        <v>25</v>
      </c>
      <c r="C123" t="s">
        <v>37</v>
      </c>
      <c r="D123" s="142">
        <f t="shared" ca="1" si="20"/>
        <v>699183</v>
      </c>
      <c r="E123" s="142">
        <f t="shared" ca="1" si="21"/>
        <v>700175</v>
      </c>
      <c r="H123" s="55">
        <v>2021</v>
      </c>
      <c r="I123" t="s">
        <v>42</v>
      </c>
      <c r="J123" s="142">
        <f t="shared" ca="1" si="22"/>
        <v>642220</v>
      </c>
      <c r="K123" s="142">
        <f t="shared" ca="1" si="23"/>
        <v>642464</v>
      </c>
      <c r="N123" s="55">
        <v>2021</v>
      </c>
      <c r="O123" t="s">
        <v>43</v>
      </c>
      <c r="P123" s="142">
        <f t="shared" ca="1" si="24"/>
        <v>867599</v>
      </c>
      <c r="Q123" s="142">
        <f t="shared" ca="1" si="25"/>
        <v>868583</v>
      </c>
      <c r="T123" s="55" t="s">
        <v>27</v>
      </c>
      <c r="U123" t="s">
        <v>13</v>
      </c>
      <c r="V123" s="142">
        <f t="shared" ca="1" si="26"/>
        <v>853613</v>
      </c>
      <c r="W123" s="142">
        <f t="shared" ca="1" si="27"/>
        <v>857871</v>
      </c>
      <c r="AD123" s="142"/>
      <c r="AG123" t="s">
        <v>14</v>
      </c>
      <c r="AH123" t="s">
        <v>165</v>
      </c>
      <c r="AI123" s="142">
        <f t="shared" ca="1" si="28"/>
        <v>7697</v>
      </c>
      <c r="AJ123" s="142">
        <f t="shared" ca="1" si="29"/>
        <v>8167</v>
      </c>
      <c r="AP123" s="142"/>
      <c r="AQ123" s="142"/>
      <c r="AT123" t="s">
        <v>9</v>
      </c>
      <c r="AU123" t="s">
        <v>157</v>
      </c>
      <c r="AV123" s="142">
        <f t="shared" ca="1" si="37"/>
        <v>77497</v>
      </c>
      <c r="AW123" s="142">
        <f t="shared" ca="1" si="37"/>
        <v>85671</v>
      </c>
      <c r="AX123" s="142">
        <f t="shared" ca="1" si="19"/>
        <v>168334</v>
      </c>
    </row>
    <row r="124" spans="2:50">
      <c r="B124" s="55" t="s">
        <v>26</v>
      </c>
      <c r="C124" t="s">
        <v>44</v>
      </c>
      <c r="D124" s="142">
        <f t="shared" ca="1" si="20"/>
        <v>861610</v>
      </c>
      <c r="E124" s="142">
        <f t="shared" ca="1" si="21"/>
        <v>865496</v>
      </c>
      <c r="H124" s="55" t="s">
        <v>15</v>
      </c>
      <c r="I124" t="s">
        <v>37</v>
      </c>
      <c r="J124" s="142">
        <f t="shared" ca="1" si="22"/>
        <v>985834</v>
      </c>
      <c r="K124" s="142">
        <f t="shared" ca="1" si="23"/>
        <v>986374</v>
      </c>
      <c r="N124" s="55">
        <v>2021</v>
      </c>
      <c r="O124" t="s">
        <v>39</v>
      </c>
      <c r="P124" s="142">
        <f t="shared" ca="1" si="24"/>
        <v>718944</v>
      </c>
      <c r="Q124" s="142">
        <f t="shared" ca="1" si="25"/>
        <v>721360</v>
      </c>
      <c r="T124" s="55" t="s">
        <v>27</v>
      </c>
      <c r="U124" t="s">
        <v>76</v>
      </c>
      <c r="V124" s="142">
        <f t="shared" ca="1" si="26"/>
        <v>671522</v>
      </c>
      <c r="W124" s="142">
        <f t="shared" ca="1" si="27"/>
        <v>673724</v>
      </c>
      <c r="AD124" s="142"/>
      <c r="AG124" t="s">
        <v>27</v>
      </c>
      <c r="AH124" t="s">
        <v>165</v>
      </c>
      <c r="AI124" s="142">
        <f t="shared" ca="1" si="28"/>
        <v>2925</v>
      </c>
      <c r="AJ124" s="142">
        <f t="shared" ca="1" si="29"/>
        <v>3093</v>
      </c>
      <c r="AP124" s="142"/>
      <c r="AQ124" s="142"/>
      <c r="AT124" t="s">
        <v>15</v>
      </c>
      <c r="AU124" t="s">
        <v>157</v>
      </c>
      <c r="AV124" s="142">
        <f t="shared" ca="1" si="37"/>
        <v>69797</v>
      </c>
      <c r="AW124" s="142">
        <f t="shared" ca="1" si="37"/>
        <v>92570</v>
      </c>
      <c r="AX124" s="142">
        <f t="shared" ca="1" si="19"/>
        <v>163931</v>
      </c>
    </row>
    <row r="125" spans="2:50">
      <c r="B125" s="55" t="s">
        <v>25</v>
      </c>
      <c r="C125" t="s">
        <v>44</v>
      </c>
      <c r="D125" s="142">
        <f t="shared" ca="1" si="20"/>
        <v>665922</v>
      </c>
      <c r="E125" s="142">
        <f t="shared" ca="1" si="21"/>
        <v>672959</v>
      </c>
      <c r="H125" s="55" t="s">
        <v>16</v>
      </c>
      <c r="I125" t="s">
        <v>37</v>
      </c>
      <c r="J125" s="142">
        <f t="shared" ca="1" si="22"/>
        <v>736512</v>
      </c>
      <c r="K125" s="142">
        <f t="shared" ca="1" si="23"/>
        <v>743739</v>
      </c>
      <c r="N125" s="55" t="s">
        <v>27</v>
      </c>
      <c r="O125" t="s">
        <v>45</v>
      </c>
      <c r="P125" s="142">
        <f t="shared" ca="1" si="24"/>
        <v>193137</v>
      </c>
      <c r="Q125" s="142">
        <f t="shared" ca="1" si="25"/>
        <v>193198</v>
      </c>
      <c r="T125" s="55" t="s">
        <v>27</v>
      </c>
      <c r="U125" t="s">
        <v>66</v>
      </c>
      <c r="V125" s="142">
        <f t="shared" ca="1" si="26"/>
        <v>493885</v>
      </c>
      <c r="W125" s="142">
        <f t="shared" ca="1" si="27"/>
        <v>496547</v>
      </c>
      <c r="AD125" s="142"/>
      <c r="AG125" t="s">
        <v>17</v>
      </c>
      <c r="AH125" t="s">
        <v>165</v>
      </c>
      <c r="AI125" s="142">
        <f t="shared" ca="1" si="28"/>
        <v>2228</v>
      </c>
      <c r="AJ125" s="142">
        <f t="shared" ca="1" si="29"/>
        <v>2382</v>
      </c>
      <c r="AP125" s="142"/>
      <c r="AQ125" s="142"/>
      <c r="AT125" t="s">
        <v>8</v>
      </c>
      <c r="AU125" t="s">
        <v>157</v>
      </c>
      <c r="AV125" s="142">
        <f t="shared" ca="1" si="37"/>
        <v>15143</v>
      </c>
      <c r="AW125" s="142">
        <f t="shared" ca="1" si="37"/>
        <v>67647</v>
      </c>
      <c r="AX125" s="142">
        <f t="shared" ca="1" si="19"/>
        <v>86474</v>
      </c>
    </row>
    <row r="126" spans="2:50">
      <c r="B126" s="55" t="s">
        <v>29</v>
      </c>
      <c r="C126" t="s">
        <v>44</v>
      </c>
      <c r="D126" s="142">
        <f t="shared" ca="1" si="20"/>
        <v>812339</v>
      </c>
      <c r="E126" s="142">
        <f t="shared" ca="1" si="21"/>
        <v>814286</v>
      </c>
      <c r="H126" s="55" t="s">
        <v>23</v>
      </c>
      <c r="I126" t="s">
        <v>44</v>
      </c>
      <c r="J126" s="142">
        <f t="shared" ca="1" si="22"/>
        <v>947675</v>
      </c>
      <c r="K126" s="142">
        <f t="shared" ca="1" si="23"/>
        <v>948003</v>
      </c>
      <c r="N126" s="55" t="s">
        <v>27</v>
      </c>
      <c r="O126" t="s">
        <v>37</v>
      </c>
      <c r="P126" s="142">
        <f t="shared" ca="1" si="24"/>
        <v>125565</v>
      </c>
      <c r="Q126" s="142">
        <f t="shared" ca="1" si="25"/>
        <v>131680</v>
      </c>
      <c r="T126" s="55" t="s">
        <v>27</v>
      </c>
      <c r="U126" t="s">
        <v>11</v>
      </c>
      <c r="V126" s="142">
        <f t="shared" ca="1" si="26"/>
        <v>617363</v>
      </c>
      <c r="W126" s="142">
        <f t="shared" ca="1" si="27"/>
        <v>622402</v>
      </c>
      <c r="AD126" s="142"/>
      <c r="AG126" t="s">
        <v>28</v>
      </c>
      <c r="AH126" t="s">
        <v>165</v>
      </c>
      <c r="AI126" s="142">
        <f t="shared" ca="1" si="28"/>
        <v>4692</v>
      </c>
      <c r="AJ126" s="142">
        <f t="shared" ca="1" si="29"/>
        <v>4915</v>
      </c>
      <c r="AP126" s="142"/>
      <c r="AQ126" s="142"/>
      <c r="AT126" t="s">
        <v>12</v>
      </c>
      <c r="AU126" t="s">
        <v>157</v>
      </c>
      <c r="AV126" s="142">
        <f t="shared" ca="1" si="37"/>
        <v>14914</v>
      </c>
      <c r="AW126" s="142">
        <f t="shared" ca="1" si="37"/>
        <v>29669</v>
      </c>
      <c r="AX126" s="142">
        <f t="shared" ca="1" si="19"/>
        <v>44815</v>
      </c>
    </row>
    <row r="127" spans="2:50">
      <c r="B127" s="55">
        <v>2021</v>
      </c>
      <c r="C127" t="s">
        <v>44</v>
      </c>
      <c r="D127" s="142">
        <f t="shared" ca="1" si="20"/>
        <v>549669</v>
      </c>
      <c r="E127" s="142">
        <f t="shared" ca="1" si="21"/>
        <v>556496</v>
      </c>
      <c r="H127" s="55" t="s">
        <v>28</v>
      </c>
      <c r="I127" t="s">
        <v>37</v>
      </c>
      <c r="J127" s="142">
        <f t="shared" ca="1" si="22"/>
        <v>562306</v>
      </c>
      <c r="K127" s="142">
        <f t="shared" ca="1" si="23"/>
        <v>563088</v>
      </c>
      <c r="N127" s="55" t="s">
        <v>27</v>
      </c>
      <c r="O127" t="s">
        <v>42</v>
      </c>
      <c r="P127" s="142">
        <f t="shared" ca="1" si="24"/>
        <v>692373</v>
      </c>
      <c r="Q127" s="142">
        <f t="shared" ca="1" si="25"/>
        <v>694599</v>
      </c>
      <c r="T127" s="55" t="s">
        <v>27</v>
      </c>
      <c r="U127" t="s">
        <v>73</v>
      </c>
      <c r="V127" s="142">
        <f t="shared" ca="1" si="26"/>
        <v>517511</v>
      </c>
      <c r="W127" s="142">
        <f t="shared" ca="1" si="27"/>
        <v>520753</v>
      </c>
      <c r="AD127" s="142"/>
      <c r="AG127" t="s">
        <v>10</v>
      </c>
      <c r="AH127" t="s">
        <v>43</v>
      </c>
      <c r="AI127" s="142">
        <f t="shared" ca="1" si="28"/>
        <v>1760</v>
      </c>
      <c r="AJ127" s="142">
        <f t="shared" ca="1" si="29"/>
        <v>2166</v>
      </c>
      <c r="AP127" s="142"/>
      <c r="AQ127" s="142"/>
      <c r="AT127" t="s">
        <v>14</v>
      </c>
      <c r="AU127" t="s">
        <v>157</v>
      </c>
      <c r="AV127" s="142">
        <f t="shared" ca="1" si="37"/>
        <v>30705</v>
      </c>
      <c r="AW127" s="142">
        <f t="shared" ca="1" si="37"/>
        <v>53265</v>
      </c>
      <c r="AX127" s="142">
        <f t="shared" ca="1" si="19"/>
        <v>85517</v>
      </c>
    </row>
    <row r="128" spans="2:50">
      <c r="B128" s="55">
        <v>2021</v>
      </c>
      <c r="C128" t="s">
        <v>37</v>
      </c>
      <c r="D128" s="142">
        <f t="shared" ca="1" si="20"/>
        <v>157032</v>
      </c>
      <c r="E128" s="142">
        <f t="shared" ca="1" si="21"/>
        <v>158683</v>
      </c>
      <c r="H128" s="55" t="s">
        <v>8</v>
      </c>
      <c r="I128" t="s">
        <v>37</v>
      </c>
      <c r="J128" s="142">
        <f t="shared" ca="1" si="22"/>
        <v>783849</v>
      </c>
      <c r="K128" s="142">
        <f t="shared" ca="1" si="23"/>
        <v>785456</v>
      </c>
      <c r="N128" s="55" t="s">
        <v>27</v>
      </c>
      <c r="O128" t="s">
        <v>49</v>
      </c>
      <c r="P128" s="142">
        <f t="shared" ca="1" si="24"/>
        <v>988529</v>
      </c>
      <c r="Q128" s="142">
        <f t="shared" ca="1" si="25"/>
        <v>991759</v>
      </c>
      <c r="T128" s="55" t="s">
        <v>27</v>
      </c>
      <c r="U128" t="s">
        <v>67</v>
      </c>
      <c r="V128" s="142">
        <f t="shared" ca="1" si="26"/>
        <v>320656</v>
      </c>
      <c r="W128" s="142">
        <f t="shared" ca="1" si="27"/>
        <v>322935</v>
      </c>
      <c r="AD128" s="142"/>
      <c r="AG128" t="s">
        <v>9</v>
      </c>
      <c r="AH128" t="s">
        <v>43</v>
      </c>
      <c r="AI128" s="142">
        <f t="shared" ca="1" si="28"/>
        <v>3466</v>
      </c>
      <c r="AJ128" s="142">
        <f t="shared" ca="1" si="29"/>
        <v>3568</v>
      </c>
      <c r="AP128" s="142"/>
      <c r="AQ128" s="142"/>
      <c r="AT128" t="s">
        <v>27</v>
      </c>
      <c r="AU128" t="s">
        <v>157</v>
      </c>
      <c r="AV128" s="142">
        <f t="shared" ca="1" si="37"/>
        <v>93643</v>
      </c>
      <c r="AW128" s="142">
        <f t="shared" ca="1" si="37"/>
        <v>44600</v>
      </c>
      <c r="AX128" s="142">
        <f t="shared" ca="1" si="19"/>
        <v>142575</v>
      </c>
    </row>
    <row r="129" spans="2:50">
      <c r="B129" s="55" t="s">
        <v>25</v>
      </c>
      <c r="C129" t="s">
        <v>46</v>
      </c>
      <c r="D129" s="142">
        <f t="shared" ca="1" si="20"/>
        <v>746000</v>
      </c>
      <c r="E129" s="142">
        <f t="shared" ca="1" si="21"/>
        <v>749196</v>
      </c>
      <c r="H129" s="55" t="s">
        <v>27</v>
      </c>
      <c r="I129" t="s">
        <v>37</v>
      </c>
      <c r="J129" s="142">
        <f t="shared" ca="1" si="22"/>
        <v>659636</v>
      </c>
      <c r="K129" s="142">
        <f t="shared" ca="1" si="23"/>
        <v>660155</v>
      </c>
      <c r="N129" s="55" t="s">
        <v>27</v>
      </c>
      <c r="O129" t="s">
        <v>38</v>
      </c>
      <c r="P129" s="142">
        <f t="shared" ca="1" si="24"/>
        <v>218309</v>
      </c>
      <c r="Q129" s="142">
        <f t="shared" ca="1" si="25"/>
        <v>219818</v>
      </c>
      <c r="T129" s="55" t="s">
        <v>27</v>
      </c>
      <c r="U129" t="s">
        <v>77</v>
      </c>
      <c r="V129" s="142">
        <f t="shared" ca="1" si="26"/>
        <v>797453</v>
      </c>
      <c r="W129" s="142">
        <f t="shared" ca="1" si="27"/>
        <v>802501</v>
      </c>
      <c r="AD129" s="142"/>
      <c r="AG129" t="s">
        <v>15</v>
      </c>
      <c r="AH129" t="s">
        <v>43</v>
      </c>
      <c r="AI129" s="142">
        <f t="shared" ca="1" si="28"/>
        <v>8380</v>
      </c>
      <c r="AJ129" s="142">
        <f t="shared" ca="1" si="29"/>
        <v>8588</v>
      </c>
      <c r="AP129" s="142"/>
      <c r="AQ129" s="142"/>
      <c r="AT129" t="s">
        <v>17</v>
      </c>
      <c r="AU129" t="s">
        <v>157</v>
      </c>
      <c r="AV129" s="142">
        <f t="shared" ca="1" si="37"/>
        <v>73950</v>
      </c>
      <c r="AW129" s="142">
        <f t="shared" ca="1" si="37"/>
        <v>48465</v>
      </c>
      <c r="AX129" s="142">
        <f t="shared" ref="AX129:AX138" ca="1" si="38">RANDBETWEEN(AV129+AW129,AV129+AW129+RANDBETWEEN(1000,10000))</f>
        <v>124626</v>
      </c>
    </row>
    <row r="130" spans="2:50">
      <c r="B130" s="55" t="s">
        <v>24</v>
      </c>
      <c r="C130" t="s">
        <v>46</v>
      </c>
      <c r="D130" s="142">
        <f t="shared" ca="1" si="20"/>
        <v>851295</v>
      </c>
      <c r="E130" s="142">
        <f t="shared" ca="1" si="21"/>
        <v>852064</v>
      </c>
      <c r="H130" s="55" t="s">
        <v>17</v>
      </c>
      <c r="I130" t="s">
        <v>44</v>
      </c>
      <c r="J130" s="142">
        <f t="shared" ca="1" si="22"/>
        <v>569237</v>
      </c>
      <c r="K130" s="142">
        <f t="shared" ca="1" si="23"/>
        <v>571357</v>
      </c>
      <c r="N130" s="55" t="s">
        <v>27</v>
      </c>
      <c r="O130" t="s">
        <v>47</v>
      </c>
      <c r="P130" s="142">
        <f t="shared" ca="1" si="24"/>
        <v>888447</v>
      </c>
      <c r="Q130" s="142">
        <f t="shared" ca="1" si="25"/>
        <v>891267</v>
      </c>
      <c r="T130" s="55" t="s">
        <v>27</v>
      </c>
      <c r="U130" t="s">
        <v>68</v>
      </c>
      <c r="V130" s="142">
        <f t="shared" ca="1" si="26"/>
        <v>957901</v>
      </c>
      <c r="W130" s="142">
        <f t="shared" ca="1" si="27"/>
        <v>957933</v>
      </c>
      <c r="AD130" s="142"/>
      <c r="AG130" t="s">
        <v>8</v>
      </c>
      <c r="AH130" t="s">
        <v>43</v>
      </c>
      <c r="AI130" s="142">
        <f t="shared" ca="1" si="28"/>
        <v>3510</v>
      </c>
      <c r="AJ130" s="142">
        <f t="shared" ca="1" si="29"/>
        <v>3576</v>
      </c>
      <c r="AP130" s="142"/>
      <c r="AQ130" s="142"/>
      <c r="AT130" t="s">
        <v>28</v>
      </c>
      <c r="AU130" t="s">
        <v>157</v>
      </c>
      <c r="AV130" s="142">
        <f t="shared" ca="1" si="37"/>
        <v>56471</v>
      </c>
      <c r="AW130" s="142">
        <f t="shared" ca="1" si="37"/>
        <v>45679</v>
      </c>
      <c r="AX130" s="142">
        <f t="shared" ca="1" si="38"/>
        <v>105678</v>
      </c>
    </row>
    <row r="131" spans="2:50">
      <c r="B131" s="55" t="s">
        <v>26</v>
      </c>
      <c r="C131" t="s">
        <v>46</v>
      </c>
      <c r="D131" s="142">
        <f t="shared" ref="D131:D194" ca="1" si="39">RANDBETWEEN(100000,1000000)</f>
        <v>773191</v>
      </c>
      <c r="E131" s="142">
        <f t="shared" ref="E131:E194" ca="1" si="40">RANDBETWEEN(D131,D131+RANDBETWEEN(1000,10000))</f>
        <v>780535</v>
      </c>
      <c r="H131" s="55" t="s">
        <v>8</v>
      </c>
      <c r="I131" t="s">
        <v>44</v>
      </c>
      <c r="J131" s="142">
        <f t="shared" ref="J131:J194" ca="1" si="41">RANDBETWEEN(100000,1000000)</f>
        <v>734199</v>
      </c>
      <c r="K131" s="142">
        <f t="shared" ref="K131:K194" ca="1" si="42">RANDBETWEEN(J131,J131+RANDBETWEEN(1000,10000))</f>
        <v>738643</v>
      </c>
      <c r="N131" s="55" t="s">
        <v>27</v>
      </c>
      <c r="O131" t="s">
        <v>43</v>
      </c>
      <c r="P131" s="142">
        <f t="shared" ref="P131:P194" ca="1" si="43">RANDBETWEEN(100000,1000000)</f>
        <v>424052</v>
      </c>
      <c r="Q131" s="142">
        <f t="shared" ref="Q131:Q194" ca="1" si="44">RANDBETWEEN(P131,P131+RANDBETWEEN(1000,10000))</f>
        <v>427255</v>
      </c>
      <c r="T131" s="55" t="s">
        <v>27</v>
      </c>
      <c r="U131" t="s">
        <v>69</v>
      </c>
      <c r="V131" s="142">
        <f t="shared" ref="V131:V196" ca="1" si="45">RANDBETWEEN(100000,1000000)</f>
        <v>708952</v>
      </c>
      <c r="W131" s="142">
        <f t="shared" ref="W131:W196" ca="1" si="46">RANDBETWEEN(V131,V131+RANDBETWEEN(1000,10000))</f>
        <v>712468</v>
      </c>
      <c r="AD131" s="142"/>
      <c r="AG131" t="s">
        <v>12</v>
      </c>
      <c r="AH131" t="s">
        <v>43</v>
      </c>
      <c r="AI131" s="142">
        <f t="shared" ref="AI131:AI144" ca="1" si="47">RANDBETWEEN(1000,10000)</f>
        <v>6448</v>
      </c>
      <c r="AJ131" s="142">
        <f t="shared" ref="AJ131:AJ144" ca="1" si="48">RANDBETWEEN(AI131,AI131+RANDBETWEEN(100,1000))</f>
        <v>7235</v>
      </c>
      <c r="AP131" s="142"/>
      <c r="AQ131" s="142"/>
      <c r="AT131" t="s">
        <v>9</v>
      </c>
      <c r="AU131" t="s">
        <v>106</v>
      </c>
      <c r="AV131" s="142">
        <f t="shared" ref="AV131:AW138" ca="1" si="49">RANDBETWEEN(10000,100000)</f>
        <v>64501</v>
      </c>
      <c r="AW131" s="142">
        <f t="shared" ca="1" si="49"/>
        <v>79231</v>
      </c>
      <c r="AX131" s="142">
        <f t="shared" ca="1" si="38"/>
        <v>144976</v>
      </c>
    </row>
    <row r="132" spans="2:50">
      <c r="B132" s="55" t="s">
        <v>29</v>
      </c>
      <c r="C132" t="s">
        <v>46</v>
      </c>
      <c r="D132" s="142">
        <f t="shared" ca="1" si="39"/>
        <v>983614</v>
      </c>
      <c r="E132" s="142">
        <f t="shared" ca="1" si="40"/>
        <v>985424</v>
      </c>
      <c r="H132" s="55" t="s">
        <v>27</v>
      </c>
      <c r="I132" t="s">
        <v>44</v>
      </c>
      <c r="J132" s="142">
        <f t="shared" ca="1" si="41"/>
        <v>344608</v>
      </c>
      <c r="K132" s="142">
        <f t="shared" ca="1" si="42"/>
        <v>345765</v>
      </c>
      <c r="N132" s="55" t="s">
        <v>27</v>
      </c>
      <c r="O132" t="s">
        <v>48</v>
      </c>
      <c r="P132" s="142">
        <f t="shared" ca="1" si="43"/>
        <v>908040</v>
      </c>
      <c r="Q132" s="142">
        <f t="shared" ca="1" si="44"/>
        <v>909574</v>
      </c>
      <c r="T132" s="55" t="s">
        <v>25</v>
      </c>
      <c r="U132" t="s">
        <v>11</v>
      </c>
      <c r="V132" s="142">
        <f t="shared" ca="1" si="45"/>
        <v>777148</v>
      </c>
      <c r="W132" s="142">
        <f t="shared" ca="1" si="46"/>
        <v>777164</v>
      </c>
      <c r="AD132" s="142"/>
      <c r="AG132" t="s">
        <v>14</v>
      </c>
      <c r="AH132" t="s">
        <v>43</v>
      </c>
      <c r="AI132" s="142">
        <f t="shared" ca="1" si="47"/>
        <v>6158</v>
      </c>
      <c r="AJ132" s="142">
        <f t="shared" ca="1" si="48"/>
        <v>6184</v>
      </c>
      <c r="AP132" s="142"/>
      <c r="AQ132" s="142"/>
      <c r="AT132" t="s">
        <v>15</v>
      </c>
      <c r="AU132" t="s">
        <v>106</v>
      </c>
      <c r="AV132" s="142">
        <f t="shared" ca="1" si="49"/>
        <v>35672</v>
      </c>
      <c r="AW132" s="142">
        <f t="shared" ca="1" si="49"/>
        <v>83124</v>
      </c>
      <c r="AX132" s="142">
        <f t="shared" ca="1" si="38"/>
        <v>120456</v>
      </c>
    </row>
    <row r="133" spans="2:50">
      <c r="B133" s="55">
        <v>2021</v>
      </c>
      <c r="C133" t="s">
        <v>46</v>
      </c>
      <c r="D133" s="142">
        <f t="shared" ca="1" si="39"/>
        <v>838169</v>
      </c>
      <c r="E133" s="142">
        <f t="shared" ca="1" si="40"/>
        <v>843066</v>
      </c>
      <c r="H133" s="55" t="s">
        <v>22</v>
      </c>
      <c r="I133" t="s">
        <v>44</v>
      </c>
      <c r="J133" s="142">
        <f t="shared" ca="1" si="41"/>
        <v>456243</v>
      </c>
      <c r="K133" s="142">
        <f t="shared" ca="1" si="42"/>
        <v>457236</v>
      </c>
      <c r="N133" s="55" t="s">
        <v>27</v>
      </c>
      <c r="O133" t="s">
        <v>46</v>
      </c>
      <c r="P133" s="142">
        <f t="shared" ca="1" si="43"/>
        <v>455711</v>
      </c>
      <c r="Q133" s="142">
        <f t="shared" ca="1" si="44"/>
        <v>456421</v>
      </c>
      <c r="T133" s="55" t="s">
        <v>26</v>
      </c>
      <c r="U133" t="s">
        <v>11</v>
      </c>
      <c r="V133" s="142">
        <f t="shared" ca="1" si="45"/>
        <v>540960</v>
      </c>
      <c r="W133" s="142">
        <f t="shared" ca="1" si="46"/>
        <v>542402</v>
      </c>
      <c r="AD133" s="142"/>
      <c r="AG133" t="s">
        <v>27</v>
      </c>
      <c r="AH133" t="s">
        <v>43</v>
      </c>
      <c r="AI133" s="142">
        <f t="shared" ca="1" si="47"/>
        <v>5981</v>
      </c>
      <c r="AJ133" s="142">
        <f t="shared" ca="1" si="48"/>
        <v>6021</v>
      </c>
      <c r="AP133" s="142"/>
      <c r="AQ133" s="142"/>
      <c r="AT133" t="s">
        <v>8</v>
      </c>
      <c r="AU133" t="s">
        <v>106</v>
      </c>
      <c r="AV133" s="142">
        <f t="shared" ca="1" si="49"/>
        <v>55726</v>
      </c>
      <c r="AW133" s="142">
        <f t="shared" ca="1" si="49"/>
        <v>49452</v>
      </c>
      <c r="AX133" s="142">
        <f t="shared" ca="1" si="38"/>
        <v>107455</v>
      </c>
    </row>
    <row r="134" spans="2:50">
      <c r="B134" s="55" t="s">
        <v>29</v>
      </c>
      <c r="C134" t="s">
        <v>38</v>
      </c>
      <c r="D134" s="142">
        <f t="shared" ca="1" si="39"/>
        <v>486065</v>
      </c>
      <c r="E134" s="142">
        <f t="shared" ca="1" si="40"/>
        <v>486986</v>
      </c>
      <c r="H134" s="55" t="s">
        <v>12</v>
      </c>
      <c r="I134" t="s">
        <v>44</v>
      </c>
      <c r="J134" s="142">
        <f t="shared" ca="1" si="41"/>
        <v>952294</v>
      </c>
      <c r="K134" s="142">
        <f t="shared" ca="1" si="42"/>
        <v>953762</v>
      </c>
      <c r="N134" s="55" t="s">
        <v>27</v>
      </c>
      <c r="O134" t="s">
        <v>51</v>
      </c>
      <c r="P134" s="142">
        <f t="shared" ca="1" si="43"/>
        <v>900724</v>
      </c>
      <c r="Q134" s="142">
        <f t="shared" ca="1" si="44"/>
        <v>906921</v>
      </c>
      <c r="T134" s="55" t="s">
        <v>24</v>
      </c>
      <c r="U134" t="s">
        <v>11</v>
      </c>
      <c r="V134" s="142">
        <f t="shared" ca="1" si="45"/>
        <v>446470</v>
      </c>
      <c r="W134" s="142">
        <f t="shared" ca="1" si="46"/>
        <v>450616</v>
      </c>
      <c r="AD134" s="142"/>
      <c r="AG134" t="s">
        <v>17</v>
      </c>
      <c r="AH134" t="s">
        <v>43</v>
      </c>
      <c r="AI134" s="142">
        <f t="shared" ca="1" si="47"/>
        <v>3650</v>
      </c>
      <c r="AJ134" s="142">
        <f t="shared" ca="1" si="48"/>
        <v>3833</v>
      </c>
      <c r="AP134" s="142"/>
      <c r="AQ134" s="142"/>
      <c r="AT134" t="s">
        <v>12</v>
      </c>
      <c r="AU134" t="s">
        <v>106</v>
      </c>
      <c r="AV134" s="142">
        <f t="shared" ca="1" si="49"/>
        <v>21462</v>
      </c>
      <c r="AW134" s="142">
        <f t="shared" ca="1" si="49"/>
        <v>77333</v>
      </c>
      <c r="AX134" s="142">
        <f t="shared" ca="1" si="38"/>
        <v>103143</v>
      </c>
    </row>
    <row r="135" spans="2:50">
      <c r="B135" s="55" t="s">
        <v>25</v>
      </c>
      <c r="C135" t="s">
        <v>38</v>
      </c>
      <c r="D135" s="142">
        <f t="shared" ca="1" si="39"/>
        <v>359370</v>
      </c>
      <c r="E135" s="142">
        <f t="shared" ca="1" si="40"/>
        <v>362877</v>
      </c>
      <c r="H135" s="55" t="s">
        <v>22</v>
      </c>
      <c r="I135" t="s">
        <v>37</v>
      </c>
      <c r="J135" s="142">
        <f t="shared" ca="1" si="41"/>
        <v>509470</v>
      </c>
      <c r="K135" s="142">
        <f t="shared" ca="1" si="42"/>
        <v>510755</v>
      </c>
      <c r="N135" s="55" t="s">
        <v>27</v>
      </c>
      <c r="O135" t="s">
        <v>50</v>
      </c>
      <c r="P135" s="142">
        <f t="shared" ca="1" si="43"/>
        <v>204549</v>
      </c>
      <c r="Q135" s="142">
        <f t="shared" ca="1" si="44"/>
        <v>209781</v>
      </c>
      <c r="T135" s="55" t="s">
        <v>29</v>
      </c>
      <c r="U135" t="s">
        <v>11</v>
      </c>
      <c r="V135" s="142">
        <f t="shared" ca="1" si="45"/>
        <v>660520</v>
      </c>
      <c r="W135" s="142">
        <f t="shared" ca="1" si="46"/>
        <v>668895</v>
      </c>
      <c r="AD135" s="142"/>
      <c r="AG135" t="s">
        <v>28</v>
      </c>
      <c r="AH135" t="s">
        <v>43</v>
      </c>
      <c r="AI135" s="142">
        <f t="shared" ca="1" si="47"/>
        <v>2902</v>
      </c>
      <c r="AJ135" s="142">
        <f t="shared" ca="1" si="48"/>
        <v>3215</v>
      </c>
      <c r="AP135" s="142"/>
      <c r="AQ135" s="142"/>
      <c r="AT135" t="s">
        <v>14</v>
      </c>
      <c r="AU135" t="s">
        <v>106</v>
      </c>
      <c r="AV135" s="142">
        <f t="shared" ca="1" si="49"/>
        <v>62359</v>
      </c>
      <c r="AW135" s="142">
        <f t="shared" ca="1" si="49"/>
        <v>78709</v>
      </c>
      <c r="AX135" s="142">
        <f t="shared" ca="1" si="38"/>
        <v>142444</v>
      </c>
    </row>
    <row r="136" spans="2:50">
      <c r="B136" s="55" t="s">
        <v>24</v>
      </c>
      <c r="C136" t="s">
        <v>38</v>
      </c>
      <c r="D136" s="142">
        <f t="shared" ca="1" si="39"/>
        <v>989133</v>
      </c>
      <c r="E136" s="142">
        <f t="shared" ca="1" si="40"/>
        <v>990668</v>
      </c>
      <c r="H136" s="55" t="s">
        <v>15</v>
      </c>
      <c r="I136" t="s">
        <v>44</v>
      </c>
      <c r="J136" s="142">
        <f t="shared" ca="1" si="41"/>
        <v>673178</v>
      </c>
      <c r="K136" s="142">
        <f t="shared" ca="1" si="42"/>
        <v>677046</v>
      </c>
      <c r="N136" s="55" t="s">
        <v>27</v>
      </c>
      <c r="O136" t="s">
        <v>44</v>
      </c>
      <c r="P136" s="142">
        <f t="shared" ca="1" si="43"/>
        <v>565141</v>
      </c>
      <c r="Q136" s="142">
        <f t="shared" ca="1" si="44"/>
        <v>565388</v>
      </c>
      <c r="T136" s="55">
        <v>2021</v>
      </c>
      <c r="U136" t="s">
        <v>11</v>
      </c>
      <c r="V136" s="142">
        <f t="shared" ca="1" si="45"/>
        <v>575717</v>
      </c>
      <c r="W136" s="142">
        <f t="shared" ca="1" si="46"/>
        <v>576856</v>
      </c>
      <c r="AD136" s="142"/>
      <c r="AG136" t="s">
        <v>10</v>
      </c>
      <c r="AH136" t="s">
        <v>170</v>
      </c>
      <c r="AI136" s="142">
        <f t="shared" ca="1" si="47"/>
        <v>4567</v>
      </c>
      <c r="AJ136" s="142">
        <f t="shared" ca="1" si="48"/>
        <v>4836</v>
      </c>
      <c r="AP136" s="142"/>
      <c r="AQ136" s="142"/>
      <c r="AT136" t="s">
        <v>27</v>
      </c>
      <c r="AU136" t="s">
        <v>106</v>
      </c>
      <c r="AV136" s="142">
        <f t="shared" ca="1" si="49"/>
        <v>81092</v>
      </c>
      <c r="AW136" s="142">
        <f t="shared" ca="1" si="49"/>
        <v>14111</v>
      </c>
      <c r="AX136" s="142">
        <f t="shared" ca="1" si="38"/>
        <v>99158</v>
      </c>
    </row>
    <row r="137" spans="2:50">
      <c r="B137" s="55" t="s">
        <v>26</v>
      </c>
      <c r="C137" t="s">
        <v>38</v>
      </c>
      <c r="D137" s="142">
        <f t="shared" ca="1" si="39"/>
        <v>125372</v>
      </c>
      <c r="E137" s="142">
        <f t="shared" ca="1" si="40"/>
        <v>125434</v>
      </c>
      <c r="H137" s="55" t="s">
        <v>12</v>
      </c>
      <c r="I137" t="s">
        <v>37</v>
      </c>
      <c r="J137" s="142">
        <f t="shared" ca="1" si="41"/>
        <v>401316</v>
      </c>
      <c r="K137" s="142">
        <f t="shared" ca="1" si="42"/>
        <v>404975</v>
      </c>
      <c r="N137" s="55" t="s">
        <v>9</v>
      </c>
      <c r="O137" t="s">
        <v>49</v>
      </c>
      <c r="P137" s="142">
        <f t="shared" ca="1" si="43"/>
        <v>868663</v>
      </c>
      <c r="Q137" s="142">
        <f t="shared" ca="1" si="44"/>
        <v>876035</v>
      </c>
      <c r="T137" s="55" t="s">
        <v>25</v>
      </c>
      <c r="U137" t="s">
        <v>77</v>
      </c>
      <c r="V137" s="142">
        <f t="shared" ca="1" si="45"/>
        <v>329746</v>
      </c>
      <c r="W137" s="142">
        <f t="shared" ca="1" si="46"/>
        <v>330989</v>
      </c>
      <c r="AD137" s="142"/>
      <c r="AG137" t="s">
        <v>9</v>
      </c>
      <c r="AH137" t="s">
        <v>170</v>
      </c>
      <c r="AI137" s="142">
        <f t="shared" ca="1" si="47"/>
        <v>5549</v>
      </c>
      <c r="AJ137" s="142">
        <f t="shared" ca="1" si="48"/>
        <v>5583</v>
      </c>
      <c r="AP137" s="142"/>
      <c r="AQ137" s="142"/>
      <c r="AT137" t="s">
        <v>17</v>
      </c>
      <c r="AU137" t="s">
        <v>106</v>
      </c>
      <c r="AV137" s="142">
        <f t="shared" ca="1" si="49"/>
        <v>13159</v>
      </c>
      <c r="AW137" s="142">
        <f t="shared" ca="1" si="49"/>
        <v>92824</v>
      </c>
      <c r="AX137" s="142">
        <f t="shared" ca="1" si="38"/>
        <v>108747</v>
      </c>
    </row>
    <row r="138" spans="2:50">
      <c r="B138" s="55">
        <v>2021</v>
      </c>
      <c r="C138" t="s">
        <v>38</v>
      </c>
      <c r="D138" s="142">
        <f t="shared" ca="1" si="39"/>
        <v>103174</v>
      </c>
      <c r="E138" s="142">
        <f t="shared" ca="1" si="40"/>
        <v>103345</v>
      </c>
      <c r="H138" s="55" t="s">
        <v>9</v>
      </c>
      <c r="I138" t="s">
        <v>44</v>
      </c>
      <c r="J138" s="142">
        <f t="shared" ca="1" si="41"/>
        <v>120800</v>
      </c>
      <c r="K138" s="142">
        <f t="shared" ca="1" si="42"/>
        <v>124708</v>
      </c>
      <c r="N138" s="55" t="s">
        <v>28</v>
      </c>
      <c r="O138" t="s">
        <v>45</v>
      </c>
      <c r="P138" s="142">
        <f t="shared" ca="1" si="43"/>
        <v>421420</v>
      </c>
      <c r="Q138" s="142">
        <f t="shared" ca="1" si="44"/>
        <v>422067</v>
      </c>
      <c r="T138" s="55" t="s">
        <v>24</v>
      </c>
      <c r="U138" t="s">
        <v>13</v>
      </c>
      <c r="V138" s="142">
        <f t="shared" ca="1" si="45"/>
        <v>270966</v>
      </c>
      <c r="W138" s="142">
        <f t="shared" ca="1" si="46"/>
        <v>275539</v>
      </c>
      <c r="AD138" s="142"/>
      <c r="AG138" t="s">
        <v>15</v>
      </c>
      <c r="AH138" t="s">
        <v>170</v>
      </c>
      <c r="AI138" s="142">
        <f t="shared" ca="1" si="47"/>
        <v>9408</v>
      </c>
      <c r="AJ138" s="142">
        <f t="shared" ca="1" si="48"/>
        <v>9553</v>
      </c>
      <c r="AP138" s="142"/>
      <c r="AQ138" s="142"/>
      <c r="AT138" t="s">
        <v>28</v>
      </c>
      <c r="AU138" t="s">
        <v>106</v>
      </c>
      <c r="AV138" s="142">
        <f t="shared" ca="1" si="49"/>
        <v>43033</v>
      </c>
      <c r="AW138" s="142">
        <f t="shared" ca="1" si="49"/>
        <v>47563</v>
      </c>
      <c r="AX138" s="142">
        <f t="shared" ca="1" si="38"/>
        <v>91726</v>
      </c>
    </row>
    <row r="139" spans="2:50">
      <c r="B139" s="55" t="s">
        <v>27</v>
      </c>
      <c r="C139" t="s">
        <v>49</v>
      </c>
      <c r="D139" s="142">
        <f t="shared" ca="1" si="39"/>
        <v>728148</v>
      </c>
      <c r="E139" s="142">
        <f t="shared" ca="1" si="40"/>
        <v>729127</v>
      </c>
      <c r="H139" s="55" t="s">
        <v>9</v>
      </c>
      <c r="I139" t="s">
        <v>37</v>
      </c>
      <c r="J139" s="142">
        <f t="shared" ca="1" si="41"/>
        <v>277168</v>
      </c>
      <c r="K139" s="142">
        <f t="shared" ca="1" si="42"/>
        <v>278310</v>
      </c>
      <c r="N139" s="55" t="s">
        <v>9</v>
      </c>
      <c r="O139" t="s">
        <v>47</v>
      </c>
      <c r="P139" s="142">
        <f t="shared" ca="1" si="43"/>
        <v>547128</v>
      </c>
      <c r="Q139" s="142">
        <f t="shared" ca="1" si="44"/>
        <v>554834</v>
      </c>
      <c r="T139" s="55" t="s">
        <v>26</v>
      </c>
      <c r="U139" t="s">
        <v>13</v>
      </c>
      <c r="V139" s="142">
        <f t="shared" ca="1" si="45"/>
        <v>638754</v>
      </c>
      <c r="W139" s="142">
        <f t="shared" ca="1" si="46"/>
        <v>646811</v>
      </c>
      <c r="AD139" s="142"/>
      <c r="AG139" t="s">
        <v>8</v>
      </c>
      <c r="AH139" t="s">
        <v>170</v>
      </c>
      <c r="AI139" s="142">
        <f t="shared" ca="1" si="47"/>
        <v>7089</v>
      </c>
      <c r="AJ139" s="142">
        <f t="shared" ca="1" si="48"/>
        <v>7301</v>
      </c>
      <c r="AP139" s="142"/>
      <c r="AQ139" s="142"/>
      <c r="AV139" s="142"/>
      <c r="AW139" s="142"/>
      <c r="AX139" s="142"/>
    </row>
    <row r="140" spans="2:50">
      <c r="B140" s="55" t="s">
        <v>27</v>
      </c>
      <c r="C140" t="s">
        <v>47</v>
      </c>
      <c r="D140" s="142">
        <f t="shared" ca="1" si="39"/>
        <v>939440</v>
      </c>
      <c r="E140" s="142">
        <f t="shared" ca="1" si="40"/>
        <v>941034</v>
      </c>
      <c r="H140" s="55" t="s">
        <v>14</v>
      </c>
      <c r="I140" t="s">
        <v>44</v>
      </c>
      <c r="J140" s="142">
        <f t="shared" ca="1" si="41"/>
        <v>464473</v>
      </c>
      <c r="K140" s="142">
        <f t="shared" ca="1" si="42"/>
        <v>471156</v>
      </c>
      <c r="N140" s="55" t="s">
        <v>9</v>
      </c>
      <c r="O140" t="s">
        <v>38</v>
      </c>
      <c r="P140" s="142">
        <f t="shared" ca="1" si="43"/>
        <v>994669</v>
      </c>
      <c r="Q140" s="142">
        <f t="shared" ca="1" si="44"/>
        <v>995418</v>
      </c>
      <c r="T140" s="55" t="s">
        <v>29</v>
      </c>
      <c r="U140" t="s">
        <v>77</v>
      </c>
      <c r="V140" s="142">
        <f t="shared" ca="1" si="45"/>
        <v>151752</v>
      </c>
      <c r="W140" s="142">
        <f t="shared" ca="1" si="46"/>
        <v>152635</v>
      </c>
      <c r="AD140" s="142"/>
      <c r="AG140" t="s">
        <v>12</v>
      </c>
      <c r="AH140" t="s">
        <v>170</v>
      </c>
      <c r="AI140" s="142">
        <f t="shared" ca="1" si="47"/>
        <v>1881</v>
      </c>
      <c r="AJ140" s="142">
        <f t="shared" ca="1" si="48"/>
        <v>2053</v>
      </c>
      <c r="AP140" s="142"/>
      <c r="AQ140" s="142"/>
      <c r="AV140" s="142"/>
      <c r="AW140" s="142"/>
      <c r="AX140" s="142"/>
    </row>
    <row r="141" spans="2:50">
      <c r="B141" s="55" t="s">
        <v>27</v>
      </c>
      <c r="C141" t="s">
        <v>38</v>
      </c>
      <c r="D141" s="142">
        <f t="shared" ca="1" si="39"/>
        <v>281790</v>
      </c>
      <c r="E141" s="142">
        <f t="shared" ca="1" si="40"/>
        <v>285359</v>
      </c>
      <c r="H141" s="55" t="s">
        <v>17</v>
      </c>
      <c r="I141" t="s">
        <v>37</v>
      </c>
      <c r="J141" s="142">
        <f t="shared" ca="1" si="41"/>
        <v>651128</v>
      </c>
      <c r="K141" s="142">
        <f t="shared" ca="1" si="42"/>
        <v>651846</v>
      </c>
      <c r="N141" s="55" t="s">
        <v>9</v>
      </c>
      <c r="O141" t="s">
        <v>46</v>
      </c>
      <c r="P141" s="142">
        <f t="shared" ca="1" si="43"/>
        <v>658447</v>
      </c>
      <c r="Q141" s="142">
        <f t="shared" ca="1" si="44"/>
        <v>664257</v>
      </c>
      <c r="T141" s="55" t="s">
        <v>24</v>
      </c>
      <c r="U141" t="s">
        <v>77</v>
      </c>
      <c r="V141" s="142">
        <f t="shared" ca="1" si="45"/>
        <v>519672</v>
      </c>
      <c r="W141" s="142">
        <f t="shared" ca="1" si="46"/>
        <v>520471</v>
      </c>
      <c r="AD141" s="142"/>
      <c r="AG141" t="s">
        <v>14</v>
      </c>
      <c r="AH141" t="s">
        <v>170</v>
      </c>
      <c r="AI141" s="142">
        <f t="shared" ca="1" si="47"/>
        <v>2343</v>
      </c>
      <c r="AJ141" s="142">
        <f t="shared" ca="1" si="48"/>
        <v>3252</v>
      </c>
      <c r="AP141" s="142"/>
      <c r="AQ141" s="142"/>
      <c r="AV141" s="142"/>
      <c r="AW141" s="142"/>
      <c r="AX141" s="142"/>
    </row>
    <row r="142" spans="2:50">
      <c r="B142" s="55" t="s">
        <v>27</v>
      </c>
      <c r="C142" t="s">
        <v>45</v>
      </c>
      <c r="D142" s="142">
        <f t="shared" ca="1" si="39"/>
        <v>567937</v>
      </c>
      <c r="E142" s="142">
        <f t="shared" ca="1" si="40"/>
        <v>571137</v>
      </c>
      <c r="H142" s="55" t="s">
        <v>16</v>
      </c>
      <c r="I142" t="s">
        <v>44</v>
      </c>
      <c r="J142" s="142">
        <f t="shared" ca="1" si="41"/>
        <v>328777</v>
      </c>
      <c r="K142" s="142">
        <f t="shared" ca="1" si="42"/>
        <v>333142</v>
      </c>
      <c r="N142" s="55" t="s">
        <v>28</v>
      </c>
      <c r="O142" t="s">
        <v>38</v>
      </c>
      <c r="P142" s="142">
        <f t="shared" ca="1" si="43"/>
        <v>783616</v>
      </c>
      <c r="Q142" s="142">
        <f t="shared" ca="1" si="44"/>
        <v>789003</v>
      </c>
      <c r="T142" s="55" t="s">
        <v>26</v>
      </c>
      <c r="U142" t="s">
        <v>77</v>
      </c>
      <c r="V142" s="142">
        <f t="shared" ca="1" si="45"/>
        <v>142691</v>
      </c>
      <c r="W142" s="142">
        <f t="shared" ca="1" si="46"/>
        <v>145228</v>
      </c>
      <c r="AD142" s="142"/>
      <c r="AG142" t="s">
        <v>27</v>
      </c>
      <c r="AH142" t="s">
        <v>170</v>
      </c>
      <c r="AI142" s="142">
        <f t="shared" ca="1" si="47"/>
        <v>8443</v>
      </c>
      <c r="AJ142" s="142">
        <f t="shared" ca="1" si="48"/>
        <v>8960</v>
      </c>
      <c r="AP142" s="142"/>
      <c r="AQ142" s="142"/>
      <c r="AV142" s="142"/>
      <c r="AW142" s="142"/>
      <c r="AX142" s="142"/>
    </row>
    <row r="143" spans="2:50">
      <c r="B143" s="55" t="s">
        <v>27</v>
      </c>
      <c r="C143" t="s">
        <v>42</v>
      </c>
      <c r="D143" s="142">
        <f t="shared" ca="1" si="39"/>
        <v>917643</v>
      </c>
      <c r="E143" s="142">
        <f t="shared" ca="1" si="40"/>
        <v>924652</v>
      </c>
      <c r="H143" s="55" t="s">
        <v>28</v>
      </c>
      <c r="I143" t="s">
        <v>44</v>
      </c>
      <c r="J143" s="142">
        <f t="shared" ca="1" si="41"/>
        <v>935166</v>
      </c>
      <c r="K143" s="142">
        <f t="shared" ca="1" si="42"/>
        <v>941034</v>
      </c>
      <c r="N143" s="55" t="s">
        <v>9</v>
      </c>
      <c r="O143" t="s">
        <v>37</v>
      </c>
      <c r="P143" s="142">
        <f t="shared" ca="1" si="43"/>
        <v>759573</v>
      </c>
      <c r="Q143" s="142">
        <f t="shared" ca="1" si="44"/>
        <v>761510</v>
      </c>
      <c r="T143" s="55" t="s">
        <v>25</v>
      </c>
      <c r="U143" t="s">
        <v>13</v>
      </c>
      <c r="V143" s="142">
        <f t="shared" ca="1" si="45"/>
        <v>469289</v>
      </c>
      <c r="W143" s="142">
        <f t="shared" ca="1" si="46"/>
        <v>469882</v>
      </c>
      <c r="AD143" s="142"/>
      <c r="AG143" t="s">
        <v>17</v>
      </c>
      <c r="AH143" t="s">
        <v>170</v>
      </c>
      <c r="AI143" s="142">
        <f t="shared" ca="1" si="47"/>
        <v>5581</v>
      </c>
      <c r="AJ143" s="142">
        <f t="shared" ca="1" si="48"/>
        <v>5737</v>
      </c>
      <c r="AP143" s="142"/>
      <c r="AQ143" s="142"/>
      <c r="AV143" s="142"/>
      <c r="AW143" s="142"/>
      <c r="AX143" s="142"/>
    </row>
    <row r="144" spans="2:50">
      <c r="B144" s="55" t="s">
        <v>27</v>
      </c>
      <c r="C144" t="s">
        <v>36</v>
      </c>
      <c r="D144" s="142">
        <f t="shared" ca="1" si="39"/>
        <v>383981</v>
      </c>
      <c r="E144" s="142">
        <f t="shared" ca="1" si="40"/>
        <v>390727</v>
      </c>
      <c r="H144" s="55" t="s">
        <v>10</v>
      </c>
      <c r="I144" t="s">
        <v>44</v>
      </c>
      <c r="J144" s="142">
        <f t="shared" ca="1" si="41"/>
        <v>191045</v>
      </c>
      <c r="K144" s="142">
        <f t="shared" ca="1" si="42"/>
        <v>192498</v>
      </c>
      <c r="N144" s="55" t="s">
        <v>28</v>
      </c>
      <c r="O144" t="s">
        <v>43</v>
      </c>
      <c r="P144" s="142">
        <f t="shared" ca="1" si="43"/>
        <v>234015</v>
      </c>
      <c r="Q144" s="142">
        <f t="shared" ca="1" si="44"/>
        <v>236203</v>
      </c>
      <c r="T144" s="55" t="s">
        <v>29</v>
      </c>
      <c r="U144" t="s">
        <v>13</v>
      </c>
      <c r="V144" s="142">
        <f t="shared" ca="1" si="45"/>
        <v>779326</v>
      </c>
      <c r="W144" s="142">
        <f t="shared" ca="1" si="46"/>
        <v>779484</v>
      </c>
      <c r="AD144" s="142"/>
      <c r="AG144" t="s">
        <v>28</v>
      </c>
      <c r="AH144" t="s">
        <v>170</v>
      </c>
      <c r="AI144" s="142">
        <f t="shared" ca="1" si="47"/>
        <v>1451</v>
      </c>
      <c r="AJ144" s="142">
        <f t="shared" ca="1" si="48"/>
        <v>2037</v>
      </c>
      <c r="AP144" s="142"/>
      <c r="AQ144" s="142"/>
      <c r="AV144" s="142"/>
      <c r="AW144" s="142"/>
      <c r="AX144" s="142"/>
    </row>
    <row r="145" spans="2:50">
      <c r="B145" s="55" t="s">
        <v>27</v>
      </c>
      <c r="C145" t="s">
        <v>43</v>
      </c>
      <c r="D145" s="142">
        <f t="shared" ca="1" si="39"/>
        <v>202335</v>
      </c>
      <c r="E145" s="142">
        <f t="shared" ca="1" si="40"/>
        <v>207055</v>
      </c>
      <c r="H145" s="55" t="s">
        <v>23</v>
      </c>
      <c r="I145" t="s">
        <v>37</v>
      </c>
      <c r="J145" s="142">
        <f t="shared" ca="1" si="41"/>
        <v>718985</v>
      </c>
      <c r="K145" s="142">
        <f t="shared" ca="1" si="42"/>
        <v>720895</v>
      </c>
      <c r="N145" s="55" t="s">
        <v>28</v>
      </c>
      <c r="O145" t="s">
        <v>42</v>
      </c>
      <c r="P145" s="142">
        <f t="shared" ca="1" si="43"/>
        <v>842254</v>
      </c>
      <c r="Q145" s="142">
        <f t="shared" ca="1" si="44"/>
        <v>845445</v>
      </c>
      <c r="T145" s="55">
        <v>2021</v>
      </c>
      <c r="U145" t="s">
        <v>77</v>
      </c>
      <c r="V145" s="142">
        <f t="shared" ca="1" si="45"/>
        <v>965245</v>
      </c>
      <c r="W145" s="142">
        <f t="shared" ca="1" si="46"/>
        <v>966918</v>
      </c>
      <c r="AD145" s="142"/>
      <c r="AI145" s="142"/>
      <c r="AP145" s="142"/>
      <c r="AQ145" s="142"/>
      <c r="AV145" s="142"/>
      <c r="AW145" s="142"/>
      <c r="AX145" s="142"/>
    </row>
    <row r="146" spans="2:50">
      <c r="B146" s="55" t="s">
        <v>27</v>
      </c>
      <c r="C146" t="s">
        <v>37</v>
      </c>
      <c r="D146" s="142">
        <f t="shared" ca="1" si="39"/>
        <v>424594</v>
      </c>
      <c r="E146" s="142">
        <f t="shared" ca="1" si="40"/>
        <v>427231</v>
      </c>
      <c r="H146" s="55" t="s">
        <v>10</v>
      </c>
      <c r="I146" t="s">
        <v>37</v>
      </c>
      <c r="J146" s="142">
        <f t="shared" ca="1" si="41"/>
        <v>156137</v>
      </c>
      <c r="K146" s="142">
        <f t="shared" ca="1" si="42"/>
        <v>157983</v>
      </c>
      <c r="N146" s="55" t="s">
        <v>9</v>
      </c>
      <c r="O146" t="s">
        <v>43</v>
      </c>
      <c r="P146" s="142">
        <f t="shared" ca="1" si="43"/>
        <v>511965</v>
      </c>
      <c r="Q146" s="142">
        <f t="shared" ca="1" si="44"/>
        <v>512246</v>
      </c>
      <c r="T146" s="55">
        <v>2021</v>
      </c>
      <c r="U146" t="s">
        <v>13</v>
      </c>
      <c r="V146" s="142">
        <f t="shared" ca="1" si="45"/>
        <v>765102</v>
      </c>
      <c r="W146" s="142">
        <f t="shared" ca="1" si="46"/>
        <v>766249</v>
      </c>
      <c r="AD146" s="142"/>
      <c r="AI146" s="142"/>
      <c r="AP146" s="142"/>
      <c r="AQ146" s="142"/>
      <c r="AV146" s="142"/>
      <c r="AW146" s="142"/>
      <c r="AX146" s="142"/>
    </row>
    <row r="147" spans="2:50">
      <c r="B147" s="55" t="s">
        <v>27</v>
      </c>
      <c r="C147" t="s">
        <v>18</v>
      </c>
      <c r="D147" s="142">
        <f t="shared" ca="1" si="39"/>
        <v>175120</v>
      </c>
      <c r="E147" s="142">
        <f t="shared" ca="1" si="40"/>
        <v>184602</v>
      </c>
      <c r="H147" s="55" t="s">
        <v>14</v>
      </c>
      <c r="I147" t="s">
        <v>37</v>
      </c>
      <c r="J147" s="142">
        <f t="shared" ca="1" si="41"/>
        <v>543690</v>
      </c>
      <c r="K147" s="142">
        <f t="shared" ca="1" si="42"/>
        <v>544958</v>
      </c>
      <c r="N147" s="55" t="s">
        <v>9</v>
      </c>
      <c r="O147" t="s">
        <v>40</v>
      </c>
      <c r="P147" s="142">
        <f t="shared" ca="1" si="43"/>
        <v>707276</v>
      </c>
      <c r="Q147" s="142">
        <f t="shared" ca="1" si="44"/>
        <v>710437</v>
      </c>
      <c r="T147" s="55" t="s">
        <v>25</v>
      </c>
      <c r="U147" t="s">
        <v>73</v>
      </c>
      <c r="V147" s="142">
        <f t="shared" ca="1" si="45"/>
        <v>933340</v>
      </c>
      <c r="W147" s="142">
        <f t="shared" ca="1" si="46"/>
        <v>935237</v>
      </c>
      <c r="AD147" s="142"/>
      <c r="AI147" s="142"/>
      <c r="AP147" s="142"/>
      <c r="AQ147" s="142"/>
      <c r="AV147" s="142"/>
      <c r="AW147" s="142"/>
      <c r="AX147" s="142"/>
    </row>
    <row r="148" spans="2:50">
      <c r="B148" s="55" t="s">
        <v>27</v>
      </c>
      <c r="C148" t="s">
        <v>48</v>
      </c>
      <c r="D148" s="142">
        <f t="shared" ca="1" si="39"/>
        <v>136695</v>
      </c>
      <c r="E148" s="142">
        <f t="shared" ca="1" si="40"/>
        <v>138359</v>
      </c>
      <c r="H148" s="55" t="s">
        <v>24</v>
      </c>
      <c r="I148" t="s">
        <v>37</v>
      </c>
      <c r="J148" s="142">
        <f t="shared" ca="1" si="41"/>
        <v>185988</v>
      </c>
      <c r="K148" s="142">
        <f t="shared" ca="1" si="42"/>
        <v>186831</v>
      </c>
      <c r="N148" s="55" t="s">
        <v>9</v>
      </c>
      <c r="O148" t="s">
        <v>45</v>
      </c>
      <c r="P148" s="142">
        <f t="shared" ca="1" si="43"/>
        <v>292263</v>
      </c>
      <c r="Q148" s="142">
        <f t="shared" ca="1" si="44"/>
        <v>292581</v>
      </c>
      <c r="T148" s="55" t="s">
        <v>26</v>
      </c>
      <c r="U148" t="s">
        <v>73</v>
      </c>
      <c r="V148" s="142">
        <f t="shared" ca="1" si="45"/>
        <v>690464</v>
      </c>
      <c r="W148" s="142">
        <f t="shared" ca="1" si="46"/>
        <v>694236</v>
      </c>
      <c r="AD148" s="142"/>
      <c r="AI148" s="142"/>
      <c r="AP148" s="142"/>
      <c r="AQ148" s="142"/>
      <c r="AV148" s="142"/>
      <c r="AW148" s="142"/>
      <c r="AX148" s="142"/>
    </row>
    <row r="149" spans="2:50">
      <c r="B149" s="55" t="s">
        <v>27</v>
      </c>
      <c r="C149" t="s">
        <v>46</v>
      </c>
      <c r="D149" s="142">
        <f t="shared" ca="1" si="39"/>
        <v>320918</v>
      </c>
      <c r="E149" s="142">
        <f t="shared" ca="1" si="40"/>
        <v>322886</v>
      </c>
      <c r="H149" s="55" t="s">
        <v>26</v>
      </c>
      <c r="I149" t="s">
        <v>44</v>
      </c>
      <c r="J149" s="142">
        <f t="shared" ca="1" si="41"/>
        <v>504434</v>
      </c>
      <c r="K149" s="142">
        <f t="shared" ca="1" si="42"/>
        <v>506815</v>
      </c>
      <c r="N149" s="55" t="s">
        <v>9</v>
      </c>
      <c r="O149" t="s">
        <v>42</v>
      </c>
      <c r="P149" s="142">
        <f t="shared" ca="1" si="43"/>
        <v>454834</v>
      </c>
      <c r="Q149" s="142">
        <f t="shared" ca="1" si="44"/>
        <v>454890</v>
      </c>
      <c r="T149" s="55" t="s">
        <v>29</v>
      </c>
      <c r="U149" t="s">
        <v>73</v>
      </c>
      <c r="V149" s="142">
        <f t="shared" ca="1" si="45"/>
        <v>733954</v>
      </c>
      <c r="W149" s="142">
        <f t="shared" ca="1" si="46"/>
        <v>738075</v>
      </c>
      <c r="AD149" s="142"/>
      <c r="AI149" s="142"/>
      <c r="AP149" s="142"/>
      <c r="AQ149" s="142"/>
      <c r="AV149" s="142"/>
      <c r="AW149" s="142"/>
      <c r="AX149" s="142"/>
    </row>
    <row r="150" spans="2:50">
      <c r="B150" s="55" t="s">
        <v>27</v>
      </c>
      <c r="C150" t="s">
        <v>51</v>
      </c>
      <c r="D150" s="142">
        <f t="shared" ca="1" si="39"/>
        <v>256408</v>
      </c>
      <c r="E150" s="142">
        <f t="shared" ca="1" si="40"/>
        <v>258982</v>
      </c>
      <c r="H150" s="55" t="s">
        <v>26</v>
      </c>
      <c r="I150" t="s">
        <v>37</v>
      </c>
      <c r="J150" s="142">
        <f t="shared" ca="1" si="41"/>
        <v>316781</v>
      </c>
      <c r="K150" s="142">
        <f t="shared" ca="1" si="42"/>
        <v>324211</v>
      </c>
      <c r="N150" s="55" t="s">
        <v>28</v>
      </c>
      <c r="O150" t="s">
        <v>47</v>
      </c>
      <c r="P150" s="142">
        <f t="shared" ca="1" si="43"/>
        <v>610720</v>
      </c>
      <c r="Q150" s="142">
        <f t="shared" ca="1" si="44"/>
        <v>612888</v>
      </c>
      <c r="T150" s="55" t="s">
        <v>24</v>
      </c>
      <c r="U150" t="s">
        <v>73</v>
      </c>
      <c r="V150" s="142">
        <f t="shared" ca="1" si="45"/>
        <v>214445</v>
      </c>
      <c r="W150" s="142">
        <f t="shared" ca="1" si="46"/>
        <v>216388</v>
      </c>
      <c r="AD150" s="142"/>
      <c r="AI150" s="142"/>
      <c r="AP150" s="142"/>
      <c r="AQ150" s="142"/>
      <c r="AV150" s="142"/>
      <c r="AW150" s="142"/>
      <c r="AX150" s="142"/>
    </row>
    <row r="151" spans="2:50">
      <c r="B151" s="55" t="s">
        <v>27</v>
      </c>
      <c r="C151" t="s">
        <v>50</v>
      </c>
      <c r="D151" s="142">
        <f t="shared" ca="1" si="39"/>
        <v>456638</v>
      </c>
      <c r="E151" s="142">
        <f t="shared" ca="1" si="40"/>
        <v>464719</v>
      </c>
      <c r="H151" s="55" t="s">
        <v>24</v>
      </c>
      <c r="I151" t="s">
        <v>44</v>
      </c>
      <c r="J151" s="142">
        <f t="shared" ca="1" si="41"/>
        <v>196802</v>
      </c>
      <c r="K151" s="142">
        <f t="shared" ca="1" si="42"/>
        <v>199945</v>
      </c>
      <c r="N151" s="55" t="s">
        <v>28</v>
      </c>
      <c r="O151" t="s">
        <v>44</v>
      </c>
      <c r="P151" s="142">
        <f t="shared" ca="1" si="43"/>
        <v>643310</v>
      </c>
      <c r="Q151" s="142">
        <f t="shared" ca="1" si="44"/>
        <v>643970</v>
      </c>
      <c r="T151" s="55">
        <v>2021</v>
      </c>
      <c r="U151" t="s">
        <v>73</v>
      </c>
      <c r="V151" s="142">
        <f t="shared" ca="1" si="45"/>
        <v>968400</v>
      </c>
      <c r="W151" s="142">
        <f t="shared" ca="1" si="46"/>
        <v>976498</v>
      </c>
      <c r="AD151" s="142"/>
      <c r="AI151" s="142"/>
      <c r="AP151" s="142"/>
      <c r="AQ151" s="142"/>
      <c r="AV151" s="142"/>
      <c r="AW151" s="142"/>
      <c r="AX151" s="142"/>
    </row>
    <row r="152" spans="2:50">
      <c r="B152" s="55" t="s">
        <v>27</v>
      </c>
      <c r="C152" t="s">
        <v>44</v>
      </c>
      <c r="D152" s="142">
        <f t="shared" ca="1" si="39"/>
        <v>232273</v>
      </c>
      <c r="E152" s="142">
        <f t="shared" ca="1" si="40"/>
        <v>235192</v>
      </c>
      <c r="H152" s="55" t="s">
        <v>29</v>
      </c>
      <c r="I152" t="s">
        <v>37</v>
      </c>
      <c r="J152" s="142">
        <f t="shared" ca="1" si="41"/>
        <v>136360</v>
      </c>
      <c r="K152" s="142">
        <f t="shared" ca="1" si="42"/>
        <v>137845</v>
      </c>
      <c r="N152" s="55" t="s">
        <v>28</v>
      </c>
      <c r="O152" t="s">
        <v>37</v>
      </c>
      <c r="P152" s="142">
        <f t="shared" ca="1" si="43"/>
        <v>140846</v>
      </c>
      <c r="Q152" s="142">
        <f t="shared" ca="1" si="44"/>
        <v>143872</v>
      </c>
      <c r="T152" s="55" t="s">
        <v>22</v>
      </c>
      <c r="U152" t="s">
        <v>73</v>
      </c>
      <c r="V152" s="142">
        <f t="shared" ca="1" si="45"/>
        <v>606842</v>
      </c>
      <c r="W152" s="142">
        <f t="shared" ca="1" si="46"/>
        <v>609227</v>
      </c>
      <c r="AD152" s="142"/>
      <c r="AI152" s="142"/>
      <c r="AP152" s="142"/>
      <c r="AQ152" s="142"/>
      <c r="AV152" s="142"/>
      <c r="AW152" s="142"/>
      <c r="AX152" s="142"/>
    </row>
    <row r="153" spans="2:50">
      <c r="B153" s="55" t="s">
        <v>14</v>
      </c>
      <c r="C153" t="s">
        <v>36</v>
      </c>
      <c r="D153" s="142">
        <f t="shared" ca="1" si="39"/>
        <v>560947</v>
      </c>
      <c r="E153" s="142">
        <f t="shared" ca="1" si="40"/>
        <v>564663</v>
      </c>
      <c r="H153" s="55" t="s">
        <v>25</v>
      </c>
      <c r="I153" t="s">
        <v>44</v>
      </c>
      <c r="J153" s="142">
        <f t="shared" ca="1" si="41"/>
        <v>259069</v>
      </c>
      <c r="K153" s="142">
        <f t="shared" ca="1" si="42"/>
        <v>263872</v>
      </c>
      <c r="N153" s="55" t="s">
        <v>28</v>
      </c>
      <c r="O153" t="s">
        <v>46</v>
      </c>
      <c r="P153" s="142">
        <f t="shared" ca="1" si="43"/>
        <v>155229</v>
      </c>
      <c r="Q153" s="142">
        <f t="shared" ca="1" si="44"/>
        <v>157618</v>
      </c>
      <c r="T153" s="55" t="s">
        <v>8</v>
      </c>
      <c r="U153" t="s">
        <v>75</v>
      </c>
      <c r="V153" s="142">
        <f t="shared" ca="1" si="45"/>
        <v>817201</v>
      </c>
      <c r="W153" s="142">
        <f t="shared" ca="1" si="46"/>
        <v>824019</v>
      </c>
      <c r="AD153" s="142"/>
      <c r="AI153" s="142"/>
      <c r="AP153" s="142"/>
      <c r="AQ153" s="142"/>
      <c r="AV153" s="142"/>
      <c r="AW153" s="142"/>
      <c r="AX153" s="142"/>
    </row>
    <row r="154" spans="2:50">
      <c r="B154" s="55" t="s">
        <v>14</v>
      </c>
      <c r="C154" t="s">
        <v>38</v>
      </c>
      <c r="D154" s="142">
        <f t="shared" ca="1" si="39"/>
        <v>468667</v>
      </c>
      <c r="E154" s="142">
        <f t="shared" ca="1" si="40"/>
        <v>469179</v>
      </c>
      <c r="H154" s="55" t="s">
        <v>29</v>
      </c>
      <c r="I154" t="s">
        <v>44</v>
      </c>
      <c r="J154" s="142">
        <f t="shared" ca="1" si="41"/>
        <v>593527</v>
      </c>
      <c r="K154" s="142">
        <f t="shared" ca="1" si="42"/>
        <v>594135</v>
      </c>
      <c r="N154" s="55" t="s">
        <v>28</v>
      </c>
      <c r="O154" t="s">
        <v>48</v>
      </c>
      <c r="P154" s="142">
        <f t="shared" ca="1" si="43"/>
        <v>852952</v>
      </c>
      <c r="Q154" s="142">
        <f t="shared" ca="1" si="44"/>
        <v>855928</v>
      </c>
      <c r="T154" s="55" t="s">
        <v>22</v>
      </c>
      <c r="U154" t="s">
        <v>77</v>
      </c>
      <c r="V154" s="142">
        <f t="shared" ca="1" si="45"/>
        <v>200614</v>
      </c>
      <c r="W154" s="142">
        <f t="shared" ca="1" si="46"/>
        <v>207356</v>
      </c>
      <c r="AD154" s="142"/>
      <c r="AI154" s="142"/>
      <c r="AP154" s="142"/>
      <c r="AQ154" s="142"/>
      <c r="AV154" s="142"/>
      <c r="AW154" s="142"/>
      <c r="AX154" s="142"/>
    </row>
    <row r="155" spans="2:50">
      <c r="B155" s="55" t="s">
        <v>14</v>
      </c>
      <c r="C155" t="s">
        <v>45</v>
      </c>
      <c r="D155" s="142">
        <f t="shared" ca="1" si="39"/>
        <v>153668</v>
      </c>
      <c r="E155" s="142">
        <f t="shared" ca="1" si="40"/>
        <v>155529</v>
      </c>
      <c r="H155" s="55" t="s">
        <v>25</v>
      </c>
      <c r="I155" t="s">
        <v>37</v>
      </c>
      <c r="J155" s="142">
        <f t="shared" ca="1" si="41"/>
        <v>182877</v>
      </c>
      <c r="K155" s="142">
        <f t="shared" ca="1" si="42"/>
        <v>190656</v>
      </c>
      <c r="N155" s="55" t="s">
        <v>28</v>
      </c>
      <c r="O155" t="s">
        <v>51</v>
      </c>
      <c r="P155" s="142">
        <f t="shared" ca="1" si="43"/>
        <v>664677</v>
      </c>
      <c r="Q155" s="142">
        <f t="shared" ca="1" si="44"/>
        <v>666412</v>
      </c>
      <c r="T155" s="55" t="s">
        <v>22</v>
      </c>
      <c r="U155" t="s">
        <v>13</v>
      </c>
      <c r="V155" s="142">
        <f t="shared" ca="1" si="45"/>
        <v>161766</v>
      </c>
      <c r="W155" s="142">
        <f t="shared" ca="1" si="46"/>
        <v>164226</v>
      </c>
      <c r="AD155" s="142"/>
      <c r="AI155" s="142"/>
      <c r="AP155" s="142"/>
      <c r="AQ155" s="142"/>
      <c r="AV155" s="142"/>
      <c r="AW155" s="142"/>
      <c r="AX155" s="142"/>
    </row>
    <row r="156" spans="2:50">
      <c r="B156" s="55" t="s">
        <v>12</v>
      </c>
      <c r="C156" t="s">
        <v>37</v>
      </c>
      <c r="D156" s="142">
        <f t="shared" ca="1" si="39"/>
        <v>240426</v>
      </c>
      <c r="E156" s="142">
        <f t="shared" ca="1" si="40"/>
        <v>246729</v>
      </c>
      <c r="H156" s="55">
        <v>2021</v>
      </c>
      <c r="I156" t="s">
        <v>37</v>
      </c>
      <c r="J156" s="142">
        <f t="shared" ca="1" si="41"/>
        <v>785030</v>
      </c>
      <c r="K156" s="142">
        <f t="shared" ca="1" si="42"/>
        <v>785572</v>
      </c>
      <c r="N156" s="55" t="s">
        <v>28</v>
      </c>
      <c r="O156" t="s">
        <v>49</v>
      </c>
      <c r="P156" s="142">
        <f t="shared" ca="1" si="43"/>
        <v>295232</v>
      </c>
      <c r="Q156" s="142">
        <f t="shared" ca="1" si="44"/>
        <v>298952</v>
      </c>
      <c r="T156" s="55" t="s">
        <v>22</v>
      </c>
      <c r="U156" t="s">
        <v>76</v>
      </c>
      <c r="V156" s="142">
        <f t="shared" ca="1" si="45"/>
        <v>532227</v>
      </c>
      <c r="W156" s="142">
        <f t="shared" ca="1" si="46"/>
        <v>537103</v>
      </c>
      <c r="AD156" s="142"/>
      <c r="AI156" s="142"/>
      <c r="AP156" s="142"/>
      <c r="AQ156" s="142"/>
      <c r="AV156" s="142"/>
      <c r="AW156" s="142"/>
      <c r="AX156" s="142"/>
    </row>
    <row r="157" spans="2:50">
      <c r="B157" s="55" t="s">
        <v>12</v>
      </c>
      <c r="C157" t="s">
        <v>42</v>
      </c>
      <c r="D157" s="142">
        <f t="shared" ca="1" si="39"/>
        <v>544963</v>
      </c>
      <c r="E157" s="142">
        <f t="shared" ca="1" si="40"/>
        <v>547981</v>
      </c>
      <c r="H157" s="55">
        <v>2021</v>
      </c>
      <c r="I157" t="s">
        <v>44</v>
      </c>
      <c r="J157" s="142">
        <f t="shared" ca="1" si="41"/>
        <v>561009</v>
      </c>
      <c r="K157" s="142">
        <f t="shared" ca="1" si="42"/>
        <v>569152</v>
      </c>
      <c r="N157" s="55" t="s">
        <v>9</v>
      </c>
      <c r="O157" t="s">
        <v>48</v>
      </c>
      <c r="P157" s="142">
        <f t="shared" ca="1" si="43"/>
        <v>124793</v>
      </c>
      <c r="Q157" s="142">
        <f t="shared" ca="1" si="44"/>
        <v>125102</v>
      </c>
      <c r="T157" s="55" t="s">
        <v>22</v>
      </c>
      <c r="U157" t="s">
        <v>75</v>
      </c>
      <c r="V157" s="142">
        <f t="shared" ca="1" si="45"/>
        <v>420551</v>
      </c>
      <c r="W157" s="142">
        <f t="shared" ca="1" si="46"/>
        <v>422763</v>
      </c>
      <c r="AD157" s="142"/>
      <c r="AI157" s="142"/>
      <c r="AP157" s="142"/>
      <c r="AQ157" s="142"/>
      <c r="AV157" s="142"/>
      <c r="AW157" s="142"/>
      <c r="AX157" s="142"/>
    </row>
    <row r="158" spans="2:50">
      <c r="B158" s="55" t="s">
        <v>14</v>
      </c>
      <c r="C158" t="s">
        <v>42</v>
      </c>
      <c r="D158" s="142">
        <f t="shared" ca="1" si="39"/>
        <v>815664</v>
      </c>
      <c r="E158" s="142">
        <f t="shared" ca="1" si="40"/>
        <v>817154</v>
      </c>
      <c r="H158" s="55" t="s">
        <v>16</v>
      </c>
      <c r="I158" t="s">
        <v>46</v>
      </c>
      <c r="J158" s="142">
        <f t="shared" ca="1" si="41"/>
        <v>454352</v>
      </c>
      <c r="K158" s="142">
        <f t="shared" ca="1" si="42"/>
        <v>454713</v>
      </c>
      <c r="N158" s="55" t="s">
        <v>9</v>
      </c>
      <c r="O158" t="s">
        <v>50</v>
      </c>
      <c r="P158" s="142">
        <f t="shared" ca="1" si="43"/>
        <v>611504</v>
      </c>
      <c r="Q158" s="142">
        <f t="shared" ca="1" si="44"/>
        <v>612491</v>
      </c>
      <c r="T158" s="55" t="s">
        <v>8</v>
      </c>
      <c r="U158" t="s">
        <v>66</v>
      </c>
      <c r="V158" s="142">
        <f t="shared" ca="1" si="45"/>
        <v>604580</v>
      </c>
      <c r="W158" s="142">
        <f t="shared" ca="1" si="46"/>
        <v>607078</v>
      </c>
      <c r="AD158" s="142"/>
      <c r="AI158" s="142"/>
      <c r="AP158" s="142"/>
      <c r="AQ158" s="142"/>
      <c r="AV158" s="142"/>
      <c r="AW158" s="142"/>
      <c r="AX158" s="142"/>
    </row>
    <row r="159" spans="2:50">
      <c r="B159" s="55" t="s">
        <v>12</v>
      </c>
      <c r="C159" t="s">
        <v>43</v>
      </c>
      <c r="D159" s="142">
        <f t="shared" ca="1" si="39"/>
        <v>395551</v>
      </c>
      <c r="E159" s="142">
        <f t="shared" ca="1" si="40"/>
        <v>396583</v>
      </c>
      <c r="H159" s="55" t="s">
        <v>27</v>
      </c>
      <c r="I159" t="s">
        <v>46</v>
      </c>
      <c r="J159" s="142">
        <f t="shared" ca="1" si="41"/>
        <v>258197</v>
      </c>
      <c r="K159" s="142">
        <f t="shared" ca="1" si="42"/>
        <v>258755</v>
      </c>
      <c r="N159" s="55" t="s">
        <v>9</v>
      </c>
      <c r="O159" t="s">
        <v>44</v>
      </c>
      <c r="P159" s="142">
        <f t="shared" ca="1" si="43"/>
        <v>150039</v>
      </c>
      <c r="Q159" s="142">
        <f t="shared" ca="1" si="44"/>
        <v>156068</v>
      </c>
      <c r="T159" s="55" t="s">
        <v>22</v>
      </c>
      <c r="U159" t="s">
        <v>11</v>
      </c>
      <c r="V159" s="142">
        <f t="shared" ca="1" si="45"/>
        <v>908590</v>
      </c>
      <c r="W159" s="142">
        <f t="shared" ca="1" si="46"/>
        <v>908614</v>
      </c>
      <c r="AD159" s="142"/>
      <c r="AI159" s="142"/>
      <c r="AP159" s="142"/>
      <c r="AQ159" s="142"/>
      <c r="AV159" s="142"/>
      <c r="AW159" s="142"/>
      <c r="AX159" s="142"/>
    </row>
    <row r="160" spans="2:50">
      <c r="B160" s="55" t="s">
        <v>12</v>
      </c>
      <c r="C160" t="s">
        <v>49</v>
      </c>
      <c r="D160" s="142">
        <f t="shared" ca="1" si="39"/>
        <v>487440</v>
      </c>
      <c r="E160" s="142">
        <f t="shared" ca="1" si="40"/>
        <v>488609</v>
      </c>
      <c r="H160" s="55" t="s">
        <v>9</v>
      </c>
      <c r="I160" t="s">
        <v>46</v>
      </c>
      <c r="J160" s="142">
        <f t="shared" ca="1" si="41"/>
        <v>699763</v>
      </c>
      <c r="K160" s="142">
        <f t="shared" ca="1" si="42"/>
        <v>703094</v>
      </c>
      <c r="N160" s="55" t="s">
        <v>9</v>
      </c>
      <c r="O160" t="s">
        <v>51</v>
      </c>
      <c r="P160" s="142">
        <f t="shared" ca="1" si="43"/>
        <v>545369</v>
      </c>
      <c r="Q160" s="142">
        <f t="shared" ca="1" si="44"/>
        <v>546361</v>
      </c>
      <c r="T160" s="55" t="s">
        <v>8</v>
      </c>
      <c r="U160" t="s">
        <v>76</v>
      </c>
      <c r="V160" s="142">
        <f t="shared" ca="1" si="45"/>
        <v>296475</v>
      </c>
      <c r="W160" s="142">
        <f t="shared" ca="1" si="46"/>
        <v>299685</v>
      </c>
      <c r="AD160" s="142"/>
      <c r="AI160" s="142"/>
      <c r="AP160" s="142"/>
      <c r="AQ160" s="142"/>
      <c r="AV160" s="142"/>
      <c r="AW160" s="142"/>
      <c r="AX160" s="142"/>
    </row>
    <row r="161" spans="2:50">
      <c r="B161" s="55" t="s">
        <v>14</v>
      </c>
      <c r="C161" t="s">
        <v>43</v>
      </c>
      <c r="D161" s="142">
        <f t="shared" ca="1" si="39"/>
        <v>273198</v>
      </c>
      <c r="E161" s="142">
        <f t="shared" ca="1" si="40"/>
        <v>277831</v>
      </c>
      <c r="H161" s="55" t="s">
        <v>10</v>
      </c>
      <c r="I161" t="s">
        <v>46</v>
      </c>
      <c r="J161" s="142">
        <f t="shared" ca="1" si="41"/>
        <v>162848</v>
      </c>
      <c r="K161" s="142">
        <f t="shared" ca="1" si="42"/>
        <v>163577</v>
      </c>
      <c r="N161" s="55" t="s">
        <v>28</v>
      </c>
      <c r="O161" t="s">
        <v>50</v>
      </c>
      <c r="P161" s="142">
        <f t="shared" ca="1" si="43"/>
        <v>634067</v>
      </c>
      <c r="Q161" s="142">
        <f t="shared" ca="1" si="44"/>
        <v>638719</v>
      </c>
      <c r="T161" s="55" t="s">
        <v>8</v>
      </c>
      <c r="U161" t="s">
        <v>13</v>
      </c>
      <c r="V161" s="142">
        <f t="shared" ca="1" si="45"/>
        <v>564264</v>
      </c>
      <c r="W161" s="142">
        <f t="shared" ca="1" si="46"/>
        <v>566485</v>
      </c>
      <c r="AD161" s="142"/>
      <c r="AI161" s="142"/>
      <c r="AP161" s="142"/>
      <c r="AQ161" s="142"/>
      <c r="AV161" s="142"/>
      <c r="AW161" s="142"/>
      <c r="AX161" s="142"/>
    </row>
    <row r="162" spans="2:50">
      <c r="B162" s="55" t="s">
        <v>14</v>
      </c>
      <c r="C162" t="s">
        <v>49</v>
      </c>
      <c r="D162" s="142">
        <f t="shared" ca="1" si="39"/>
        <v>296870</v>
      </c>
      <c r="E162" s="142">
        <f t="shared" ca="1" si="40"/>
        <v>298756</v>
      </c>
      <c r="H162" s="55" t="s">
        <v>15</v>
      </c>
      <c r="I162" t="s">
        <v>46</v>
      </c>
      <c r="J162" s="142">
        <f t="shared" ca="1" si="41"/>
        <v>479016</v>
      </c>
      <c r="K162" s="142">
        <f t="shared" ca="1" si="42"/>
        <v>482929</v>
      </c>
      <c r="N162" s="55" t="s">
        <v>29</v>
      </c>
      <c r="O162" t="s">
        <v>37</v>
      </c>
      <c r="P162" s="142">
        <f t="shared" ca="1" si="43"/>
        <v>539227</v>
      </c>
      <c r="Q162" s="142">
        <f t="shared" ca="1" si="44"/>
        <v>548159</v>
      </c>
      <c r="T162" s="55" t="s">
        <v>22</v>
      </c>
      <c r="U162" t="s">
        <v>68</v>
      </c>
      <c r="V162" s="142">
        <f t="shared" ca="1" si="45"/>
        <v>457878</v>
      </c>
      <c r="W162" s="142">
        <f t="shared" ca="1" si="46"/>
        <v>458029</v>
      </c>
      <c r="AD162" s="142"/>
      <c r="AI162" s="142"/>
      <c r="AP162" s="142"/>
      <c r="AQ162" s="142"/>
      <c r="AV162" s="142"/>
      <c r="AW162" s="142"/>
      <c r="AX162" s="142"/>
    </row>
    <row r="163" spans="2:50">
      <c r="B163" s="55" t="s">
        <v>12</v>
      </c>
      <c r="C163" t="s">
        <v>47</v>
      </c>
      <c r="D163" s="142">
        <f t="shared" ca="1" si="39"/>
        <v>859167</v>
      </c>
      <c r="E163" s="142">
        <f t="shared" ca="1" si="40"/>
        <v>859650</v>
      </c>
      <c r="H163" s="55" t="s">
        <v>14</v>
      </c>
      <c r="I163" t="s">
        <v>46</v>
      </c>
      <c r="J163" s="142">
        <f t="shared" ca="1" si="41"/>
        <v>922790</v>
      </c>
      <c r="K163" s="142">
        <f t="shared" ca="1" si="42"/>
        <v>925364</v>
      </c>
      <c r="N163" s="55" t="s">
        <v>25</v>
      </c>
      <c r="O163" t="s">
        <v>44</v>
      </c>
      <c r="P163" s="142">
        <f t="shared" ca="1" si="43"/>
        <v>261743</v>
      </c>
      <c r="Q163" s="142">
        <f t="shared" ca="1" si="44"/>
        <v>264370</v>
      </c>
      <c r="T163" s="55" t="s">
        <v>22</v>
      </c>
      <c r="U163" t="s">
        <v>66</v>
      </c>
      <c r="V163" s="142">
        <f t="shared" ca="1" si="45"/>
        <v>264228</v>
      </c>
      <c r="W163" s="142">
        <f t="shared" ca="1" si="46"/>
        <v>266338</v>
      </c>
      <c r="AD163" s="142"/>
      <c r="AI163" s="142"/>
      <c r="AP163" s="142"/>
      <c r="AQ163" s="142"/>
      <c r="AV163" s="142"/>
      <c r="AW163" s="142"/>
      <c r="AX163" s="142"/>
    </row>
    <row r="164" spans="2:50">
      <c r="B164" s="55" t="s">
        <v>14</v>
      </c>
      <c r="C164" t="s">
        <v>47</v>
      </c>
      <c r="D164" s="142">
        <f t="shared" ca="1" si="39"/>
        <v>888100</v>
      </c>
      <c r="E164" s="142">
        <f t="shared" ca="1" si="40"/>
        <v>892521</v>
      </c>
      <c r="H164" s="55" t="s">
        <v>17</v>
      </c>
      <c r="I164" t="s">
        <v>46</v>
      </c>
      <c r="J164" s="142">
        <f t="shared" ca="1" si="41"/>
        <v>561311</v>
      </c>
      <c r="K164" s="142">
        <f t="shared" ca="1" si="42"/>
        <v>564973</v>
      </c>
      <c r="N164" s="55" t="s">
        <v>26</v>
      </c>
      <c r="O164" t="s">
        <v>37</v>
      </c>
      <c r="P164" s="142">
        <f t="shared" ca="1" si="43"/>
        <v>206748</v>
      </c>
      <c r="Q164" s="142">
        <f t="shared" ca="1" si="44"/>
        <v>208842</v>
      </c>
      <c r="T164" s="55" t="s">
        <v>8</v>
      </c>
      <c r="U164" t="s">
        <v>73</v>
      </c>
      <c r="V164" s="142">
        <f t="shared" ca="1" si="45"/>
        <v>291864</v>
      </c>
      <c r="W164" s="142">
        <f t="shared" ca="1" si="46"/>
        <v>292747</v>
      </c>
      <c r="AD164" s="142"/>
      <c r="AI164" s="142"/>
      <c r="AP164" s="142"/>
      <c r="AQ164" s="142"/>
      <c r="AV164" s="142"/>
      <c r="AW164" s="142"/>
      <c r="AX164" s="142"/>
    </row>
    <row r="165" spans="2:50">
      <c r="B165" s="55" t="s">
        <v>14</v>
      </c>
      <c r="C165" t="s">
        <v>18</v>
      </c>
      <c r="D165" s="142">
        <f t="shared" ca="1" si="39"/>
        <v>964053</v>
      </c>
      <c r="E165" s="142">
        <f t="shared" ca="1" si="40"/>
        <v>965842</v>
      </c>
      <c r="H165" s="55" t="s">
        <v>12</v>
      </c>
      <c r="I165" t="s">
        <v>46</v>
      </c>
      <c r="J165" s="142">
        <f t="shared" ca="1" si="41"/>
        <v>248431</v>
      </c>
      <c r="K165" s="142">
        <f t="shared" ca="1" si="42"/>
        <v>252857</v>
      </c>
      <c r="N165" s="55" t="s">
        <v>24</v>
      </c>
      <c r="O165" t="s">
        <v>37</v>
      </c>
      <c r="P165" s="142">
        <f t="shared" ca="1" si="43"/>
        <v>296848</v>
      </c>
      <c r="Q165" s="142">
        <f t="shared" ca="1" si="44"/>
        <v>299331</v>
      </c>
      <c r="T165" s="55" t="s">
        <v>8</v>
      </c>
      <c r="U165" t="s">
        <v>67</v>
      </c>
      <c r="V165" s="142">
        <f t="shared" ca="1" si="45"/>
        <v>512017</v>
      </c>
      <c r="W165" s="142">
        <f t="shared" ca="1" si="46"/>
        <v>516045</v>
      </c>
      <c r="AD165" s="142"/>
      <c r="AI165" s="142"/>
      <c r="AP165" s="142"/>
      <c r="AQ165" s="142"/>
      <c r="AV165" s="142"/>
      <c r="AW165" s="142"/>
      <c r="AX165" s="142"/>
    </row>
    <row r="166" spans="2:50">
      <c r="B166" s="55" t="s">
        <v>12</v>
      </c>
      <c r="C166" t="s">
        <v>36</v>
      </c>
      <c r="D166" s="142">
        <f t="shared" ca="1" si="39"/>
        <v>483229</v>
      </c>
      <c r="E166" s="142">
        <f t="shared" ca="1" si="40"/>
        <v>484612</v>
      </c>
      <c r="H166" s="55" t="s">
        <v>22</v>
      </c>
      <c r="I166" t="s">
        <v>46</v>
      </c>
      <c r="J166" s="142">
        <f t="shared" ca="1" si="41"/>
        <v>855807</v>
      </c>
      <c r="K166" s="142">
        <f t="shared" ca="1" si="42"/>
        <v>860448</v>
      </c>
      <c r="N166" s="55" t="s">
        <v>26</v>
      </c>
      <c r="O166" t="s">
        <v>44</v>
      </c>
      <c r="P166" s="142">
        <f t="shared" ca="1" si="43"/>
        <v>882563</v>
      </c>
      <c r="Q166" s="142">
        <f t="shared" ca="1" si="44"/>
        <v>884475</v>
      </c>
      <c r="T166" s="55" t="s">
        <v>22</v>
      </c>
      <c r="U166" t="s">
        <v>69</v>
      </c>
      <c r="V166" s="142">
        <f t="shared" ca="1" si="45"/>
        <v>994270</v>
      </c>
      <c r="W166" s="142">
        <f t="shared" ca="1" si="46"/>
        <v>995818</v>
      </c>
      <c r="AD166" s="142"/>
      <c r="AI166" s="142"/>
      <c r="AP166" s="142"/>
      <c r="AQ166" s="142"/>
      <c r="AV166" s="142"/>
      <c r="AW166" s="142"/>
      <c r="AX166" s="142"/>
    </row>
    <row r="167" spans="2:50">
      <c r="B167" s="55" t="s">
        <v>12</v>
      </c>
      <c r="C167" t="s">
        <v>45</v>
      </c>
      <c r="D167" s="142">
        <f t="shared" ca="1" si="39"/>
        <v>951565</v>
      </c>
      <c r="E167" s="142">
        <f t="shared" ca="1" si="40"/>
        <v>958256</v>
      </c>
      <c r="H167" s="55" t="s">
        <v>23</v>
      </c>
      <c r="I167" t="s">
        <v>46</v>
      </c>
      <c r="J167" s="142">
        <f t="shared" ca="1" si="41"/>
        <v>907562</v>
      </c>
      <c r="K167" s="142">
        <f t="shared" ca="1" si="42"/>
        <v>908739</v>
      </c>
      <c r="N167" s="55" t="s">
        <v>24</v>
      </c>
      <c r="O167" t="s">
        <v>44</v>
      </c>
      <c r="P167" s="142">
        <f t="shared" ca="1" si="43"/>
        <v>438293</v>
      </c>
      <c r="Q167" s="142">
        <f t="shared" ca="1" si="44"/>
        <v>439456</v>
      </c>
      <c r="T167" s="55" t="s">
        <v>8</v>
      </c>
      <c r="U167" t="s">
        <v>69</v>
      </c>
      <c r="V167" s="142">
        <f t="shared" ca="1" si="45"/>
        <v>350772</v>
      </c>
      <c r="W167" s="142">
        <f t="shared" ca="1" si="46"/>
        <v>352874</v>
      </c>
      <c r="AD167" s="142"/>
      <c r="AI167" s="142"/>
      <c r="AP167" s="142"/>
      <c r="AQ167" s="142"/>
      <c r="AV167" s="142"/>
      <c r="AW167" s="142"/>
      <c r="AX167" s="142"/>
    </row>
    <row r="168" spans="2:50">
      <c r="B168" s="55" t="s">
        <v>12</v>
      </c>
      <c r="C168" t="s">
        <v>18</v>
      </c>
      <c r="D168" s="142">
        <f t="shared" ca="1" si="39"/>
        <v>298595</v>
      </c>
      <c r="E168" s="142">
        <f t="shared" ca="1" si="40"/>
        <v>299647</v>
      </c>
      <c r="H168" s="55" t="s">
        <v>8</v>
      </c>
      <c r="I168" t="s">
        <v>46</v>
      </c>
      <c r="J168" s="142">
        <f t="shared" ca="1" si="41"/>
        <v>744507</v>
      </c>
      <c r="K168" s="142">
        <f t="shared" ca="1" si="42"/>
        <v>746230</v>
      </c>
      <c r="N168" s="55" t="s">
        <v>25</v>
      </c>
      <c r="O168" t="s">
        <v>37</v>
      </c>
      <c r="P168" s="142">
        <f t="shared" ca="1" si="43"/>
        <v>458279</v>
      </c>
      <c r="Q168" s="142">
        <f t="shared" ca="1" si="44"/>
        <v>458921</v>
      </c>
      <c r="T168" s="55" t="s">
        <v>8</v>
      </c>
      <c r="U168" t="s">
        <v>11</v>
      </c>
      <c r="V168" s="142">
        <f t="shared" ca="1" si="45"/>
        <v>881928</v>
      </c>
      <c r="W168" s="142">
        <f t="shared" ca="1" si="46"/>
        <v>882800</v>
      </c>
      <c r="AD168" s="142"/>
      <c r="AI168" s="142"/>
      <c r="AP168" s="142"/>
      <c r="AQ168" s="142"/>
      <c r="AV168" s="142"/>
      <c r="AW168" s="142"/>
      <c r="AX168" s="142"/>
    </row>
    <row r="169" spans="2:50">
      <c r="B169" s="55" t="s">
        <v>12</v>
      </c>
      <c r="C169" t="s">
        <v>38</v>
      </c>
      <c r="D169" s="142">
        <f t="shared" ca="1" si="39"/>
        <v>737776</v>
      </c>
      <c r="E169" s="142">
        <f t="shared" ca="1" si="40"/>
        <v>741298</v>
      </c>
      <c r="H169" s="55" t="s">
        <v>28</v>
      </c>
      <c r="I169" t="s">
        <v>46</v>
      </c>
      <c r="J169" s="142">
        <f t="shared" ca="1" si="41"/>
        <v>522326</v>
      </c>
      <c r="K169" s="142">
        <f t="shared" ca="1" si="42"/>
        <v>522495</v>
      </c>
      <c r="N169" s="55" t="s">
        <v>29</v>
      </c>
      <c r="O169" t="s">
        <v>44</v>
      </c>
      <c r="P169" s="142">
        <f t="shared" ca="1" si="43"/>
        <v>761879</v>
      </c>
      <c r="Q169" s="142">
        <f t="shared" ca="1" si="44"/>
        <v>768341</v>
      </c>
      <c r="T169" s="55" t="s">
        <v>8</v>
      </c>
      <c r="U169" t="s">
        <v>68</v>
      </c>
      <c r="V169" s="142">
        <f t="shared" ca="1" si="45"/>
        <v>608874</v>
      </c>
      <c r="W169" s="142">
        <f t="shared" ca="1" si="46"/>
        <v>612034</v>
      </c>
      <c r="AD169" s="142"/>
      <c r="AI169" s="142"/>
      <c r="AP169" s="142"/>
      <c r="AQ169" s="142"/>
      <c r="AV169" s="142"/>
      <c r="AW169" s="142"/>
      <c r="AX169" s="142"/>
    </row>
    <row r="170" spans="2:50">
      <c r="B170" s="55" t="s">
        <v>14</v>
      </c>
      <c r="C170" t="s">
        <v>37</v>
      </c>
      <c r="D170" s="142">
        <f t="shared" ca="1" si="39"/>
        <v>367534</v>
      </c>
      <c r="E170" s="142">
        <f t="shared" ca="1" si="40"/>
        <v>370768</v>
      </c>
      <c r="H170" s="55" t="s">
        <v>24</v>
      </c>
      <c r="I170" t="s">
        <v>46</v>
      </c>
      <c r="J170" s="142">
        <f t="shared" ca="1" si="41"/>
        <v>427091</v>
      </c>
      <c r="K170" s="142">
        <f t="shared" ca="1" si="42"/>
        <v>427662</v>
      </c>
      <c r="N170" s="55">
        <v>2021</v>
      </c>
      <c r="O170" t="s">
        <v>44</v>
      </c>
      <c r="P170" s="142">
        <f t="shared" ca="1" si="43"/>
        <v>288004</v>
      </c>
      <c r="Q170" s="142">
        <f t="shared" ca="1" si="44"/>
        <v>290954</v>
      </c>
      <c r="T170" s="55" t="s">
        <v>8</v>
      </c>
      <c r="U170" t="s">
        <v>77</v>
      </c>
      <c r="V170" s="142">
        <f t="shared" ca="1" si="45"/>
        <v>337945</v>
      </c>
      <c r="W170" s="142">
        <f t="shared" ca="1" si="46"/>
        <v>338588</v>
      </c>
      <c r="AD170" s="142"/>
      <c r="AI170" s="142"/>
      <c r="AP170" s="142"/>
      <c r="AQ170" s="142"/>
      <c r="AV170" s="142"/>
      <c r="AW170" s="142"/>
      <c r="AX170" s="142"/>
    </row>
    <row r="171" spans="2:50">
      <c r="B171" s="55" t="s">
        <v>12</v>
      </c>
      <c r="C171" t="s">
        <v>48</v>
      </c>
      <c r="D171" s="142">
        <f t="shared" ca="1" si="39"/>
        <v>958830</v>
      </c>
      <c r="E171" s="142">
        <f t="shared" ca="1" si="40"/>
        <v>959278</v>
      </c>
      <c r="H171" s="55" t="s">
        <v>26</v>
      </c>
      <c r="I171" t="s">
        <v>46</v>
      </c>
      <c r="J171" s="142">
        <f t="shared" ca="1" si="41"/>
        <v>526176</v>
      </c>
      <c r="K171" s="142">
        <f t="shared" ca="1" si="42"/>
        <v>526716</v>
      </c>
      <c r="N171" s="55">
        <v>2021</v>
      </c>
      <c r="O171" t="s">
        <v>37</v>
      </c>
      <c r="P171" s="142">
        <f t="shared" ca="1" si="43"/>
        <v>623195</v>
      </c>
      <c r="Q171" s="142">
        <f t="shared" ca="1" si="44"/>
        <v>623689</v>
      </c>
      <c r="T171" s="55" t="s">
        <v>22</v>
      </c>
      <c r="U171" t="s">
        <v>67</v>
      </c>
      <c r="V171" s="142">
        <f t="shared" ca="1" si="45"/>
        <v>689745</v>
      </c>
      <c r="W171" s="142">
        <f t="shared" ca="1" si="46"/>
        <v>691232</v>
      </c>
      <c r="AD171" s="142"/>
      <c r="AI171" s="142"/>
      <c r="AP171" s="142"/>
      <c r="AQ171" s="142"/>
      <c r="AV171" s="142"/>
      <c r="AW171" s="142"/>
      <c r="AX171" s="142"/>
    </row>
    <row r="172" spans="2:50">
      <c r="B172" s="55" t="s">
        <v>14</v>
      </c>
      <c r="C172" t="s">
        <v>44</v>
      </c>
      <c r="D172" s="142">
        <f t="shared" ca="1" si="39"/>
        <v>589517</v>
      </c>
      <c r="E172" s="142">
        <f t="shared" ca="1" si="40"/>
        <v>590046</v>
      </c>
      <c r="H172" s="55" t="s">
        <v>25</v>
      </c>
      <c r="I172" t="s">
        <v>46</v>
      </c>
      <c r="J172" s="142">
        <f t="shared" ca="1" si="41"/>
        <v>565921</v>
      </c>
      <c r="K172" s="142">
        <f t="shared" ca="1" si="42"/>
        <v>567909</v>
      </c>
      <c r="N172" s="55" t="s">
        <v>26</v>
      </c>
      <c r="O172" t="s">
        <v>46</v>
      </c>
      <c r="P172" s="142">
        <f t="shared" ca="1" si="43"/>
        <v>563186</v>
      </c>
      <c r="Q172" s="142">
        <f t="shared" ca="1" si="44"/>
        <v>565174</v>
      </c>
      <c r="T172" s="55" t="s">
        <v>16</v>
      </c>
      <c r="U172" t="s">
        <v>84</v>
      </c>
      <c r="V172" s="142">
        <f t="shared" ca="1" si="45"/>
        <v>168141</v>
      </c>
      <c r="W172" s="142">
        <f t="shared" ca="1" si="46"/>
        <v>169166</v>
      </c>
      <c r="AD172" s="142"/>
      <c r="AI172" s="142"/>
      <c r="AP172" s="142"/>
      <c r="AQ172" s="142"/>
      <c r="AV172" s="142"/>
      <c r="AW172" s="142"/>
      <c r="AX172" s="142"/>
    </row>
    <row r="173" spans="2:50">
      <c r="B173" s="55" t="s">
        <v>14</v>
      </c>
      <c r="C173" t="s">
        <v>50</v>
      </c>
      <c r="D173" s="142">
        <f t="shared" ca="1" si="39"/>
        <v>530408</v>
      </c>
      <c r="E173" s="142">
        <f t="shared" ca="1" si="40"/>
        <v>530803</v>
      </c>
      <c r="H173" s="55" t="s">
        <v>29</v>
      </c>
      <c r="I173" t="s">
        <v>46</v>
      </c>
      <c r="J173" s="142">
        <f t="shared" ca="1" si="41"/>
        <v>285689</v>
      </c>
      <c r="K173" s="142">
        <f t="shared" ca="1" si="42"/>
        <v>287086</v>
      </c>
      <c r="N173" s="55" t="s">
        <v>24</v>
      </c>
      <c r="O173" t="s">
        <v>46</v>
      </c>
      <c r="P173" s="142">
        <f t="shared" ca="1" si="43"/>
        <v>630680</v>
      </c>
      <c r="Q173" s="142">
        <f t="shared" ca="1" si="44"/>
        <v>631886</v>
      </c>
      <c r="T173" s="55" t="s">
        <v>16</v>
      </c>
      <c r="U173" t="s">
        <v>85</v>
      </c>
      <c r="V173" s="142">
        <f t="shared" ca="1" si="45"/>
        <v>500397</v>
      </c>
      <c r="W173" s="142">
        <f t="shared" ca="1" si="46"/>
        <v>504768</v>
      </c>
      <c r="AD173" s="142"/>
      <c r="AI173" s="142"/>
      <c r="AP173" s="142"/>
      <c r="AQ173" s="142"/>
      <c r="AV173" s="142"/>
      <c r="AW173" s="142"/>
      <c r="AX173" s="142"/>
    </row>
    <row r="174" spans="2:50">
      <c r="B174" s="55" t="s">
        <v>14</v>
      </c>
      <c r="C174" t="s">
        <v>51</v>
      </c>
      <c r="D174" s="142">
        <f t="shared" ca="1" si="39"/>
        <v>819188</v>
      </c>
      <c r="E174" s="142">
        <f t="shared" ca="1" si="40"/>
        <v>819999</v>
      </c>
      <c r="H174" s="55">
        <v>2021</v>
      </c>
      <c r="I174" t="s">
        <v>46</v>
      </c>
      <c r="J174" s="142">
        <f t="shared" ca="1" si="41"/>
        <v>983348</v>
      </c>
      <c r="K174" s="142">
        <f t="shared" ca="1" si="42"/>
        <v>987061</v>
      </c>
      <c r="N174" s="55" t="s">
        <v>29</v>
      </c>
      <c r="O174" t="s">
        <v>46</v>
      </c>
      <c r="P174" s="142">
        <f t="shared" ca="1" si="43"/>
        <v>381254</v>
      </c>
      <c r="Q174" s="142">
        <f t="shared" ca="1" si="44"/>
        <v>384469</v>
      </c>
      <c r="T174" s="55" t="s">
        <v>16</v>
      </c>
      <c r="U174" t="s">
        <v>70</v>
      </c>
      <c r="V174" s="142">
        <f t="shared" ca="1" si="45"/>
        <v>370116</v>
      </c>
      <c r="W174" s="142">
        <f t="shared" ca="1" si="46"/>
        <v>371478</v>
      </c>
      <c r="AD174" s="142"/>
      <c r="AI174" s="142"/>
      <c r="AP174" s="142"/>
      <c r="AQ174" s="142"/>
      <c r="AV174" s="142"/>
      <c r="AW174" s="142"/>
      <c r="AX174" s="142"/>
    </row>
    <row r="175" spans="2:50">
      <c r="B175" s="55" t="s">
        <v>12</v>
      </c>
      <c r="C175" t="s">
        <v>44</v>
      </c>
      <c r="D175" s="142">
        <f t="shared" ca="1" si="39"/>
        <v>102548</v>
      </c>
      <c r="E175" s="142">
        <f t="shared" ca="1" si="40"/>
        <v>105399</v>
      </c>
      <c r="H175" s="55" t="s">
        <v>23</v>
      </c>
      <c r="I175" t="s">
        <v>36</v>
      </c>
      <c r="J175" s="142">
        <f t="shared" ca="1" si="41"/>
        <v>259828</v>
      </c>
      <c r="K175" s="142">
        <f t="shared" ca="1" si="42"/>
        <v>261432</v>
      </c>
      <c r="N175" s="55" t="s">
        <v>25</v>
      </c>
      <c r="O175" t="s">
        <v>46</v>
      </c>
      <c r="P175" s="142">
        <f t="shared" ca="1" si="43"/>
        <v>685946</v>
      </c>
      <c r="Q175" s="142">
        <f t="shared" ca="1" si="44"/>
        <v>686882</v>
      </c>
      <c r="T175" s="55" t="s">
        <v>16</v>
      </c>
      <c r="U175" t="s">
        <v>71</v>
      </c>
      <c r="V175" s="142">
        <f t="shared" ca="1" si="45"/>
        <v>253716</v>
      </c>
      <c r="W175" s="142">
        <f t="shared" ca="1" si="46"/>
        <v>254992</v>
      </c>
      <c r="AD175" s="142"/>
      <c r="AI175" s="142"/>
      <c r="AP175" s="142"/>
      <c r="AQ175" s="142"/>
      <c r="AV175" s="142"/>
      <c r="AW175" s="142"/>
      <c r="AX175" s="142"/>
    </row>
    <row r="176" spans="2:50">
      <c r="B176" s="55" t="s">
        <v>12</v>
      </c>
      <c r="C176" t="s">
        <v>46</v>
      </c>
      <c r="D176" s="142">
        <f t="shared" ca="1" si="39"/>
        <v>574397</v>
      </c>
      <c r="E176" s="142">
        <f t="shared" ca="1" si="40"/>
        <v>576755</v>
      </c>
      <c r="H176" s="55" t="s">
        <v>12</v>
      </c>
      <c r="I176" t="s">
        <v>36</v>
      </c>
      <c r="J176" s="142">
        <f t="shared" ca="1" si="41"/>
        <v>735454</v>
      </c>
      <c r="K176" s="142">
        <f t="shared" ca="1" si="42"/>
        <v>744937</v>
      </c>
      <c r="N176" s="55">
        <v>2021</v>
      </c>
      <c r="O176" t="s">
        <v>46</v>
      </c>
      <c r="P176" s="142">
        <f t="shared" ca="1" si="43"/>
        <v>305493</v>
      </c>
      <c r="Q176" s="142">
        <f t="shared" ca="1" si="44"/>
        <v>306731</v>
      </c>
      <c r="T176" s="55" t="s">
        <v>16</v>
      </c>
      <c r="U176" t="s">
        <v>72</v>
      </c>
      <c r="V176" s="142">
        <f t="shared" ca="1" si="45"/>
        <v>493907</v>
      </c>
      <c r="W176" s="142">
        <f t="shared" ca="1" si="46"/>
        <v>496449</v>
      </c>
      <c r="AD176" s="142"/>
      <c r="AI176" s="142"/>
      <c r="AP176" s="142"/>
      <c r="AQ176" s="142"/>
      <c r="AV176" s="142"/>
      <c r="AW176" s="142"/>
      <c r="AX176" s="142"/>
    </row>
    <row r="177" spans="2:50">
      <c r="B177" s="55" t="s">
        <v>14</v>
      </c>
      <c r="C177" t="s">
        <v>48</v>
      </c>
      <c r="D177" s="142">
        <f t="shared" ca="1" si="39"/>
        <v>779579</v>
      </c>
      <c r="E177" s="142">
        <f t="shared" ca="1" si="40"/>
        <v>780480</v>
      </c>
      <c r="H177" s="55" t="s">
        <v>14</v>
      </c>
      <c r="I177" t="s">
        <v>36</v>
      </c>
      <c r="J177" s="142">
        <f t="shared" ca="1" si="41"/>
        <v>631582</v>
      </c>
      <c r="K177" s="142">
        <f t="shared" ca="1" si="42"/>
        <v>637797</v>
      </c>
      <c r="N177" s="55" t="s">
        <v>16</v>
      </c>
      <c r="O177" t="s">
        <v>45</v>
      </c>
      <c r="P177" s="142">
        <f t="shared" ca="1" si="43"/>
        <v>211644</v>
      </c>
      <c r="Q177" s="142">
        <f t="shared" ca="1" si="44"/>
        <v>218176</v>
      </c>
      <c r="T177" s="55" t="s">
        <v>16</v>
      </c>
      <c r="U177" t="s">
        <v>170</v>
      </c>
      <c r="V177" s="142">
        <f t="shared" ca="1" si="45"/>
        <v>626596</v>
      </c>
      <c r="W177" s="142">
        <f t="shared" ca="1" si="46"/>
        <v>627799</v>
      </c>
      <c r="AD177" s="142"/>
      <c r="AI177" s="142"/>
      <c r="AP177" s="142"/>
      <c r="AQ177" s="142"/>
      <c r="AV177" s="142"/>
      <c r="AW177" s="142"/>
      <c r="AX177" s="142"/>
    </row>
    <row r="178" spans="2:50">
      <c r="B178" s="55" t="s">
        <v>14</v>
      </c>
      <c r="C178" t="s">
        <v>46</v>
      </c>
      <c r="D178" s="142">
        <f t="shared" ca="1" si="39"/>
        <v>116547</v>
      </c>
      <c r="E178" s="142">
        <f t="shared" ca="1" si="40"/>
        <v>117793</v>
      </c>
      <c r="H178" s="55" t="s">
        <v>10</v>
      </c>
      <c r="I178" t="s">
        <v>40</v>
      </c>
      <c r="J178" s="142">
        <f t="shared" ca="1" si="41"/>
        <v>150700</v>
      </c>
      <c r="K178" s="142">
        <f t="shared" ca="1" si="42"/>
        <v>152909</v>
      </c>
      <c r="N178" s="55" t="s">
        <v>16</v>
      </c>
      <c r="O178" t="s">
        <v>44</v>
      </c>
      <c r="P178" s="142">
        <f t="shared" ca="1" si="43"/>
        <v>164696</v>
      </c>
      <c r="Q178" s="142">
        <f t="shared" ca="1" si="44"/>
        <v>165787</v>
      </c>
      <c r="T178" s="55" t="s">
        <v>22</v>
      </c>
      <c r="U178" t="s">
        <v>84</v>
      </c>
      <c r="V178" s="142">
        <f t="shared" ca="1" si="45"/>
        <v>828754</v>
      </c>
      <c r="W178" s="142">
        <f t="shared" ca="1" si="46"/>
        <v>828893</v>
      </c>
      <c r="AD178" s="142"/>
      <c r="AI178" s="142"/>
      <c r="AP178" s="142"/>
      <c r="AQ178" s="142"/>
      <c r="AV178" s="142"/>
      <c r="AW178" s="142"/>
      <c r="AX178" s="142"/>
    </row>
    <row r="179" spans="2:50">
      <c r="B179" s="55" t="s">
        <v>12</v>
      </c>
      <c r="C179" t="s">
        <v>51</v>
      </c>
      <c r="D179" s="142">
        <f t="shared" ca="1" si="39"/>
        <v>374110</v>
      </c>
      <c r="E179" s="142">
        <f t="shared" ca="1" si="40"/>
        <v>378859</v>
      </c>
      <c r="H179" s="55" t="s">
        <v>22</v>
      </c>
      <c r="I179" t="s">
        <v>36</v>
      </c>
      <c r="J179" s="142">
        <f t="shared" ca="1" si="41"/>
        <v>486683</v>
      </c>
      <c r="K179" s="142">
        <f t="shared" ca="1" si="42"/>
        <v>489811</v>
      </c>
      <c r="N179" s="55" t="s">
        <v>16</v>
      </c>
      <c r="O179" t="s">
        <v>38</v>
      </c>
      <c r="P179" s="142">
        <f t="shared" ca="1" si="43"/>
        <v>179465</v>
      </c>
      <c r="Q179" s="142">
        <f t="shared" ca="1" si="44"/>
        <v>180928</v>
      </c>
      <c r="T179" s="55" t="s">
        <v>22</v>
      </c>
      <c r="U179" t="s">
        <v>85</v>
      </c>
      <c r="V179" s="142">
        <f t="shared" ca="1" si="45"/>
        <v>963470</v>
      </c>
      <c r="W179" s="142">
        <f t="shared" ca="1" si="46"/>
        <v>965181</v>
      </c>
      <c r="AD179" s="142"/>
      <c r="AI179" s="142"/>
      <c r="AP179" s="142"/>
      <c r="AQ179" s="142"/>
      <c r="AV179" s="142"/>
      <c r="AW179" s="142"/>
      <c r="AX179" s="142"/>
    </row>
    <row r="180" spans="2:50">
      <c r="B180" s="55" t="s">
        <v>12</v>
      </c>
      <c r="C180" t="s">
        <v>50</v>
      </c>
      <c r="D180" s="142">
        <f t="shared" ca="1" si="39"/>
        <v>411508</v>
      </c>
      <c r="E180" s="142">
        <f t="shared" ca="1" si="40"/>
        <v>415489</v>
      </c>
      <c r="H180" s="55" t="s">
        <v>17</v>
      </c>
      <c r="I180" t="s">
        <v>36</v>
      </c>
      <c r="J180" s="142">
        <f t="shared" ca="1" si="41"/>
        <v>205145</v>
      </c>
      <c r="K180" s="142">
        <f t="shared" ca="1" si="42"/>
        <v>207399</v>
      </c>
      <c r="N180" s="55" t="s">
        <v>16</v>
      </c>
      <c r="O180" t="s">
        <v>40</v>
      </c>
      <c r="P180" s="142">
        <f t="shared" ca="1" si="43"/>
        <v>813905</v>
      </c>
      <c r="Q180" s="142">
        <f t="shared" ca="1" si="44"/>
        <v>814999</v>
      </c>
      <c r="T180" s="55" t="s">
        <v>22</v>
      </c>
      <c r="U180" t="s">
        <v>70</v>
      </c>
      <c r="V180" s="142">
        <f t="shared" ca="1" si="45"/>
        <v>603486</v>
      </c>
      <c r="W180" s="142">
        <f t="shared" ca="1" si="46"/>
        <v>603733</v>
      </c>
      <c r="AD180" s="142"/>
      <c r="AI180" s="142"/>
      <c r="AP180" s="142"/>
      <c r="AQ180" s="142"/>
      <c r="AV180" s="142"/>
      <c r="AW180" s="142"/>
      <c r="AX180" s="142"/>
    </row>
    <row r="181" spans="2:50">
      <c r="B181" s="55" t="s">
        <v>29</v>
      </c>
      <c r="C181" t="s">
        <v>18</v>
      </c>
      <c r="D181" s="142">
        <f t="shared" ca="1" si="39"/>
        <v>928694</v>
      </c>
      <c r="E181" s="142">
        <f t="shared" ca="1" si="40"/>
        <v>930202</v>
      </c>
      <c r="H181" s="55" t="s">
        <v>16</v>
      </c>
      <c r="I181" t="s">
        <v>36</v>
      </c>
      <c r="J181" s="142">
        <f t="shared" ca="1" si="41"/>
        <v>380444</v>
      </c>
      <c r="K181" s="142">
        <f t="shared" ca="1" si="42"/>
        <v>387900</v>
      </c>
      <c r="N181" s="55" t="s">
        <v>16</v>
      </c>
      <c r="O181" t="s">
        <v>37</v>
      </c>
      <c r="P181" s="142">
        <f t="shared" ca="1" si="43"/>
        <v>536909</v>
      </c>
      <c r="Q181" s="142">
        <f t="shared" ca="1" si="44"/>
        <v>537726</v>
      </c>
      <c r="T181" s="55" t="s">
        <v>22</v>
      </c>
      <c r="U181" t="s">
        <v>71</v>
      </c>
      <c r="V181" s="142">
        <f t="shared" ca="1" si="45"/>
        <v>815952</v>
      </c>
      <c r="W181" s="142">
        <f t="shared" ca="1" si="46"/>
        <v>820390</v>
      </c>
      <c r="AD181" s="142"/>
      <c r="AI181" s="142"/>
      <c r="AP181" s="142"/>
      <c r="AQ181" s="142"/>
      <c r="AV181" s="142"/>
      <c r="AW181" s="142"/>
      <c r="AX181" s="142"/>
    </row>
    <row r="182" spans="2:50">
      <c r="B182" s="55" t="s">
        <v>25</v>
      </c>
      <c r="C182" t="s">
        <v>18</v>
      </c>
      <c r="D182" s="142">
        <f t="shared" ca="1" si="39"/>
        <v>555459</v>
      </c>
      <c r="E182" s="142">
        <f t="shared" ca="1" si="40"/>
        <v>556503</v>
      </c>
      <c r="H182" s="55" t="s">
        <v>22</v>
      </c>
      <c r="I182" t="s">
        <v>40</v>
      </c>
      <c r="J182" s="142">
        <f t="shared" ca="1" si="41"/>
        <v>912261</v>
      </c>
      <c r="K182" s="142">
        <f t="shared" ca="1" si="42"/>
        <v>913694</v>
      </c>
      <c r="N182" s="55" t="s">
        <v>16</v>
      </c>
      <c r="O182" t="s">
        <v>46</v>
      </c>
      <c r="P182" s="142">
        <f t="shared" ca="1" si="43"/>
        <v>885180</v>
      </c>
      <c r="Q182" s="142">
        <f t="shared" ca="1" si="44"/>
        <v>885858</v>
      </c>
      <c r="T182" s="55" t="s">
        <v>22</v>
      </c>
      <c r="U182" t="s">
        <v>72</v>
      </c>
      <c r="V182" s="142">
        <f t="shared" ca="1" si="45"/>
        <v>756148</v>
      </c>
      <c r="W182" s="142">
        <f t="shared" ca="1" si="46"/>
        <v>760667</v>
      </c>
      <c r="AD182" s="142"/>
      <c r="AI182" s="142"/>
      <c r="AP182" s="142"/>
      <c r="AQ182" s="142"/>
      <c r="AV182" s="142"/>
      <c r="AW182" s="142"/>
      <c r="AX182" s="142"/>
    </row>
    <row r="183" spans="2:50">
      <c r="B183" s="55" t="s">
        <v>24</v>
      </c>
      <c r="C183" t="s">
        <v>53</v>
      </c>
      <c r="D183" s="142">
        <f t="shared" ca="1" si="39"/>
        <v>872138</v>
      </c>
      <c r="E183" s="142">
        <f t="shared" ca="1" si="40"/>
        <v>874329</v>
      </c>
      <c r="H183" s="55" t="s">
        <v>10</v>
      </c>
      <c r="I183" t="s">
        <v>36</v>
      </c>
      <c r="J183" s="142">
        <f t="shared" ca="1" si="41"/>
        <v>879540</v>
      </c>
      <c r="K183" s="142">
        <f t="shared" ca="1" si="42"/>
        <v>881324</v>
      </c>
      <c r="N183" s="55" t="s">
        <v>16</v>
      </c>
      <c r="O183" t="s">
        <v>43</v>
      </c>
      <c r="P183" s="142">
        <f t="shared" ca="1" si="43"/>
        <v>719926</v>
      </c>
      <c r="Q183" s="142">
        <f t="shared" ca="1" si="44"/>
        <v>721630</v>
      </c>
      <c r="T183" s="55" t="s">
        <v>22</v>
      </c>
      <c r="U183" t="s">
        <v>170</v>
      </c>
      <c r="V183" s="142">
        <f t="shared" ca="1" si="45"/>
        <v>678822</v>
      </c>
      <c r="W183" s="142">
        <f t="shared" ca="1" si="46"/>
        <v>688400</v>
      </c>
      <c r="AD183" s="142"/>
      <c r="AI183" s="142"/>
      <c r="AP183" s="142"/>
      <c r="AQ183" s="142"/>
      <c r="AV183" s="142"/>
      <c r="AW183" s="142"/>
      <c r="AX183" s="142"/>
    </row>
    <row r="184" spans="2:50">
      <c r="B184" s="55" t="s">
        <v>26</v>
      </c>
      <c r="C184" t="s">
        <v>18</v>
      </c>
      <c r="D184" s="142">
        <f t="shared" ca="1" si="39"/>
        <v>601173</v>
      </c>
      <c r="E184" s="142">
        <f t="shared" ca="1" si="40"/>
        <v>605095</v>
      </c>
      <c r="H184" s="55" t="s">
        <v>16</v>
      </c>
      <c r="I184" t="s">
        <v>40</v>
      </c>
      <c r="J184" s="142">
        <f t="shared" ca="1" si="41"/>
        <v>286550</v>
      </c>
      <c r="K184" s="142">
        <f t="shared" ca="1" si="42"/>
        <v>291683</v>
      </c>
      <c r="N184" s="55" t="s">
        <v>16</v>
      </c>
      <c r="O184" t="s">
        <v>42</v>
      </c>
      <c r="P184" s="142">
        <f t="shared" ca="1" si="43"/>
        <v>539627</v>
      </c>
      <c r="Q184" s="142">
        <f t="shared" ca="1" si="44"/>
        <v>544415</v>
      </c>
      <c r="T184" s="55" t="s">
        <v>23</v>
      </c>
      <c r="U184" t="s">
        <v>84</v>
      </c>
      <c r="V184" s="142">
        <f t="shared" ca="1" si="45"/>
        <v>296180</v>
      </c>
      <c r="W184" s="142">
        <f t="shared" ca="1" si="46"/>
        <v>303335</v>
      </c>
      <c r="AD184" s="142"/>
      <c r="AI184" s="142"/>
      <c r="AP184" s="142"/>
      <c r="AQ184" s="142"/>
      <c r="AV184" s="142"/>
      <c r="AW184" s="142"/>
      <c r="AX184" s="142"/>
    </row>
    <row r="185" spans="2:50">
      <c r="B185" s="55" t="s">
        <v>24</v>
      </c>
      <c r="C185" t="s">
        <v>18</v>
      </c>
      <c r="D185" s="142">
        <f t="shared" ca="1" si="39"/>
        <v>741254</v>
      </c>
      <c r="E185" s="142">
        <f t="shared" ca="1" si="40"/>
        <v>745372</v>
      </c>
      <c r="H185" s="55" t="s">
        <v>28</v>
      </c>
      <c r="I185" t="s">
        <v>36</v>
      </c>
      <c r="J185" s="142">
        <f t="shared" ca="1" si="41"/>
        <v>190139</v>
      </c>
      <c r="K185" s="142">
        <f t="shared" ca="1" si="42"/>
        <v>194522</v>
      </c>
      <c r="N185" s="55" t="s">
        <v>16</v>
      </c>
      <c r="O185" t="s">
        <v>49</v>
      </c>
      <c r="P185" s="142">
        <f t="shared" ca="1" si="43"/>
        <v>427455</v>
      </c>
      <c r="Q185" s="142">
        <f t="shared" ca="1" si="44"/>
        <v>434143</v>
      </c>
      <c r="T185" s="55" t="s">
        <v>23</v>
      </c>
      <c r="U185" t="s">
        <v>85</v>
      </c>
      <c r="V185" s="142">
        <f t="shared" ca="1" si="45"/>
        <v>176307</v>
      </c>
      <c r="W185" s="142">
        <f t="shared" ca="1" si="46"/>
        <v>176889</v>
      </c>
      <c r="AD185" s="142"/>
      <c r="AI185" s="142"/>
      <c r="AP185" s="142"/>
      <c r="AQ185" s="142"/>
      <c r="AV185" s="142"/>
      <c r="AW185" s="142"/>
      <c r="AX185" s="142"/>
    </row>
    <row r="186" spans="2:50">
      <c r="B186" s="55">
        <v>2021</v>
      </c>
      <c r="C186" t="s">
        <v>18</v>
      </c>
      <c r="D186" s="142">
        <f t="shared" ca="1" si="39"/>
        <v>845263</v>
      </c>
      <c r="E186" s="142">
        <f t="shared" ca="1" si="40"/>
        <v>850482</v>
      </c>
      <c r="H186" s="55" t="s">
        <v>27</v>
      </c>
      <c r="I186" t="s">
        <v>36</v>
      </c>
      <c r="J186" s="142">
        <f t="shared" ca="1" si="41"/>
        <v>708634</v>
      </c>
      <c r="K186" s="142">
        <f t="shared" ca="1" si="42"/>
        <v>709586</v>
      </c>
      <c r="N186" s="55" t="s">
        <v>16</v>
      </c>
      <c r="O186" t="s">
        <v>52</v>
      </c>
      <c r="P186" s="142">
        <f t="shared" ca="1" si="43"/>
        <v>806138</v>
      </c>
      <c r="Q186" s="142">
        <f t="shared" ca="1" si="44"/>
        <v>807863</v>
      </c>
      <c r="T186" s="55" t="s">
        <v>23</v>
      </c>
      <c r="U186" t="s">
        <v>70</v>
      </c>
      <c r="V186" s="142">
        <f t="shared" ca="1" si="45"/>
        <v>461473</v>
      </c>
      <c r="W186" s="142">
        <f t="shared" ca="1" si="46"/>
        <v>462987</v>
      </c>
      <c r="AD186" s="142"/>
      <c r="AI186" s="142"/>
      <c r="AP186" s="142"/>
      <c r="AQ186" s="142"/>
      <c r="AV186" s="142"/>
      <c r="AW186" s="142"/>
      <c r="AX186" s="142"/>
    </row>
    <row r="187" spans="2:50">
      <c r="B187" s="55">
        <v>2021</v>
      </c>
      <c r="C187" t="s">
        <v>53</v>
      </c>
      <c r="D187" s="142">
        <f t="shared" ca="1" si="39"/>
        <v>476628</v>
      </c>
      <c r="E187" s="142">
        <f t="shared" ca="1" si="40"/>
        <v>477271</v>
      </c>
      <c r="H187" s="55" t="s">
        <v>15</v>
      </c>
      <c r="I187" t="s">
        <v>36</v>
      </c>
      <c r="J187" s="142">
        <f t="shared" ca="1" si="41"/>
        <v>604016</v>
      </c>
      <c r="K187" s="142">
        <f t="shared" ca="1" si="42"/>
        <v>605812</v>
      </c>
      <c r="N187" s="55" t="s">
        <v>16</v>
      </c>
      <c r="O187" t="s">
        <v>47</v>
      </c>
      <c r="P187" s="142">
        <f t="shared" ca="1" si="43"/>
        <v>242351</v>
      </c>
      <c r="Q187" s="142">
        <f t="shared" ca="1" si="44"/>
        <v>246507</v>
      </c>
      <c r="T187" s="55" t="s">
        <v>23</v>
      </c>
      <c r="U187" t="s">
        <v>71</v>
      </c>
      <c r="V187" s="142">
        <f t="shared" ca="1" si="45"/>
        <v>264168</v>
      </c>
      <c r="W187" s="142">
        <f t="shared" ca="1" si="46"/>
        <v>266825</v>
      </c>
      <c r="AD187" s="142"/>
      <c r="AI187" s="142"/>
      <c r="AP187" s="142"/>
      <c r="AQ187" s="142"/>
      <c r="AV187" s="142"/>
      <c r="AW187" s="142"/>
      <c r="AX187" s="142"/>
    </row>
    <row r="188" spans="2:50">
      <c r="B188" s="55" t="s">
        <v>29</v>
      </c>
      <c r="C188" t="s">
        <v>48</v>
      </c>
      <c r="D188" s="142">
        <f t="shared" ca="1" si="39"/>
        <v>511868</v>
      </c>
      <c r="E188" s="142">
        <f t="shared" ca="1" si="40"/>
        <v>518065</v>
      </c>
      <c r="H188" s="55" t="s">
        <v>9</v>
      </c>
      <c r="I188" t="s">
        <v>36</v>
      </c>
      <c r="J188" s="142">
        <f t="shared" ca="1" si="41"/>
        <v>896409</v>
      </c>
      <c r="K188" s="142">
        <f t="shared" ca="1" si="42"/>
        <v>897096</v>
      </c>
      <c r="N188" s="55" t="s">
        <v>16</v>
      </c>
      <c r="O188" t="s">
        <v>48</v>
      </c>
      <c r="P188" s="142">
        <f t="shared" ca="1" si="43"/>
        <v>339094</v>
      </c>
      <c r="Q188" s="142">
        <f t="shared" ca="1" si="44"/>
        <v>339465</v>
      </c>
      <c r="T188" s="55" t="s">
        <v>23</v>
      </c>
      <c r="U188" t="s">
        <v>72</v>
      </c>
      <c r="V188" s="142">
        <f t="shared" ca="1" si="45"/>
        <v>486274</v>
      </c>
      <c r="W188" s="142">
        <f t="shared" ca="1" si="46"/>
        <v>488962</v>
      </c>
      <c r="AD188" s="142"/>
      <c r="AI188" s="142"/>
      <c r="AP188" s="142"/>
      <c r="AQ188" s="142"/>
      <c r="AV188" s="142"/>
      <c r="AW188" s="142"/>
      <c r="AX188" s="142"/>
    </row>
    <row r="189" spans="2:50">
      <c r="B189" s="55" t="s">
        <v>25</v>
      </c>
      <c r="C189" t="s">
        <v>48</v>
      </c>
      <c r="D189" s="142">
        <f t="shared" ca="1" si="39"/>
        <v>728652</v>
      </c>
      <c r="E189" s="142">
        <f t="shared" ca="1" si="40"/>
        <v>729817</v>
      </c>
      <c r="H189" s="55" t="s">
        <v>8</v>
      </c>
      <c r="I189" t="s">
        <v>36</v>
      </c>
      <c r="J189" s="142">
        <f t="shared" ca="1" si="41"/>
        <v>381768</v>
      </c>
      <c r="K189" s="142">
        <f t="shared" ca="1" si="42"/>
        <v>383914</v>
      </c>
      <c r="N189" s="55" t="s">
        <v>16</v>
      </c>
      <c r="O189" t="s">
        <v>50</v>
      </c>
      <c r="P189" s="142">
        <f t="shared" ca="1" si="43"/>
        <v>459243</v>
      </c>
      <c r="Q189" s="142">
        <f t="shared" ca="1" si="44"/>
        <v>464773</v>
      </c>
      <c r="T189" s="55" t="s">
        <v>23</v>
      </c>
      <c r="U189" t="s">
        <v>170</v>
      </c>
      <c r="V189" s="142">
        <f t="shared" ca="1" si="45"/>
        <v>908002</v>
      </c>
      <c r="W189" s="142">
        <f t="shared" ca="1" si="46"/>
        <v>910024</v>
      </c>
      <c r="AD189" s="142"/>
      <c r="AI189" s="142"/>
      <c r="AP189" s="142"/>
      <c r="AQ189" s="142"/>
      <c r="AV189" s="142"/>
      <c r="AW189" s="142"/>
      <c r="AX189" s="142"/>
    </row>
    <row r="190" spans="2:50">
      <c r="B190" s="55" t="s">
        <v>26</v>
      </c>
      <c r="C190" t="s">
        <v>48</v>
      </c>
      <c r="D190" s="142">
        <f t="shared" ca="1" si="39"/>
        <v>435981</v>
      </c>
      <c r="E190" s="142">
        <f t="shared" ca="1" si="40"/>
        <v>437471</v>
      </c>
      <c r="H190" s="55" t="s">
        <v>23</v>
      </c>
      <c r="I190" t="s">
        <v>40</v>
      </c>
      <c r="J190" s="142">
        <f t="shared" ca="1" si="41"/>
        <v>159259</v>
      </c>
      <c r="K190" s="142">
        <f t="shared" ca="1" si="42"/>
        <v>160053</v>
      </c>
      <c r="N190" s="55" t="s">
        <v>16</v>
      </c>
      <c r="O190" t="s">
        <v>51</v>
      </c>
      <c r="P190" s="142">
        <f t="shared" ca="1" si="43"/>
        <v>253553</v>
      </c>
      <c r="Q190" s="142">
        <f t="shared" ca="1" si="44"/>
        <v>254842</v>
      </c>
      <c r="T190" s="55" t="s">
        <v>10</v>
      </c>
      <c r="U190" t="s">
        <v>84</v>
      </c>
      <c r="V190" s="142">
        <f t="shared" ca="1" si="45"/>
        <v>246155</v>
      </c>
      <c r="W190" s="142">
        <f t="shared" ca="1" si="46"/>
        <v>247556</v>
      </c>
      <c r="AD190" s="142"/>
      <c r="AI190" s="142"/>
      <c r="AP190" s="142"/>
      <c r="AQ190" s="142"/>
      <c r="AV190" s="142"/>
      <c r="AW190" s="142"/>
      <c r="AX190" s="142"/>
    </row>
    <row r="191" spans="2:50">
      <c r="B191" s="55" t="s">
        <v>24</v>
      </c>
      <c r="C191" t="s">
        <v>48</v>
      </c>
      <c r="D191" s="142">
        <f t="shared" ca="1" si="39"/>
        <v>501872</v>
      </c>
      <c r="E191" s="142">
        <f t="shared" ca="1" si="40"/>
        <v>505241</v>
      </c>
      <c r="H191" s="55" t="s">
        <v>24</v>
      </c>
      <c r="I191" t="s">
        <v>36</v>
      </c>
      <c r="J191" s="142">
        <f t="shared" ca="1" si="41"/>
        <v>550021</v>
      </c>
      <c r="K191" s="142">
        <f t="shared" ca="1" si="42"/>
        <v>553992</v>
      </c>
      <c r="N191" s="55" t="s">
        <v>25</v>
      </c>
      <c r="O191" t="s">
        <v>40</v>
      </c>
      <c r="P191" s="142">
        <f t="shared" ca="1" si="43"/>
        <v>225168</v>
      </c>
      <c r="Q191" s="142">
        <f t="shared" ca="1" si="44"/>
        <v>228959</v>
      </c>
      <c r="T191" s="55" t="s">
        <v>10</v>
      </c>
      <c r="U191" t="s">
        <v>85</v>
      </c>
      <c r="V191" s="142">
        <f t="shared" ca="1" si="45"/>
        <v>252123</v>
      </c>
      <c r="W191" s="142">
        <f t="shared" ca="1" si="46"/>
        <v>258984</v>
      </c>
      <c r="AD191" s="142"/>
      <c r="AI191" s="142"/>
      <c r="AP191" s="142"/>
      <c r="AQ191" s="142"/>
      <c r="AV191" s="142"/>
      <c r="AW191" s="142"/>
      <c r="AX191" s="142"/>
    </row>
    <row r="192" spans="2:50">
      <c r="B192" s="55">
        <v>2021</v>
      </c>
      <c r="C192" t="s">
        <v>48</v>
      </c>
      <c r="D192" s="142">
        <f t="shared" ca="1" si="39"/>
        <v>217943</v>
      </c>
      <c r="E192" s="142">
        <f t="shared" ca="1" si="40"/>
        <v>219291</v>
      </c>
      <c r="H192" s="55" t="s">
        <v>25</v>
      </c>
      <c r="I192" t="s">
        <v>40</v>
      </c>
      <c r="J192" s="142">
        <f t="shared" ca="1" si="41"/>
        <v>802626</v>
      </c>
      <c r="K192" s="142">
        <f t="shared" ca="1" si="42"/>
        <v>803464</v>
      </c>
      <c r="N192" s="55" t="s">
        <v>24</v>
      </c>
      <c r="O192" t="s">
        <v>40</v>
      </c>
      <c r="P192" s="142">
        <f t="shared" ca="1" si="43"/>
        <v>470627</v>
      </c>
      <c r="Q192" s="142">
        <f t="shared" ca="1" si="44"/>
        <v>472839</v>
      </c>
      <c r="T192" s="55" t="s">
        <v>10</v>
      </c>
      <c r="U192" t="s">
        <v>70</v>
      </c>
      <c r="V192" s="142">
        <f t="shared" ca="1" si="45"/>
        <v>128933</v>
      </c>
      <c r="W192" s="142">
        <f t="shared" ca="1" si="46"/>
        <v>134276</v>
      </c>
      <c r="AD192" s="142"/>
      <c r="AI192" s="142"/>
      <c r="AP192" s="142"/>
      <c r="AQ192" s="142"/>
      <c r="AV192" s="142"/>
      <c r="AW192" s="142"/>
      <c r="AX192" s="142"/>
    </row>
    <row r="193" spans="2:50">
      <c r="B193" s="55" t="s">
        <v>22</v>
      </c>
      <c r="C193" t="s">
        <v>45</v>
      </c>
      <c r="D193" s="142">
        <f t="shared" ca="1" si="39"/>
        <v>889309</v>
      </c>
      <c r="E193" s="142">
        <f t="shared" ca="1" si="40"/>
        <v>889977</v>
      </c>
      <c r="H193" s="55" t="s">
        <v>25</v>
      </c>
      <c r="I193" t="s">
        <v>36</v>
      </c>
      <c r="J193" s="142">
        <f t="shared" ca="1" si="41"/>
        <v>652498</v>
      </c>
      <c r="K193" s="142">
        <f t="shared" ca="1" si="42"/>
        <v>654681</v>
      </c>
      <c r="N193" s="55">
        <v>2021</v>
      </c>
      <c r="O193" t="s">
        <v>40</v>
      </c>
      <c r="P193" s="142">
        <f t="shared" ca="1" si="43"/>
        <v>411909</v>
      </c>
      <c r="Q193" s="142">
        <f t="shared" ca="1" si="44"/>
        <v>418234</v>
      </c>
      <c r="T193" s="55" t="s">
        <v>10</v>
      </c>
      <c r="U193" t="s">
        <v>71</v>
      </c>
      <c r="V193" s="142">
        <f t="shared" ca="1" si="45"/>
        <v>755700</v>
      </c>
      <c r="W193" s="142">
        <f t="shared" ca="1" si="46"/>
        <v>759615</v>
      </c>
      <c r="AD193" s="142"/>
      <c r="AI193" s="142"/>
      <c r="AP193" s="142"/>
      <c r="AQ193" s="142"/>
      <c r="AV193" s="142"/>
      <c r="AW193" s="142"/>
      <c r="AX193" s="142"/>
    </row>
    <row r="194" spans="2:50">
      <c r="B194" s="55" t="s">
        <v>8</v>
      </c>
      <c r="C194" t="s">
        <v>38</v>
      </c>
      <c r="D194" s="142">
        <f t="shared" ca="1" si="39"/>
        <v>629971</v>
      </c>
      <c r="E194" s="142">
        <f t="shared" ca="1" si="40"/>
        <v>631525</v>
      </c>
      <c r="H194" s="55" t="s">
        <v>24</v>
      </c>
      <c r="I194" t="s">
        <v>40</v>
      </c>
      <c r="J194" s="142">
        <f t="shared" ca="1" si="41"/>
        <v>577904</v>
      </c>
      <c r="K194" s="142">
        <f t="shared" ca="1" si="42"/>
        <v>581840</v>
      </c>
      <c r="N194" s="55" t="s">
        <v>26</v>
      </c>
      <c r="O194" t="s">
        <v>38</v>
      </c>
      <c r="P194" s="142">
        <f t="shared" ca="1" si="43"/>
        <v>536411</v>
      </c>
      <c r="Q194" s="142">
        <f t="shared" ca="1" si="44"/>
        <v>540228</v>
      </c>
      <c r="T194" s="55" t="s">
        <v>10</v>
      </c>
      <c r="U194" t="s">
        <v>72</v>
      </c>
      <c r="V194" s="142">
        <f t="shared" ca="1" si="45"/>
        <v>712003</v>
      </c>
      <c r="W194" s="142">
        <f t="shared" ca="1" si="46"/>
        <v>714413</v>
      </c>
      <c r="AD194" s="142"/>
      <c r="AI194" s="142"/>
      <c r="AP194" s="142"/>
      <c r="AQ194" s="142"/>
      <c r="AV194" s="142"/>
      <c r="AW194" s="142"/>
      <c r="AX194" s="142"/>
    </row>
    <row r="195" spans="2:50">
      <c r="B195" s="55" t="s">
        <v>22</v>
      </c>
      <c r="C195" t="s">
        <v>38</v>
      </c>
      <c r="D195" s="142">
        <f t="shared" ref="D195:D258" ca="1" si="50">RANDBETWEEN(100000,1000000)</f>
        <v>265433</v>
      </c>
      <c r="E195" s="142">
        <f t="shared" ref="E195:E258" ca="1" si="51">RANDBETWEEN(D195,D195+RANDBETWEEN(1000,10000))</f>
        <v>270371</v>
      </c>
      <c r="H195" s="55" t="s">
        <v>26</v>
      </c>
      <c r="I195" t="s">
        <v>36</v>
      </c>
      <c r="J195" s="142">
        <f t="shared" ref="J195:J232" ca="1" si="52">RANDBETWEEN(100000,1000000)</f>
        <v>998383</v>
      </c>
      <c r="K195" s="142">
        <f t="shared" ref="K195:K232" ca="1" si="53">RANDBETWEEN(J195,J195+RANDBETWEEN(1000,10000))</f>
        <v>1001951</v>
      </c>
      <c r="N195" s="55" t="s">
        <v>25</v>
      </c>
      <c r="O195" t="s">
        <v>38</v>
      </c>
      <c r="P195" s="142">
        <f t="shared" ref="P195:P227" ca="1" si="54">RANDBETWEEN(100000,1000000)</f>
        <v>109722</v>
      </c>
      <c r="Q195" s="142">
        <f t="shared" ref="Q195:Q227" ca="1" si="55">RANDBETWEEN(P195,P195+RANDBETWEEN(1000,10000))</f>
        <v>109894</v>
      </c>
      <c r="T195" s="55" t="s">
        <v>10</v>
      </c>
      <c r="U195" t="s">
        <v>170</v>
      </c>
      <c r="V195" s="142">
        <f t="shared" ref="V195" ca="1" si="56">RANDBETWEEN(100000,1000000)</f>
        <v>790644</v>
      </c>
      <c r="W195" s="142">
        <f t="shared" ref="W195" ca="1" si="57">RANDBETWEEN(V195,V195+RANDBETWEEN(1000,10000))</f>
        <v>797077</v>
      </c>
      <c r="AD195" s="142"/>
      <c r="AI195" s="142"/>
      <c r="AP195" s="142"/>
      <c r="AQ195" s="142"/>
      <c r="AV195" s="142"/>
      <c r="AW195" s="142"/>
      <c r="AX195" s="142"/>
    </row>
    <row r="196" spans="2:50">
      <c r="B196" s="55" t="s">
        <v>8</v>
      </c>
      <c r="C196" t="s">
        <v>37</v>
      </c>
      <c r="D196" s="142">
        <f t="shared" ca="1" si="50"/>
        <v>895526</v>
      </c>
      <c r="E196" s="142">
        <f t="shared" ca="1" si="51"/>
        <v>900595</v>
      </c>
      <c r="H196" s="55" t="s">
        <v>29</v>
      </c>
      <c r="I196" t="s">
        <v>36</v>
      </c>
      <c r="J196" s="142">
        <f t="shared" ca="1" si="52"/>
        <v>635050</v>
      </c>
      <c r="K196" s="142">
        <f t="shared" ca="1" si="53"/>
        <v>635745</v>
      </c>
      <c r="N196" s="55" t="s">
        <v>24</v>
      </c>
      <c r="O196" t="s">
        <v>38</v>
      </c>
      <c r="P196" s="142">
        <f t="shared" ca="1" si="54"/>
        <v>646144</v>
      </c>
      <c r="Q196" s="142">
        <f t="shared" ca="1" si="55"/>
        <v>649271</v>
      </c>
      <c r="T196" s="55" t="s">
        <v>9</v>
      </c>
      <c r="U196" t="s">
        <v>84</v>
      </c>
      <c r="V196" s="142">
        <f t="shared" ca="1" si="45"/>
        <v>692187</v>
      </c>
      <c r="W196" s="142">
        <f t="shared" ca="1" si="46"/>
        <v>693278</v>
      </c>
      <c r="AD196" s="142"/>
      <c r="AI196" s="142"/>
      <c r="AP196" s="142"/>
      <c r="AQ196" s="142"/>
      <c r="AV196" s="142"/>
      <c r="AW196" s="142"/>
      <c r="AX196" s="142"/>
    </row>
    <row r="197" spans="2:50">
      <c r="B197" s="55" t="s">
        <v>22</v>
      </c>
      <c r="C197" t="s">
        <v>42</v>
      </c>
      <c r="D197" s="142">
        <f t="shared" ca="1" si="50"/>
        <v>575843</v>
      </c>
      <c r="E197" s="142">
        <f t="shared" ca="1" si="51"/>
        <v>580460</v>
      </c>
      <c r="H197" s="55">
        <v>2021</v>
      </c>
      <c r="I197" t="s">
        <v>40</v>
      </c>
      <c r="J197" s="142">
        <f t="shared" ca="1" si="52"/>
        <v>458467</v>
      </c>
      <c r="K197" s="142">
        <f t="shared" ca="1" si="53"/>
        <v>460113</v>
      </c>
      <c r="N197" s="55" t="s">
        <v>29</v>
      </c>
      <c r="O197" t="s">
        <v>38</v>
      </c>
      <c r="P197" s="142">
        <f t="shared" ca="1" si="54"/>
        <v>505170</v>
      </c>
      <c r="Q197" s="142">
        <f t="shared" ca="1" si="55"/>
        <v>505324</v>
      </c>
      <c r="T197" s="55" t="s">
        <v>9</v>
      </c>
      <c r="U197" t="s">
        <v>85</v>
      </c>
      <c r="V197" s="142">
        <f t="shared" ref="V197:V255" ca="1" si="58">RANDBETWEEN(100000,1000000)</f>
        <v>826783</v>
      </c>
      <c r="W197" s="142">
        <f t="shared" ref="W197:W255" ca="1" si="59">RANDBETWEEN(V197,V197+RANDBETWEEN(1000,10000))</f>
        <v>828005</v>
      </c>
      <c r="AD197" s="142"/>
      <c r="AI197" s="142"/>
      <c r="AP197" s="142"/>
      <c r="AQ197" s="142"/>
      <c r="AV197" s="142"/>
      <c r="AW197" s="142"/>
      <c r="AX197" s="142"/>
    </row>
    <row r="198" spans="2:50">
      <c r="B198" s="55" t="s">
        <v>8</v>
      </c>
      <c r="C198" t="s">
        <v>47</v>
      </c>
      <c r="D198" s="142">
        <f t="shared" ca="1" si="50"/>
        <v>605788</v>
      </c>
      <c r="E198" s="142">
        <f t="shared" ca="1" si="51"/>
        <v>613841</v>
      </c>
      <c r="H198" s="55">
        <v>2021</v>
      </c>
      <c r="I198" t="s">
        <v>36</v>
      </c>
      <c r="J198" s="142">
        <f t="shared" ca="1" si="52"/>
        <v>136344</v>
      </c>
      <c r="K198" s="142">
        <f t="shared" ca="1" si="53"/>
        <v>138071</v>
      </c>
      <c r="N198" s="55">
        <v>2021</v>
      </c>
      <c r="O198" t="s">
        <v>38</v>
      </c>
      <c r="P198" s="142">
        <f t="shared" ca="1" si="54"/>
        <v>821357</v>
      </c>
      <c r="Q198" s="142">
        <f t="shared" ca="1" si="55"/>
        <v>822302</v>
      </c>
      <c r="T198" s="55" t="s">
        <v>9</v>
      </c>
      <c r="U198" t="s">
        <v>70</v>
      </c>
      <c r="V198" s="142">
        <f t="shared" ca="1" si="58"/>
        <v>690842</v>
      </c>
      <c r="W198" s="142">
        <f t="shared" ca="1" si="59"/>
        <v>697641</v>
      </c>
      <c r="AD198" s="142"/>
      <c r="AI198" s="142"/>
      <c r="AP198" s="142"/>
      <c r="AQ198" s="142"/>
      <c r="AV198" s="142"/>
      <c r="AW198" s="142"/>
      <c r="AX198" s="142"/>
    </row>
    <row r="199" spans="2:50">
      <c r="B199" s="55" t="s">
        <v>22</v>
      </c>
      <c r="C199" t="s">
        <v>37</v>
      </c>
      <c r="D199" s="142">
        <f t="shared" ca="1" si="50"/>
        <v>594809</v>
      </c>
      <c r="E199" s="142">
        <f t="shared" ca="1" si="51"/>
        <v>597991</v>
      </c>
      <c r="H199" s="55" t="s">
        <v>27</v>
      </c>
      <c r="I199" t="s">
        <v>38</v>
      </c>
      <c r="J199" s="142">
        <f t="shared" ca="1" si="52"/>
        <v>520105</v>
      </c>
      <c r="K199" s="142">
        <f t="shared" ca="1" si="53"/>
        <v>521709</v>
      </c>
      <c r="N199" s="55" t="s">
        <v>12</v>
      </c>
      <c r="O199" t="s">
        <v>43</v>
      </c>
      <c r="P199" s="142">
        <f t="shared" ca="1" si="54"/>
        <v>993762</v>
      </c>
      <c r="Q199" s="142">
        <f t="shared" ca="1" si="55"/>
        <v>995067</v>
      </c>
      <c r="T199" s="55" t="s">
        <v>9</v>
      </c>
      <c r="U199" t="s">
        <v>71</v>
      </c>
      <c r="V199" s="142">
        <f t="shared" ca="1" si="58"/>
        <v>659417</v>
      </c>
      <c r="W199" s="142">
        <f t="shared" ca="1" si="59"/>
        <v>659818</v>
      </c>
      <c r="AD199" s="142"/>
      <c r="AI199" s="142"/>
      <c r="AP199" s="142"/>
      <c r="AQ199" s="142"/>
      <c r="AV199" s="142"/>
      <c r="AW199" s="142"/>
      <c r="AX199" s="142"/>
    </row>
    <row r="200" spans="2:50">
      <c r="B200" s="55" t="s">
        <v>8</v>
      </c>
      <c r="C200" t="s">
        <v>36</v>
      </c>
      <c r="D200" s="142">
        <f t="shared" ca="1" si="50"/>
        <v>475466</v>
      </c>
      <c r="E200" s="142">
        <f t="shared" ca="1" si="51"/>
        <v>480432</v>
      </c>
      <c r="H200" s="55" t="s">
        <v>10</v>
      </c>
      <c r="I200" t="s">
        <v>38</v>
      </c>
      <c r="J200" s="142">
        <f t="shared" ca="1" si="52"/>
        <v>312689</v>
      </c>
      <c r="K200" s="142">
        <f t="shared" ca="1" si="53"/>
        <v>313817</v>
      </c>
      <c r="N200" s="55" t="s">
        <v>14</v>
      </c>
      <c r="O200" t="s">
        <v>45</v>
      </c>
      <c r="P200" s="142">
        <f t="shared" ca="1" si="54"/>
        <v>105743</v>
      </c>
      <c r="Q200" s="142">
        <f t="shared" ca="1" si="55"/>
        <v>106250</v>
      </c>
      <c r="T200" s="55" t="s">
        <v>9</v>
      </c>
      <c r="U200" t="s">
        <v>72</v>
      </c>
      <c r="V200" s="142">
        <f t="shared" ca="1" si="58"/>
        <v>520013</v>
      </c>
      <c r="W200" s="142">
        <f t="shared" ca="1" si="59"/>
        <v>526997</v>
      </c>
      <c r="AD200" s="142"/>
      <c r="AI200" s="142"/>
      <c r="AP200" s="142"/>
      <c r="AQ200" s="142"/>
      <c r="AV200" s="142"/>
      <c r="AW200" s="142"/>
      <c r="AX200" s="142"/>
    </row>
    <row r="201" spans="2:50">
      <c r="B201" s="55" t="s">
        <v>22</v>
      </c>
      <c r="C201" t="s">
        <v>36</v>
      </c>
      <c r="D201" s="142">
        <f t="shared" ca="1" si="50"/>
        <v>321822</v>
      </c>
      <c r="E201" s="142">
        <f t="shared" ca="1" si="51"/>
        <v>324504</v>
      </c>
      <c r="H201" s="55" t="s">
        <v>12</v>
      </c>
      <c r="I201" t="s">
        <v>38</v>
      </c>
      <c r="J201" s="142">
        <f t="shared" ca="1" si="52"/>
        <v>342328</v>
      </c>
      <c r="K201" s="142">
        <f t="shared" ca="1" si="53"/>
        <v>347548</v>
      </c>
      <c r="N201" s="55" t="s">
        <v>12</v>
      </c>
      <c r="O201" t="s">
        <v>45</v>
      </c>
      <c r="P201" s="142">
        <f t="shared" ca="1" si="54"/>
        <v>267629</v>
      </c>
      <c r="Q201" s="142">
        <f t="shared" ca="1" si="55"/>
        <v>269187</v>
      </c>
      <c r="T201" s="55" t="s">
        <v>9</v>
      </c>
      <c r="U201" t="s">
        <v>170</v>
      </c>
      <c r="V201" s="142">
        <f t="shared" ca="1" si="58"/>
        <v>366795</v>
      </c>
      <c r="W201" s="142">
        <f t="shared" ca="1" si="59"/>
        <v>368915</v>
      </c>
      <c r="AD201" s="142"/>
      <c r="AI201" s="142"/>
      <c r="AP201" s="142"/>
      <c r="AQ201" s="142"/>
      <c r="AV201" s="142"/>
      <c r="AW201" s="142"/>
      <c r="AX201" s="142"/>
    </row>
    <row r="202" spans="2:50">
      <c r="B202" s="55" t="s">
        <v>8</v>
      </c>
      <c r="C202" t="s">
        <v>43</v>
      </c>
      <c r="D202" s="142">
        <f t="shared" ca="1" si="50"/>
        <v>456563</v>
      </c>
      <c r="E202" s="142">
        <f t="shared" ca="1" si="51"/>
        <v>456736</v>
      </c>
      <c r="H202" s="55" t="s">
        <v>22</v>
      </c>
      <c r="I202" t="s">
        <v>38</v>
      </c>
      <c r="J202" s="142">
        <f t="shared" ca="1" si="52"/>
        <v>869396</v>
      </c>
      <c r="K202" s="142">
        <f t="shared" ca="1" si="53"/>
        <v>871477</v>
      </c>
      <c r="N202" s="55" t="s">
        <v>12</v>
      </c>
      <c r="O202" t="s">
        <v>38</v>
      </c>
      <c r="P202" s="142">
        <f t="shared" ca="1" si="54"/>
        <v>220829</v>
      </c>
      <c r="Q202" s="142">
        <f t="shared" ca="1" si="55"/>
        <v>220919</v>
      </c>
      <c r="T202" s="55" t="s">
        <v>15</v>
      </c>
      <c r="U202" t="s">
        <v>84</v>
      </c>
      <c r="V202" s="142">
        <f t="shared" ca="1" si="58"/>
        <v>277623</v>
      </c>
      <c r="W202" s="142">
        <f t="shared" ca="1" si="59"/>
        <v>278314</v>
      </c>
      <c r="AD202" s="142"/>
      <c r="AI202" s="142"/>
      <c r="AP202" s="142"/>
      <c r="AQ202" s="142"/>
      <c r="AV202" s="142"/>
      <c r="AW202" s="142"/>
      <c r="AX202" s="142"/>
    </row>
    <row r="203" spans="2:50">
      <c r="B203" s="55" t="s">
        <v>22</v>
      </c>
      <c r="C203" t="s">
        <v>49</v>
      </c>
      <c r="D203" s="142">
        <f t="shared" ca="1" si="50"/>
        <v>778247</v>
      </c>
      <c r="E203" s="142">
        <f t="shared" ca="1" si="51"/>
        <v>786596</v>
      </c>
      <c r="H203" s="55" t="s">
        <v>17</v>
      </c>
      <c r="I203" t="s">
        <v>38</v>
      </c>
      <c r="J203" s="142">
        <f t="shared" ca="1" si="52"/>
        <v>620514</v>
      </c>
      <c r="K203" s="142">
        <f t="shared" ca="1" si="53"/>
        <v>624635</v>
      </c>
      <c r="N203" s="55" t="s">
        <v>14</v>
      </c>
      <c r="O203" t="s">
        <v>37</v>
      </c>
      <c r="P203" s="142">
        <f t="shared" ca="1" si="54"/>
        <v>485636</v>
      </c>
      <c r="Q203" s="142">
        <f t="shared" ca="1" si="55"/>
        <v>485815</v>
      </c>
      <c r="T203" s="55" t="s">
        <v>15</v>
      </c>
      <c r="U203" t="s">
        <v>85</v>
      </c>
      <c r="V203" s="142">
        <f t="shared" ca="1" si="58"/>
        <v>966495</v>
      </c>
      <c r="W203" s="142">
        <f t="shared" ca="1" si="59"/>
        <v>967383</v>
      </c>
      <c r="AD203" s="142"/>
      <c r="AI203" s="142"/>
      <c r="AP203" s="142"/>
      <c r="AQ203" s="142"/>
      <c r="AV203" s="142"/>
      <c r="AW203" s="142"/>
      <c r="AX203" s="142"/>
    </row>
    <row r="204" spans="2:50">
      <c r="B204" s="55" t="s">
        <v>22</v>
      </c>
      <c r="C204" t="s">
        <v>18</v>
      </c>
      <c r="D204" s="142">
        <f t="shared" ca="1" si="50"/>
        <v>569897</v>
      </c>
      <c r="E204" s="142">
        <f t="shared" ca="1" si="51"/>
        <v>578276</v>
      </c>
      <c r="H204" s="55" t="s">
        <v>15</v>
      </c>
      <c r="I204" t="s">
        <v>38</v>
      </c>
      <c r="J204" s="142">
        <f t="shared" ca="1" si="52"/>
        <v>257532</v>
      </c>
      <c r="K204" s="142">
        <f t="shared" ca="1" si="53"/>
        <v>258632</v>
      </c>
      <c r="N204" s="55" t="s">
        <v>14</v>
      </c>
      <c r="O204" t="s">
        <v>49</v>
      </c>
      <c r="P204" s="142">
        <f t="shared" ca="1" si="54"/>
        <v>929823</v>
      </c>
      <c r="Q204" s="142">
        <f t="shared" ca="1" si="55"/>
        <v>930409</v>
      </c>
      <c r="T204" s="55" t="s">
        <v>15</v>
      </c>
      <c r="U204" t="s">
        <v>70</v>
      </c>
      <c r="V204" s="142">
        <f t="shared" ca="1" si="58"/>
        <v>931686</v>
      </c>
      <c r="W204" s="142">
        <f t="shared" ca="1" si="59"/>
        <v>933101</v>
      </c>
      <c r="AD204" s="142"/>
      <c r="AI204" s="142"/>
      <c r="AP204" s="142"/>
      <c r="AQ204" s="142"/>
      <c r="AV204" s="142"/>
      <c r="AW204" s="142"/>
      <c r="AX204" s="142"/>
    </row>
    <row r="205" spans="2:50">
      <c r="B205" s="55" t="s">
        <v>22</v>
      </c>
      <c r="C205" t="s">
        <v>40</v>
      </c>
      <c r="D205" s="142">
        <f t="shared" ca="1" si="50"/>
        <v>296984</v>
      </c>
      <c r="E205" s="142">
        <f t="shared" ca="1" si="51"/>
        <v>297387</v>
      </c>
      <c r="H205" s="55" t="s">
        <v>9</v>
      </c>
      <c r="I205" t="s">
        <v>38</v>
      </c>
      <c r="J205" s="142">
        <f t="shared" ca="1" si="52"/>
        <v>389340</v>
      </c>
      <c r="K205" s="142">
        <f t="shared" ca="1" si="53"/>
        <v>393391</v>
      </c>
      <c r="N205" s="55" t="s">
        <v>12</v>
      </c>
      <c r="O205" t="s">
        <v>37</v>
      </c>
      <c r="P205" s="142">
        <f t="shared" ca="1" si="54"/>
        <v>721049</v>
      </c>
      <c r="Q205" s="142">
        <f t="shared" ca="1" si="55"/>
        <v>727474</v>
      </c>
      <c r="T205" s="55" t="s">
        <v>15</v>
      </c>
      <c r="U205" t="s">
        <v>71</v>
      </c>
      <c r="V205" s="142">
        <f t="shared" ca="1" si="58"/>
        <v>653905</v>
      </c>
      <c r="W205" s="142">
        <f t="shared" ca="1" si="59"/>
        <v>655874</v>
      </c>
      <c r="AD205" s="142"/>
      <c r="AI205" s="142"/>
      <c r="AP205" s="142"/>
      <c r="AQ205" s="142"/>
      <c r="AV205" s="142"/>
      <c r="AW205" s="142"/>
      <c r="AX205" s="142"/>
    </row>
    <row r="206" spans="2:50">
      <c r="B206" s="55" t="s">
        <v>22</v>
      </c>
      <c r="C206" t="s">
        <v>52</v>
      </c>
      <c r="D206" s="142">
        <f t="shared" ca="1" si="50"/>
        <v>790346</v>
      </c>
      <c r="E206" s="142">
        <f t="shared" ca="1" si="51"/>
        <v>793490</v>
      </c>
      <c r="H206" s="55" t="s">
        <v>14</v>
      </c>
      <c r="I206" t="s">
        <v>38</v>
      </c>
      <c r="J206" s="142">
        <f t="shared" ca="1" si="52"/>
        <v>585239</v>
      </c>
      <c r="K206" s="142">
        <f t="shared" ca="1" si="53"/>
        <v>593047</v>
      </c>
      <c r="N206" s="55" t="s">
        <v>12</v>
      </c>
      <c r="O206" t="s">
        <v>47</v>
      </c>
      <c r="P206" s="142">
        <f t="shared" ca="1" si="54"/>
        <v>268810</v>
      </c>
      <c r="Q206" s="142">
        <f t="shared" ca="1" si="55"/>
        <v>268957</v>
      </c>
      <c r="T206" s="55" t="s">
        <v>15</v>
      </c>
      <c r="U206" t="s">
        <v>72</v>
      </c>
      <c r="V206" s="142">
        <f t="shared" ca="1" si="58"/>
        <v>109632</v>
      </c>
      <c r="W206" s="142">
        <f t="shared" ca="1" si="59"/>
        <v>111137</v>
      </c>
      <c r="AD206" s="142"/>
      <c r="AI206" s="142"/>
      <c r="AP206" s="142"/>
      <c r="AQ206" s="142"/>
      <c r="AV206" s="142"/>
      <c r="AW206" s="142"/>
      <c r="AX206" s="142"/>
    </row>
    <row r="207" spans="2:50">
      <c r="B207" s="55" t="s">
        <v>22</v>
      </c>
      <c r="C207" t="s">
        <v>39</v>
      </c>
      <c r="D207" s="142">
        <f t="shared" ca="1" si="50"/>
        <v>460542</v>
      </c>
      <c r="E207" s="142">
        <f t="shared" ca="1" si="51"/>
        <v>460562</v>
      </c>
      <c r="H207" s="55" t="s">
        <v>8</v>
      </c>
      <c r="I207" t="s">
        <v>38</v>
      </c>
      <c r="J207" s="142">
        <f t="shared" ca="1" si="52"/>
        <v>940109</v>
      </c>
      <c r="K207" s="142">
        <f t="shared" ca="1" si="53"/>
        <v>941118</v>
      </c>
      <c r="N207" s="55" t="s">
        <v>14</v>
      </c>
      <c r="O207" t="s">
        <v>43</v>
      </c>
      <c r="P207" s="142">
        <f t="shared" ca="1" si="54"/>
        <v>162479</v>
      </c>
      <c r="Q207" s="142">
        <f t="shared" ca="1" si="55"/>
        <v>164412</v>
      </c>
      <c r="T207" s="55" t="s">
        <v>15</v>
      </c>
      <c r="U207" t="s">
        <v>170</v>
      </c>
      <c r="V207" s="142">
        <f t="shared" ca="1" si="58"/>
        <v>687896</v>
      </c>
      <c r="W207" s="142">
        <f t="shared" ca="1" si="59"/>
        <v>688747</v>
      </c>
      <c r="AD207" s="142"/>
      <c r="AI207" s="142"/>
      <c r="AP207" s="142"/>
      <c r="AQ207" s="142"/>
      <c r="AV207" s="142"/>
      <c r="AW207" s="142"/>
      <c r="AX207" s="142"/>
    </row>
    <row r="208" spans="2:50">
      <c r="B208" s="55" t="s">
        <v>8</v>
      </c>
      <c r="C208" t="s">
        <v>18</v>
      </c>
      <c r="D208" s="142">
        <f t="shared" ca="1" si="50"/>
        <v>996818</v>
      </c>
      <c r="E208" s="142">
        <f t="shared" ca="1" si="51"/>
        <v>997910</v>
      </c>
      <c r="H208" s="55" t="s">
        <v>23</v>
      </c>
      <c r="I208" t="s">
        <v>38</v>
      </c>
      <c r="J208" s="142">
        <f t="shared" ca="1" si="52"/>
        <v>564537</v>
      </c>
      <c r="K208" s="142">
        <f t="shared" ca="1" si="53"/>
        <v>567475</v>
      </c>
      <c r="N208" s="55" t="s">
        <v>14</v>
      </c>
      <c r="O208" t="s">
        <v>47</v>
      </c>
      <c r="P208" s="142">
        <f t="shared" ca="1" si="54"/>
        <v>647814</v>
      </c>
      <c r="Q208" s="142">
        <f t="shared" ca="1" si="55"/>
        <v>649113</v>
      </c>
      <c r="T208" s="55" t="s">
        <v>15</v>
      </c>
      <c r="U208" t="s">
        <v>84</v>
      </c>
      <c r="V208" s="142">
        <f t="shared" ca="1" si="58"/>
        <v>600509</v>
      </c>
      <c r="W208" s="142">
        <f t="shared" ca="1" si="59"/>
        <v>603797</v>
      </c>
      <c r="AD208" s="142"/>
      <c r="AI208" s="142"/>
      <c r="AP208" s="142"/>
      <c r="AQ208" s="142"/>
      <c r="AV208" s="142"/>
      <c r="AW208" s="142"/>
      <c r="AX208" s="142"/>
    </row>
    <row r="209" spans="2:50">
      <c r="B209" s="55" t="s">
        <v>22</v>
      </c>
      <c r="C209" t="s">
        <v>44</v>
      </c>
      <c r="D209" s="142">
        <f t="shared" ca="1" si="50"/>
        <v>295411</v>
      </c>
      <c r="E209" s="142">
        <f t="shared" ca="1" si="51"/>
        <v>297729</v>
      </c>
      <c r="H209" s="55" t="s">
        <v>16</v>
      </c>
      <c r="I209" t="s">
        <v>38</v>
      </c>
      <c r="J209" s="142">
        <f t="shared" ca="1" si="52"/>
        <v>437257</v>
      </c>
      <c r="K209" s="142">
        <f t="shared" ca="1" si="53"/>
        <v>444162</v>
      </c>
      <c r="N209" s="55" t="s">
        <v>12</v>
      </c>
      <c r="O209" t="s">
        <v>42</v>
      </c>
      <c r="P209" s="142">
        <f t="shared" ca="1" si="54"/>
        <v>293191</v>
      </c>
      <c r="Q209" s="142">
        <f t="shared" ca="1" si="55"/>
        <v>300929</v>
      </c>
      <c r="T209" s="55" t="s">
        <v>15</v>
      </c>
      <c r="U209" t="s">
        <v>85</v>
      </c>
      <c r="V209" s="142">
        <f t="shared" ca="1" si="58"/>
        <v>730266</v>
      </c>
      <c r="W209" s="142">
        <f t="shared" ca="1" si="59"/>
        <v>734273</v>
      </c>
      <c r="AD209" s="142"/>
      <c r="AI209" s="142"/>
      <c r="AP209" s="142"/>
      <c r="AQ209" s="142"/>
      <c r="AV209" s="142"/>
      <c r="AW209" s="142"/>
      <c r="AX209" s="142"/>
    </row>
    <row r="210" spans="2:50">
      <c r="B210" s="55" t="s">
        <v>22</v>
      </c>
      <c r="C210" t="s">
        <v>46</v>
      </c>
      <c r="D210" s="142">
        <f t="shared" ca="1" si="50"/>
        <v>527820</v>
      </c>
      <c r="E210" s="142">
        <f t="shared" ca="1" si="51"/>
        <v>533548</v>
      </c>
      <c r="H210" s="55" t="s">
        <v>28</v>
      </c>
      <c r="I210" t="s">
        <v>38</v>
      </c>
      <c r="J210" s="142">
        <f t="shared" ca="1" si="52"/>
        <v>512934</v>
      </c>
      <c r="K210" s="142">
        <f t="shared" ca="1" si="53"/>
        <v>517947</v>
      </c>
      <c r="N210" s="55" t="s">
        <v>14</v>
      </c>
      <c r="O210" t="s">
        <v>38</v>
      </c>
      <c r="P210" s="142">
        <f t="shared" ca="1" si="54"/>
        <v>914138</v>
      </c>
      <c r="Q210" s="142">
        <f t="shared" ca="1" si="55"/>
        <v>920832</v>
      </c>
      <c r="T210" s="55" t="s">
        <v>15</v>
      </c>
      <c r="U210" t="s">
        <v>70</v>
      </c>
      <c r="V210" s="142">
        <f t="shared" ca="1" si="58"/>
        <v>166318</v>
      </c>
      <c r="W210" s="142">
        <f t="shared" ca="1" si="59"/>
        <v>167120</v>
      </c>
      <c r="AD210" s="142"/>
      <c r="AI210" s="142"/>
      <c r="AP210" s="142"/>
      <c r="AQ210" s="142"/>
      <c r="AV210" s="142"/>
      <c r="AW210" s="142"/>
      <c r="AX210" s="142"/>
    </row>
    <row r="211" spans="2:50">
      <c r="B211" s="55" t="s">
        <v>22</v>
      </c>
      <c r="C211" t="s">
        <v>47</v>
      </c>
      <c r="D211" s="142">
        <f t="shared" ca="1" si="50"/>
        <v>731190</v>
      </c>
      <c r="E211" s="142">
        <f t="shared" ca="1" si="51"/>
        <v>737517</v>
      </c>
      <c r="H211" s="55" t="s">
        <v>29</v>
      </c>
      <c r="I211" t="s">
        <v>38</v>
      </c>
      <c r="J211" s="142">
        <f t="shared" ca="1" si="52"/>
        <v>782382</v>
      </c>
      <c r="K211" s="142">
        <f t="shared" ca="1" si="53"/>
        <v>789108</v>
      </c>
      <c r="N211" s="55" t="s">
        <v>14</v>
      </c>
      <c r="O211" t="s">
        <v>42</v>
      </c>
      <c r="P211" s="142">
        <f t="shared" ca="1" si="54"/>
        <v>316927</v>
      </c>
      <c r="Q211" s="142">
        <f t="shared" ca="1" si="55"/>
        <v>317133</v>
      </c>
      <c r="T211" s="55" t="s">
        <v>15</v>
      </c>
      <c r="U211" t="s">
        <v>71</v>
      </c>
      <c r="V211" s="142">
        <f t="shared" ca="1" si="58"/>
        <v>731858</v>
      </c>
      <c r="W211" s="142">
        <f t="shared" ca="1" si="59"/>
        <v>733568</v>
      </c>
      <c r="AD211" s="142"/>
      <c r="AI211" s="142"/>
      <c r="AP211" s="142"/>
      <c r="AQ211" s="142"/>
      <c r="AV211" s="142"/>
      <c r="AW211" s="142"/>
      <c r="AX211" s="142"/>
    </row>
    <row r="212" spans="2:50">
      <c r="B212" s="55" t="s">
        <v>22</v>
      </c>
      <c r="C212" t="s">
        <v>43</v>
      </c>
      <c r="D212" s="142">
        <f t="shared" ca="1" si="50"/>
        <v>271454</v>
      </c>
      <c r="E212" s="142">
        <f t="shared" ca="1" si="51"/>
        <v>273231</v>
      </c>
      <c r="H212" s="55" t="s">
        <v>26</v>
      </c>
      <c r="I212" t="s">
        <v>38</v>
      </c>
      <c r="J212" s="142">
        <f t="shared" ca="1" si="52"/>
        <v>318981</v>
      </c>
      <c r="K212" s="142">
        <f t="shared" ca="1" si="53"/>
        <v>320664</v>
      </c>
      <c r="N212" s="55" t="s">
        <v>12</v>
      </c>
      <c r="O212" t="s">
        <v>49</v>
      </c>
      <c r="P212" s="142">
        <f t="shared" ca="1" si="54"/>
        <v>678630</v>
      </c>
      <c r="Q212" s="142">
        <f t="shared" ca="1" si="55"/>
        <v>680859</v>
      </c>
      <c r="T212" s="55" t="s">
        <v>15</v>
      </c>
      <c r="U212" t="s">
        <v>72</v>
      </c>
      <c r="V212" s="142">
        <f t="shared" ca="1" si="58"/>
        <v>559401</v>
      </c>
      <c r="W212" s="142">
        <f t="shared" ca="1" si="59"/>
        <v>564810</v>
      </c>
      <c r="AD212" s="142"/>
      <c r="AI212" s="142"/>
      <c r="AP212" s="142"/>
      <c r="AQ212" s="142"/>
      <c r="AV212" s="142"/>
      <c r="AW212" s="142"/>
      <c r="AX212" s="142"/>
    </row>
    <row r="213" spans="2:50">
      <c r="B213" s="55" t="s">
        <v>8</v>
      </c>
      <c r="C213" t="s">
        <v>45</v>
      </c>
      <c r="D213" s="142">
        <f t="shared" ca="1" si="50"/>
        <v>565349</v>
      </c>
      <c r="E213" s="142">
        <f t="shared" ca="1" si="51"/>
        <v>568443</v>
      </c>
      <c r="H213" s="55" t="s">
        <v>25</v>
      </c>
      <c r="I213" t="s">
        <v>38</v>
      </c>
      <c r="J213" s="142">
        <f t="shared" ca="1" si="52"/>
        <v>430186</v>
      </c>
      <c r="K213" s="142">
        <f t="shared" ca="1" si="53"/>
        <v>431374</v>
      </c>
      <c r="N213" s="55" t="s">
        <v>12</v>
      </c>
      <c r="O213" t="s">
        <v>48</v>
      </c>
      <c r="P213" s="142">
        <f t="shared" ca="1" si="54"/>
        <v>252239</v>
      </c>
      <c r="Q213" s="142">
        <f t="shared" ca="1" si="55"/>
        <v>253576</v>
      </c>
      <c r="T213" s="55" t="s">
        <v>15</v>
      </c>
      <c r="U213" t="s">
        <v>170</v>
      </c>
      <c r="V213" s="142">
        <f t="shared" ca="1" si="58"/>
        <v>528695</v>
      </c>
      <c r="W213" s="142">
        <f t="shared" ca="1" si="59"/>
        <v>530307</v>
      </c>
      <c r="AD213" s="142"/>
      <c r="AI213" s="142"/>
      <c r="AP213" s="142"/>
      <c r="AQ213" s="142"/>
      <c r="AV213" s="142"/>
      <c r="AW213" s="142"/>
      <c r="AX213" s="142"/>
    </row>
    <row r="214" spans="2:50">
      <c r="B214" s="55" t="s">
        <v>8</v>
      </c>
      <c r="C214" t="s">
        <v>49</v>
      </c>
      <c r="D214" s="142">
        <f t="shared" ca="1" si="50"/>
        <v>869289</v>
      </c>
      <c r="E214" s="142">
        <f t="shared" ca="1" si="51"/>
        <v>872004</v>
      </c>
      <c r="H214" s="55" t="s">
        <v>24</v>
      </c>
      <c r="I214" t="s">
        <v>38</v>
      </c>
      <c r="J214" s="142">
        <f t="shared" ca="1" si="52"/>
        <v>925644</v>
      </c>
      <c r="K214" s="142">
        <f t="shared" ca="1" si="53"/>
        <v>928426</v>
      </c>
      <c r="N214" s="55" t="s">
        <v>14</v>
      </c>
      <c r="O214" t="s">
        <v>44</v>
      </c>
      <c r="P214" s="142">
        <f t="shared" ca="1" si="54"/>
        <v>578941</v>
      </c>
      <c r="Q214" s="142">
        <f t="shared" ca="1" si="55"/>
        <v>581258</v>
      </c>
      <c r="T214" s="55" t="s">
        <v>12</v>
      </c>
      <c r="U214" t="s">
        <v>84</v>
      </c>
      <c r="V214" s="142">
        <f t="shared" ca="1" si="58"/>
        <v>569303</v>
      </c>
      <c r="W214" s="142">
        <f t="shared" ca="1" si="59"/>
        <v>569898</v>
      </c>
      <c r="AD214" s="142"/>
      <c r="AI214" s="142"/>
      <c r="AP214" s="142"/>
      <c r="AQ214" s="142"/>
      <c r="AV214" s="142"/>
      <c r="AW214" s="142"/>
      <c r="AX214" s="142"/>
    </row>
    <row r="215" spans="2:50">
      <c r="B215" s="55" t="s">
        <v>22</v>
      </c>
      <c r="C215" t="s">
        <v>53</v>
      </c>
      <c r="D215" s="142">
        <f t="shared" ca="1" si="50"/>
        <v>478155</v>
      </c>
      <c r="E215" s="142">
        <f t="shared" ca="1" si="51"/>
        <v>478592</v>
      </c>
      <c r="H215" s="55">
        <v>2021</v>
      </c>
      <c r="I215" t="s">
        <v>38</v>
      </c>
      <c r="J215" s="142">
        <f t="shared" ca="1" si="52"/>
        <v>909901</v>
      </c>
      <c r="K215" s="142">
        <f t="shared" ca="1" si="53"/>
        <v>909901</v>
      </c>
      <c r="N215" s="55" t="s">
        <v>14</v>
      </c>
      <c r="O215" t="s">
        <v>50</v>
      </c>
      <c r="P215" s="142">
        <f t="shared" ca="1" si="54"/>
        <v>925702</v>
      </c>
      <c r="Q215" s="142">
        <f t="shared" ca="1" si="55"/>
        <v>926739</v>
      </c>
      <c r="T215" s="55" t="s">
        <v>12</v>
      </c>
      <c r="U215" t="s">
        <v>85</v>
      </c>
      <c r="V215" s="142">
        <f t="shared" ca="1" si="58"/>
        <v>529029</v>
      </c>
      <c r="W215" s="142">
        <f t="shared" ca="1" si="59"/>
        <v>535406</v>
      </c>
      <c r="AD215" s="142"/>
      <c r="AI215" s="142"/>
      <c r="AP215" s="142"/>
      <c r="AQ215" s="142"/>
      <c r="AV215" s="142"/>
      <c r="AW215" s="142"/>
      <c r="AX215" s="142"/>
    </row>
    <row r="216" spans="2:50">
      <c r="B216" s="55" t="s">
        <v>8</v>
      </c>
      <c r="C216" t="s">
        <v>42</v>
      </c>
      <c r="D216" s="142">
        <f t="shared" ca="1" si="50"/>
        <v>800374</v>
      </c>
      <c r="E216" s="142">
        <f t="shared" ca="1" si="51"/>
        <v>806753</v>
      </c>
      <c r="H216" s="55" t="s">
        <v>23</v>
      </c>
      <c r="I216" t="s">
        <v>48</v>
      </c>
      <c r="J216" s="142">
        <f t="shared" ca="1" si="52"/>
        <v>119849</v>
      </c>
      <c r="K216" s="142">
        <f t="shared" ca="1" si="53"/>
        <v>122067</v>
      </c>
      <c r="N216" s="55" t="s">
        <v>14</v>
      </c>
      <c r="O216" t="s">
        <v>51</v>
      </c>
      <c r="P216" s="142">
        <f t="shared" ca="1" si="54"/>
        <v>792928</v>
      </c>
      <c r="Q216" s="142">
        <f t="shared" ca="1" si="55"/>
        <v>801410</v>
      </c>
      <c r="T216" s="55" t="s">
        <v>12</v>
      </c>
      <c r="U216" t="s">
        <v>70</v>
      </c>
      <c r="V216" s="142">
        <f t="shared" ca="1" si="58"/>
        <v>745233</v>
      </c>
      <c r="W216" s="142">
        <f t="shared" ca="1" si="59"/>
        <v>746368</v>
      </c>
      <c r="AD216" s="142"/>
      <c r="AI216" s="142"/>
      <c r="AP216" s="142"/>
      <c r="AQ216" s="142"/>
      <c r="AV216" s="142"/>
      <c r="AW216" s="142"/>
      <c r="AX216" s="142"/>
    </row>
    <row r="217" spans="2:50">
      <c r="B217" s="55" t="s">
        <v>22</v>
      </c>
      <c r="C217" t="s">
        <v>51</v>
      </c>
      <c r="D217" s="142">
        <f t="shared" ca="1" si="50"/>
        <v>123706</v>
      </c>
      <c r="E217" s="142">
        <f t="shared" ca="1" si="51"/>
        <v>129291</v>
      </c>
      <c r="H217" s="55" t="s">
        <v>27</v>
      </c>
      <c r="I217" t="s">
        <v>48</v>
      </c>
      <c r="J217" s="142">
        <f t="shared" ca="1" si="52"/>
        <v>965437</v>
      </c>
      <c r="K217" s="142">
        <f t="shared" ca="1" si="53"/>
        <v>968990</v>
      </c>
      <c r="N217" s="55" t="s">
        <v>12</v>
      </c>
      <c r="O217" t="s">
        <v>46</v>
      </c>
      <c r="P217" s="142">
        <f t="shared" ca="1" si="54"/>
        <v>366562</v>
      </c>
      <c r="Q217" s="142">
        <f t="shared" ca="1" si="55"/>
        <v>369541</v>
      </c>
      <c r="T217" s="55" t="s">
        <v>12</v>
      </c>
      <c r="U217" t="s">
        <v>71</v>
      </c>
      <c r="V217" s="142">
        <f t="shared" ca="1" si="58"/>
        <v>662698</v>
      </c>
      <c r="W217" s="142">
        <f t="shared" ca="1" si="59"/>
        <v>663846</v>
      </c>
      <c r="AD217" s="142"/>
      <c r="AI217" s="142"/>
      <c r="AP217" s="142"/>
      <c r="AQ217" s="142"/>
      <c r="AV217" s="142"/>
      <c r="AW217" s="142"/>
      <c r="AX217" s="142"/>
    </row>
    <row r="218" spans="2:50">
      <c r="B218" s="55" t="s">
        <v>22</v>
      </c>
      <c r="C218" t="s">
        <v>48</v>
      </c>
      <c r="D218" s="142">
        <f t="shared" ca="1" si="50"/>
        <v>888758</v>
      </c>
      <c r="E218" s="142">
        <f t="shared" ca="1" si="51"/>
        <v>890481</v>
      </c>
      <c r="H218" s="55" t="s">
        <v>8</v>
      </c>
      <c r="I218" t="s">
        <v>48</v>
      </c>
      <c r="J218" s="142">
        <f t="shared" ca="1" si="52"/>
        <v>360263</v>
      </c>
      <c r="K218" s="142">
        <f t="shared" ca="1" si="53"/>
        <v>363444</v>
      </c>
      <c r="N218" s="55" t="s">
        <v>12</v>
      </c>
      <c r="O218" t="s">
        <v>44</v>
      </c>
      <c r="P218" s="142">
        <f t="shared" ca="1" si="54"/>
        <v>823018</v>
      </c>
      <c r="Q218" s="142">
        <f t="shared" ca="1" si="55"/>
        <v>824988</v>
      </c>
      <c r="T218" s="55" t="s">
        <v>12</v>
      </c>
      <c r="U218" t="s">
        <v>72</v>
      </c>
      <c r="V218" s="142">
        <f t="shared" ca="1" si="58"/>
        <v>167217</v>
      </c>
      <c r="W218" s="142">
        <f t="shared" ca="1" si="59"/>
        <v>176445</v>
      </c>
      <c r="AD218" s="142"/>
      <c r="AI218" s="142"/>
      <c r="AP218" s="142"/>
      <c r="AQ218" s="142"/>
      <c r="AV218" s="142"/>
      <c r="AW218" s="142"/>
      <c r="AX218" s="142"/>
    </row>
    <row r="219" spans="2:50">
      <c r="B219" s="55" t="s">
        <v>8</v>
      </c>
      <c r="C219" t="s">
        <v>46</v>
      </c>
      <c r="D219" s="142">
        <f t="shared" ca="1" si="50"/>
        <v>103941</v>
      </c>
      <c r="E219" s="142">
        <f t="shared" ca="1" si="51"/>
        <v>107624</v>
      </c>
      <c r="H219" s="55" t="s">
        <v>22</v>
      </c>
      <c r="I219" t="s">
        <v>48</v>
      </c>
      <c r="J219" s="142">
        <f t="shared" ca="1" si="52"/>
        <v>753328</v>
      </c>
      <c r="K219" s="142">
        <f t="shared" ca="1" si="53"/>
        <v>754053</v>
      </c>
      <c r="N219" s="55" t="s">
        <v>14</v>
      </c>
      <c r="O219" t="s">
        <v>48</v>
      </c>
      <c r="P219" s="142">
        <f t="shared" ca="1" si="54"/>
        <v>661987</v>
      </c>
      <c r="Q219" s="142">
        <f t="shared" ca="1" si="55"/>
        <v>664293</v>
      </c>
      <c r="T219" s="55" t="s">
        <v>12</v>
      </c>
      <c r="U219" t="s">
        <v>170</v>
      </c>
      <c r="V219" s="142">
        <f t="shared" ca="1" si="58"/>
        <v>537363</v>
      </c>
      <c r="W219" s="142">
        <f t="shared" ca="1" si="59"/>
        <v>538474</v>
      </c>
      <c r="AD219" s="142"/>
      <c r="AI219" s="142"/>
      <c r="AP219" s="142"/>
      <c r="AQ219" s="142"/>
      <c r="AV219" s="142"/>
      <c r="AW219" s="142"/>
      <c r="AX219" s="142"/>
    </row>
    <row r="220" spans="2:50">
      <c r="B220" s="55" t="s">
        <v>8</v>
      </c>
      <c r="C220" t="s">
        <v>51</v>
      </c>
      <c r="D220" s="142">
        <f t="shared" ca="1" si="50"/>
        <v>762657</v>
      </c>
      <c r="E220" s="142">
        <f t="shared" ca="1" si="51"/>
        <v>762995</v>
      </c>
      <c r="H220" s="55" t="s">
        <v>17</v>
      </c>
      <c r="I220" t="s">
        <v>48</v>
      </c>
      <c r="J220" s="142">
        <f t="shared" ca="1" si="52"/>
        <v>910818</v>
      </c>
      <c r="K220" s="142">
        <f t="shared" ca="1" si="53"/>
        <v>917922</v>
      </c>
      <c r="N220" s="55" t="s">
        <v>14</v>
      </c>
      <c r="O220" t="s">
        <v>46</v>
      </c>
      <c r="P220" s="142">
        <f t="shared" ca="1" si="54"/>
        <v>975586</v>
      </c>
      <c r="Q220" s="142">
        <f t="shared" ca="1" si="55"/>
        <v>977341</v>
      </c>
      <c r="T220" s="55" t="s">
        <v>14</v>
      </c>
      <c r="U220" t="s">
        <v>84</v>
      </c>
      <c r="V220" s="142">
        <f t="shared" ca="1" si="58"/>
        <v>526616</v>
      </c>
      <c r="W220" s="142">
        <f t="shared" ca="1" si="59"/>
        <v>527094</v>
      </c>
      <c r="AD220" s="142"/>
      <c r="AI220" s="142"/>
      <c r="AP220" s="142"/>
      <c r="AQ220" s="142"/>
      <c r="AV220" s="142"/>
      <c r="AW220" s="142"/>
      <c r="AX220" s="142"/>
    </row>
    <row r="221" spans="2:50">
      <c r="B221" s="55" t="s">
        <v>8</v>
      </c>
      <c r="C221" t="s">
        <v>50</v>
      </c>
      <c r="D221" s="142">
        <f t="shared" ca="1" si="50"/>
        <v>749137</v>
      </c>
      <c r="E221" s="142">
        <f t="shared" ca="1" si="51"/>
        <v>750063</v>
      </c>
      <c r="H221" s="55" t="s">
        <v>9</v>
      </c>
      <c r="I221" t="s">
        <v>48</v>
      </c>
      <c r="J221" s="142">
        <f t="shared" ca="1" si="52"/>
        <v>429640</v>
      </c>
      <c r="K221" s="142">
        <f t="shared" ca="1" si="53"/>
        <v>431261</v>
      </c>
      <c r="N221" s="55" t="s">
        <v>12</v>
      </c>
      <c r="O221" t="s">
        <v>51</v>
      </c>
      <c r="P221" s="142">
        <f t="shared" ca="1" si="54"/>
        <v>703532</v>
      </c>
      <c r="Q221" s="142">
        <f t="shared" ca="1" si="55"/>
        <v>703686</v>
      </c>
      <c r="T221" s="55" t="s">
        <v>14</v>
      </c>
      <c r="U221" t="s">
        <v>85</v>
      </c>
      <c r="V221" s="142">
        <f t="shared" ca="1" si="58"/>
        <v>259321</v>
      </c>
      <c r="W221" s="142">
        <f t="shared" ca="1" si="59"/>
        <v>265561</v>
      </c>
      <c r="AD221" s="142"/>
      <c r="AI221" s="142"/>
      <c r="AP221" s="142"/>
      <c r="AQ221" s="142"/>
      <c r="AV221" s="142"/>
      <c r="AW221" s="142"/>
      <c r="AX221" s="142"/>
    </row>
    <row r="222" spans="2:50">
      <c r="B222" s="55" t="s">
        <v>8</v>
      </c>
      <c r="C222" t="s">
        <v>44</v>
      </c>
      <c r="D222" s="142">
        <f t="shared" ca="1" si="50"/>
        <v>689872</v>
      </c>
      <c r="E222" s="142">
        <f t="shared" ca="1" si="51"/>
        <v>691777</v>
      </c>
      <c r="H222" s="55" t="s">
        <v>14</v>
      </c>
      <c r="I222" t="s">
        <v>48</v>
      </c>
      <c r="J222" s="142">
        <f t="shared" ca="1" si="52"/>
        <v>565354</v>
      </c>
      <c r="K222" s="142">
        <f t="shared" ca="1" si="53"/>
        <v>567366</v>
      </c>
      <c r="N222" s="55" t="s">
        <v>12</v>
      </c>
      <c r="O222" t="s">
        <v>50</v>
      </c>
      <c r="P222" s="142">
        <f t="shared" ca="1" si="54"/>
        <v>658152</v>
      </c>
      <c r="Q222" s="142">
        <f t="shared" ca="1" si="55"/>
        <v>661007</v>
      </c>
      <c r="T222" s="55" t="s">
        <v>14</v>
      </c>
      <c r="U222" t="s">
        <v>70</v>
      </c>
      <c r="V222" s="142">
        <f t="shared" ca="1" si="58"/>
        <v>621294</v>
      </c>
      <c r="W222" s="142">
        <f t="shared" ca="1" si="59"/>
        <v>623648</v>
      </c>
      <c r="AD222" s="142"/>
      <c r="AI222" s="142"/>
      <c r="AP222" s="142"/>
      <c r="AQ222" s="142"/>
      <c r="AV222" s="142"/>
      <c r="AW222" s="142"/>
      <c r="AX222" s="142"/>
    </row>
    <row r="223" spans="2:50">
      <c r="B223" s="55" t="s">
        <v>8</v>
      </c>
      <c r="C223" t="s">
        <v>48</v>
      </c>
      <c r="D223" s="142">
        <f t="shared" ca="1" si="50"/>
        <v>440498</v>
      </c>
      <c r="E223" s="142">
        <f t="shared" ca="1" si="51"/>
        <v>440642</v>
      </c>
      <c r="H223" s="55" t="s">
        <v>12</v>
      </c>
      <c r="I223" t="s">
        <v>48</v>
      </c>
      <c r="J223" s="142">
        <f t="shared" ca="1" si="52"/>
        <v>204002</v>
      </c>
      <c r="K223" s="142">
        <f t="shared" ca="1" si="53"/>
        <v>206874</v>
      </c>
      <c r="N223" s="55" t="s">
        <v>29</v>
      </c>
      <c r="O223" t="s">
        <v>48</v>
      </c>
      <c r="P223" s="142">
        <f t="shared" ca="1" si="54"/>
        <v>322773</v>
      </c>
      <c r="Q223" s="142">
        <f t="shared" ca="1" si="55"/>
        <v>326689</v>
      </c>
      <c r="T223" s="55" t="s">
        <v>14</v>
      </c>
      <c r="U223" t="s">
        <v>71</v>
      </c>
      <c r="V223" s="142">
        <f t="shared" ca="1" si="58"/>
        <v>309697</v>
      </c>
      <c r="W223" s="142">
        <f t="shared" ca="1" si="59"/>
        <v>313717</v>
      </c>
      <c r="AD223" s="142"/>
      <c r="AI223" s="142"/>
      <c r="AP223" s="142"/>
      <c r="AQ223" s="142"/>
      <c r="AV223" s="142"/>
      <c r="AW223" s="142"/>
      <c r="AX223" s="142"/>
    </row>
    <row r="224" spans="2:50">
      <c r="B224" s="55" t="s">
        <v>22</v>
      </c>
      <c r="C224" t="s">
        <v>50</v>
      </c>
      <c r="D224" s="142">
        <f t="shared" ca="1" si="50"/>
        <v>125378</v>
      </c>
      <c r="E224" s="142">
        <f t="shared" ca="1" si="51"/>
        <v>128329</v>
      </c>
      <c r="H224" s="55" t="s">
        <v>28</v>
      </c>
      <c r="I224" t="s">
        <v>48</v>
      </c>
      <c r="J224" s="142">
        <f t="shared" ca="1" si="52"/>
        <v>402448</v>
      </c>
      <c r="K224" s="142">
        <f t="shared" ca="1" si="53"/>
        <v>404584</v>
      </c>
      <c r="N224" s="55" t="s">
        <v>25</v>
      </c>
      <c r="O224" t="s">
        <v>48</v>
      </c>
      <c r="P224" s="142">
        <f t="shared" ca="1" si="54"/>
        <v>279329</v>
      </c>
      <c r="Q224" s="142">
        <f t="shared" ca="1" si="55"/>
        <v>280916</v>
      </c>
      <c r="T224" s="55" t="s">
        <v>14</v>
      </c>
      <c r="U224" t="s">
        <v>72</v>
      </c>
      <c r="V224" s="142">
        <f t="shared" ca="1" si="58"/>
        <v>337186</v>
      </c>
      <c r="W224" s="142">
        <f t="shared" ca="1" si="59"/>
        <v>340192</v>
      </c>
      <c r="AD224" s="142"/>
      <c r="AI224" s="142"/>
      <c r="AP224" s="142"/>
      <c r="AQ224" s="142"/>
      <c r="AV224" s="142"/>
      <c r="AW224" s="142"/>
      <c r="AX224" s="142"/>
    </row>
    <row r="225" spans="2:50">
      <c r="B225" s="55" t="s">
        <v>25</v>
      </c>
      <c r="C225" t="s">
        <v>45</v>
      </c>
      <c r="D225" s="142">
        <f t="shared" ca="1" si="50"/>
        <v>185740</v>
      </c>
      <c r="E225" s="142">
        <f t="shared" ca="1" si="51"/>
        <v>188089</v>
      </c>
      <c r="H225" s="55" t="s">
        <v>16</v>
      </c>
      <c r="I225" t="s">
        <v>48</v>
      </c>
      <c r="J225" s="142">
        <f t="shared" ca="1" si="52"/>
        <v>982427</v>
      </c>
      <c r="K225" s="142">
        <f t="shared" ca="1" si="53"/>
        <v>982928</v>
      </c>
      <c r="N225" s="55" t="s">
        <v>26</v>
      </c>
      <c r="O225" t="s">
        <v>48</v>
      </c>
      <c r="P225" s="142">
        <f t="shared" ca="1" si="54"/>
        <v>308810</v>
      </c>
      <c r="Q225" s="142">
        <f t="shared" ca="1" si="55"/>
        <v>314137</v>
      </c>
      <c r="T225" s="55" t="s">
        <v>14</v>
      </c>
      <c r="U225" t="s">
        <v>170</v>
      </c>
      <c r="V225" s="142">
        <f t="shared" ca="1" si="58"/>
        <v>856616</v>
      </c>
      <c r="W225" s="142">
        <f t="shared" ca="1" si="59"/>
        <v>863181</v>
      </c>
      <c r="AD225" s="142"/>
      <c r="AI225" s="142"/>
      <c r="AP225" s="142"/>
      <c r="AQ225" s="142"/>
      <c r="AV225" s="142"/>
      <c r="AW225" s="142"/>
      <c r="AX225" s="142"/>
    </row>
    <row r="226" spans="2:50">
      <c r="B226" s="55" t="s">
        <v>26</v>
      </c>
      <c r="C226" t="s">
        <v>42</v>
      </c>
      <c r="D226" s="142">
        <f t="shared" ca="1" si="50"/>
        <v>428528</v>
      </c>
      <c r="E226" s="142">
        <f t="shared" ca="1" si="51"/>
        <v>430006</v>
      </c>
      <c r="H226" s="55" t="s">
        <v>10</v>
      </c>
      <c r="I226" t="s">
        <v>48</v>
      </c>
      <c r="J226" s="142">
        <f t="shared" ca="1" si="52"/>
        <v>310089</v>
      </c>
      <c r="K226" s="142">
        <f t="shared" ca="1" si="53"/>
        <v>313316</v>
      </c>
      <c r="N226" s="55" t="s">
        <v>24</v>
      </c>
      <c r="O226" t="s">
        <v>48</v>
      </c>
      <c r="P226" s="142">
        <f t="shared" ca="1" si="54"/>
        <v>958071</v>
      </c>
      <c r="Q226" s="142">
        <f t="shared" ca="1" si="55"/>
        <v>959688</v>
      </c>
      <c r="T226" s="55" t="s">
        <v>27</v>
      </c>
      <c r="U226" t="s">
        <v>84</v>
      </c>
      <c r="V226" s="142">
        <f t="shared" ca="1" si="58"/>
        <v>301933</v>
      </c>
      <c r="W226" s="142">
        <f t="shared" ca="1" si="59"/>
        <v>307581</v>
      </c>
      <c r="AD226" s="142"/>
      <c r="AI226" s="142"/>
      <c r="AP226" s="142"/>
      <c r="AQ226" s="142"/>
      <c r="AV226" s="142"/>
      <c r="AW226" s="142"/>
      <c r="AX226" s="142"/>
    </row>
    <row r="227" spans="2:50">
      <c r="B227" s="55" t="s">
        <v>24</v>
      </c>
      <c r="C227" t="s">
        <v>42</v>
      </c>
      <c r="D227" s="142">
        <f t="shared" ca="1" si="50"/>
        <v>459844</v>
      </c>
      <c r="E227" s="142">
        <f t="shared" ca="1" si="51"/>
        <v>463017</v>
      </c>
      <c r="H227" s="55" t="s">
        <v>15</v>
      </c>
      <c r="I227" t="s">
        <v>48</v>
      </c>
      <c r="J227" s="142">
        <f t="shared" ca="1" si="52"/>
        <v>516365</v>
      </c>
      <c r="K227" s="142">
        <f t="shared" ca="1" si="53"/>
        <v>520896</v>
      </c>
      <c r="N227" s="55">
        <v>2021</v>
      </c>
      <c r="O227" t="s">
        <v>48</v>
      </c>
      <c r="P227" s="142">
        <f t="shared" ca="1" si="54"/>
        <v>731534</v>
      </c>
      <c r="Q227" s="142">
        <f t="shared" ca="1" si="55"/>
        <v>731654</v>
      </c>
      <c r="T227" s="55" t="s">
        <v>27</v>
      </c>
      <c r="U227" t="s">
        <v>85</v>
      </c>
      <c r="V227" s="142">
        <f t="shared" ca="1" si="58"/>
        <v>432170</v>
      </c>
      <c r="W227" s="142">
        <f t="shared" ca="1" si="59"/>
        <v>436800</v>
      </c>
      <c r="AD227" s="142"/>
      <c r="AI227" s="142"/>
      <c r="AP227" s="142"/>
      <c r="AQ227" s="142"/>
      <c r="AV227" s="142"/>
      <c r="AW227" s="142"/>
      <c r="AX227" s="142"/>
    </row>
    <row r="228" spans="2:50">
      <c r="B228" s="55" t="s">
        <v>29</v>
      </c>
      <c r="C228" t="s">
        <v>45</v>
      </c>
      <c r="D228" s="142">
        <f t="shared" ca="1" si="50"/>
        <v>476585</v>
      </c>
      <c r="E228" s="142">
        <f t="shared" ca="1" si="51"/>
        <v>478099</v>
      </c>
      <c r="H228" s="55" t="s">
        <v>24</v>
      </c>
      <c r="I228" t="s">
        <v>48</v>
      </c>
      <c r="J228" s="142">
        <f t="shared" ca="1" si="52"/>
        <v>178783</v>
      </c>
      <c r="K228" s="142">
        <f t="shared" ca="1" si="53"/>
        <v>182628</v>
      </c>
      <c r="T228" s="55" t="s">
        <v>27</v>
      </c>
      <c r="U228" t="s">
        <v>70</v>
      </c>
      <c r="V228" s="142">
        <f t="shared" ca="1" si="58"/>
        <v>711374</v>
      </c>
      <c r="W228" s="142">
        <f t="shared" ca="1" si="59"/>
        <v>712935</v>
      </c>
      <c r="AD228" s="142"/>
      <c r="AI228" s="142"/>
      <c r="AP228" s="142"/>
      <c r="AQ228" s="142"/>
      <c r="AV228" s="142"/>
      <c r="AW228" s="142"/>
      <c r="AX228" s="142"/>
    </row>
    <row r="229" spans="2:50">
      <c r="B229" s="55" t="s">
        <v>29</v>
      </c>
      <c r="C229" t="s">
        <v>42</v>
      </c>
      <c r="D229" s="142">
        <f t="shared" ca="1" si="50"/>
        <v>555576</v>
      </c>
      <c r="E229" s="142">
        <f t="shared" ca="1" si="51"/>
        <v>557307</v>
      </c>
      <c r="H229" s="55" t="s">
        <v>26</v>
      </c>
      <c r="I229" t="s">
        <v>48</v>
      </c>
      <c r="J229" s="142">
        <f t="shared" ca="1" si="52"/>
        <v>132422</v>
      </c>
      <c r="K229" s="142">
        <f t="shared" ca="1" si="53"/>
        <v>134544</v>
      </c>
      <c r="T229" s="55" t="s">
        <v>27</v>
      </c>
      <c r="U229" t="s">
        <v>71</v>
      </c>
      <c r="V229" s="142">
        <f t="shared" ca="1" si="58"/>
        <v>822107</v>
      </c>
      <c r="W229" s="142">
        <f t="shared" ca="1" si="59"/>
        <v>824027</v>
      </c>
      <c r="AD229" s="142"/>
      <c r="AI229" s="142"/>
      <c r="AP229" s="142"/>
      <c r="AQ229" s="142"/>
      <c r="AV229" s="142"/>
      <c r="AW229" s="142"/>
      <c r="AX229" s="142"/>
    </row>
    <row r="230" spans="2:50">
      <c r="B230" s="55" t="s">
        <v>25</v>
      </c>
      <c r="C230" t="s">
        <v>42</v>
      </c>
      <c r="D230" s="142">
        <f t="shared" ca="1" si="50"/>
        <v>573233</v>
      </c>
      <c r="E230" s="142">
        <f t="shared" ca="1" si="51"/>
        <v>580444</v>
      </c>
      <c r="H230" s="55" t="s">
        <v>29</v>
      </c>
      <c r="I230" t="s">
        <v>48</v>
      </c>
      <c r="J230" s="142">
        <f t="shared" ca="1" si="52"/>
        <v>275326</v>
      </c>
      <c r="K230" s="142">
        <f t="shared" ca="1" si="53"/>
        <v>281806</v>
      </c>
      <c r="T230" s="55" t="s">
        <v>27</v>
      </c>
      <c r="U230" t="s">
        <v>72</v>
      </c>
      <c r="V230" s="142">
        <f t="shared" ca="1" si="58"/>
        <v>361951</v>
      </c>
      <c r="W230" s="142">
        <f t="shared" ca="1" si="59"/>
        <v>362776</v>
      </c>
      <c r="AD230" s="142"/>
      <c r="AI230" s="142"/>
      <c r="AP230" s="142"/>
      <c r="AQ230" s="142"/>
      <c r="AV230" s="142"/>
      <c r="AW230" s="142"/>
      <c r="AX230" s="142"/>
    </row>
    <row r="231" spans="2:50">
      <c r="B231" s="55" t="s">
        <v>26</v>
      </c>
      <c r="C231" t="s">
        <v>45</v>
      </c>
      <c r="D231" s="142">
        <f t="shared" ca="1" si="50"/>
        <v>125528</v>
      </c>
      <c r="E231" s="142">
        <f t="shared" ca="1" si="51"/>
        <v>128961</v>
      </c>
      <c r="H231" s="55" t="s">
        <v>25</v>
      </c>
      <c r="I231" t="s">
        <v>48</v>
      </c>
      <c r="J231" s="142">
        <f t="shared" ca="1" si="52"/>
        <v>176504</v>
      </c>
      <c r="K231" s="142">
        <f t="shared" ca="1" si="53"/>
        <v>182114</v>
      </c>
      <c r="T231" s="55" t="s">
        <v>27</v>
      </c>
      <c r="U231" t="s">
        <v>170</v>
      </c>
      <c r="V231" s="142">
        <f t="shared" ca="1" si="58"/>
        <v>588849</v>
      </c>
      <c r="W231" s="142">
        <f t="shared" ca="1" si="59"/>
        <v>590092</v>
      </c>
      <c r="AD231" s="142"/>
      <c r="AI231" s="142"/>
      <c r="AP231" s="142"/>
      <c r="AQ231" s="142"/>
      <c r="AV231" s="142"/>
      <c r="AW231" s="142"/>
      <c r="AX231" s="142"/>
    </row>
    <row r="232" spans="2:50">
      <c r="B232" s="55" t="s">
        <v>24</v>
      </c>
      <c r="C232" t="s">
        <v>45</v>
      </c>
      <c r="D232" s="142">
        <f t="shared" ca="1" si="50"/>
        <v>674388</v>
      </c>
      <c r="E232" s="142">
        <f t="shared" ca="1" si="51"/>
        <v>676138</v>
      </c>
      <c r="H232" s="55">
        <v>2021</v>
      </c>
      <c r="I232" t="s">
        <v>48</v>
      </c>
      <c r="J232" s="142">
        <f t="shared" ca="1" si="52"/>
        <v>174169</v>
      </c>
      <c r="K232" s="142">
        <f t="shared" ca="1" si="53"/>
        <v>174715</v>
      </c>
      <c r="T232" s="55" t="s">
        <v>17</v>
      </c>
      <c r="U232" t="s">
        <v>84</v>
      </c>
      <c r="V232" s="142">
        <f t="shared" ca="1" si="58"/>
        <v>340594</v>
      </c>
      <c r="W232" s="142">
        <f t="shared" ca="1" si="59"/>
        <v>341645</v>
      </c>
      <c r="AD232" s="142"/>
      <c r="AI232" s="142"/>
      <c r="AP232" s="142"/>
      <c r="AQ232" s="142"/>
      <c r="AV232" s="142"/>
      <c r="AW232" s="142"/>
      <c r="AX232" s="142"/>
    </row>
    <row r="233" spans="2:50">
      <c r="B233" s="55" t="s">
        <v>29</v>
      </c>
      <c r="C233" t="s">
        <v>51</v>
      </c>
      <c r="D233" s="142">
        <f t="shared" ca="1" si="50"/>
        <v>996332</v>
      </c>
      <c r="E233" s="142">
        <f t="shared" ca="1" si="51"/>
        <v>999104</v>
      </c>
      <c r="T233" s="55" t="s">
        <v>17</v>
      </c>
      <c r="U233" t="s">
        <v>85</v>
      </c>
      <c r="V233" s="142">
        <f t="shared" ca="1" si="58"/>
        <v>665132</v>
      </c>
      <c r="W233" s="142">
        <f t="shared" ca="1" si="59"/>
        <v>667377</v>
      </c>
      <c r="AD233" s="142"/>
      <c r="AI233" s="142"/>
      <c r="AP233" s="142"/>
      <c r="AQ233" s="142"/>
      <c r="AV233" s="142"/>
      <c r="AW233" s="142"/>
      <c r="AX233" s="142"/>
    </row>
    <row r="234" spans="2:50">
      <c r="B234" s="55" t="s">
        <v>24</v>
      </c>
      <c r="C234" t="s">
        <v>51</v>
      </c>
      <c r="D234" s="142">
        <f t="shared" ca="1" si="50"/>
        <v>402900</v>
      </c>
      <c r="E234" s="142">
        <f t="shared" ca="1" si="51"/>
        <v>404101</v>
      </c>
      <c r="T234" s="55" t="s">
        <v>17</v>
      </c>
      <c r="U234" t="s">
        <v>70</v>
      </c>
      <c r="V234" s="142">
        <f t="shared" ca="1" si="58"/>
        <v>280644</v>
      </c>
      <c r="W234" s="142">
        <f t="shared" ca="1" si="59"/>
        <v>280961</v>
      </c>
      <c r="AD234" s="142"/>
      <c r="AI234" s="142"/>
      <c r="AP234" s="142"/>
      <c r="AQ234" s="142"/>
      <c r="AV234" s="142"/>
      <c r="AW234" s="142"/>
      <c r="AX234" s="142"/>
    </row>
    <row r="235" spans="2:50">
      <c r="B235" s="55" t="s">
        <v>25</v>
      </c>
      <c r="C235" t="s">
        <v>51</v>
      </c>
      <c r="D235" s="142">
        <f t="shared" ca="1" si="50"/>
        <v>260136</v>
      </c>
      <c r="E235" s="142">
        <f t="shared" ca="1" si="51"/>
        <v>261949</v>
      </c>
      <c r="T235" s="55" t="s">
        <v>17</v>
      </c>
      <c r="U235" t="s">
        <v>71</v>
      </c>
      <c r="V235" s="142">
        <f t="shared" ca="1" si="58"/>
        <v>806682</v>
      </c>
      <c r="W235" s="142">
        <f t="shared" ca="1" si="59"/>
        <v>807771</v>
      </c>
      <c r="AD235" s="142"/>
      <c r="AI235" s="142"/>
      <c r="AP235" s="142"/>
      <c r="AQ235" s="142"/>
      <c r="AV235" s="142"/>
      <c r="AW235" s="142"/>
      <c r="AX235" s="142"/>
    </row>
    <row r="236" spans="2:50">
      <c r="B236" s="55" t="s">
        <v>26</v>
      </c>
      <c r="C236" t="s">
        <v>51</v>
      </c>
      <c r="D236" s="142">
        <f t="shared" ca="1" si="50"/>
        <v>533513</v>
      </c>
      <c r="E236" s="142">
        <f t="shared" ca="1" si="51"/>
        <v>542301</v>
      </c>
      <c r="T236" s="55" t="s">
        <v>17</v>
      </c>
      <c r="U236" t="s">
        <v>72</v>
      </c>
      <c r="V236" s="142">
        <f t="shared" ca="1" si="58"/>
        <v>657225</v>
      </c>
      <c r="W236" s="142">
        <f t="shared" ca="1" si="59"/>
        <v>659122</v>
      </c>
      <c r="AD236" s="142"/>
      <c r="AI236" s="142"/>
      <c r="AP236" s="142"/>
      <c r="AQ236" s="142"/>
      <c r="AV236" s="142"/>
      <c r="AW236" s="142"/>
      <c r="AX236" s="142"/>
    </row>
    <row r="237" spans="2:50">
      <c r="B237" s="55">
        <v>2021</v>
      </c>
      <c r="C237" t="s">
        <v>42</v>
      </c>
      <c r="D237" s="142">
        <f t="shared" ca="1" si="50"/>
        <v>951275</v>
      </c>
      <c r="E237" s="142">
        <f t="shared" ca="1" si="51"/>
        <v>955077</v>
      </c>
      <c r="T237" s="55" t="s">
        <v>17</v>
      </c>
      <c r="U237" t="s">
        <v>170</v>
      </c>
      <c r="V237" s="142">
        <f t="shared" ca="1" si="58"/>
        <v>858637</v>
      </c>
      <c r="W237" s="142">
        <f t="shared" ca="1" si="59"/>
        <v>861936</v>
      </c>
      <c r="AD237" s="142"/>
      <c r="AI237" s="142"/>
      <c r="AP237" s="142"/>
      <c r="AQ237" s="142"/>
      <c r="AV237" s="142"/>
      <c r="AW237" s="142"/>
      <c r="AX237" s="142"/>
    </row>
    <row r="238" spans="2:50">
      <c r="B238" s="55">
        <v>2021</v>
      </c>
      <c r="C238" t="s">
        <v>45</v>
      </c>
      <c r="D238" s="142">
        <f t="shared" ca="1" si="50"/>
        <v>280320</v>
      </c>
      <c r="E238" s="142">
        <f t="shared" ca="1" si="51"/>
        <v>288729</v>
      </c>
      <c r="T238" s="55" t="s">
        <v>28</v>
      </c>
      <c r="U238" t="s">
        <v>84</v>
      </c>
      <c r="V238" s="142">
        <f t="shared" ca="1" si="58"/>
        <v>611120</v>
      </c>
      <c r="W238" s="142">
        <f t="shared" ca="1" si="59"/>
        <v>613006</v>
      </c>
      <c r="AD238" s="142"/>
      <c r="AI238" s="142"/>
      <c r="AP238" s="142"/>
      <c r="AQ238" s="142"/>
      <c r="AV238" s="142"/>
      <c r="AW238" s="142"/>
      <c r="AX238" s="142"/>
    </row>
    <row r="239" spans="2:50">
      <c r="B239" s="55">
        <v>2021</v>
      </c>
      <c r="C239" t="s">
        <v>51</v>
      </c>
      <c r="D239" s="142">
        <f t="shared" ca="1" si="50"/>
        <v>572896</v>
      </c>
      <c r="E239" s="142">
        <f t="shared" ca="1" si="51"/>
        <v>574103</v>
      </c>
      <c r="T239" s="55" t="s">
        <v>28</v>
      </c>
      <c r="U239" t="s">
        <v>85</v>
      </c>
      <c r="V239" s="142">
        <f t="shared" ca="1" si="58"/>
        <v>169611</v>
      </c>
      <c r="W239" s="142">
        <f t="shared" ca="1" si="59"/>
        <v>170752</v>
      </c>
      <c r="AD239" s="142"/>
      <c r="AI239" s="142"/>
      <c r="AP239" s="142"/>
      <c r="AQ239" s="142"/>
      <c r="AV239" s="142"/>
      <c r="AW239" s="142"/>
      <c r="AX239" s="142"/>
    </row>
    <row r="240" spans="2:50">
      <c r="B240" s="55" t="s">
        <v>16</v>
      </c>
      <c r="C240" t="s">
        <v>49</v>
      </c>
      <c r="D240" s="142">
        <f t="shared" ca="1" si="50"/>
        <v>320776</v>
      </c>
      <c r="E240" s="142">
        <f t="shared" ca="1" si="51"/>
        <v>321015</v>
      </c>
      <c r="T240" s="55" t="s">
        <v>28</v>
      </c>
      <c r="U240" t="s">
        <v>70</v>
      </c>
      <c r="V240" s="142">
        <f t="shared" ca="1" si="58"/>
        <v>350871</v>
      </c>
      <c r="W240" s="142">
        <f t="shared" ca="1" si="59"/>
        <v>352044</v>
      </c>
      <c r="AD240" s="142"/>
      <c r="AI240" s="142"/>
      <c r="AP240" s="142"/>
      <c r="AQ240" s="142"/>
      <c r="AV240" s="142"/>
      <c r="AW240" s="142"/>
      <c r="AX240" s="142"/>
    </row>
    <row r="241" spans="2:50">
      <c r="B241" s="55" t="s">
        <v>16</v>
      </c>
      <c r="C241" t="s">
        <v>42</v>
      </c>
      <c r="D241" s="142">
        <f t="shared" ca="1" si="50"/>
        <v>935261</v>
      </c>
      <c r="E241" s="142">
        <f t="shared" ca="1" si="51"/>
        <v>936065</v>
      </c>
      <c r="T241" s="55" t="s">
        <v>28</v>
      </c>
      <c r="U241" t="s">
        <v>71</v>
      </c>
      <c r="V241" s="142">
        <f t="shared" ca="1" si="58"/>
        <v>830241</v>
      </c>
      <c r="W241" s="142">
        <f t="shared" ca="1" si="59"/>
        <v>831115</v>
      </c>
      <c r="AD241" s="142"/>
      <c r="AI241" s="142"/>
      <c r="AP241" s="142"/>
      <c r="AQ241" s="142"/>
      <c r="AV241" s="142"/>
      <c r="AW241" s="142"/>
      <c r="AX241" s="142"/>
    </row>
    <row r="242" spans="2:50">
      <c r="B242" s="55" t="s">
        <v>16</v>
      </c>
      <c r="C242" t="s">
        <v>44</v>
      </c>
      <c r="D242" s="142">
        <v>223224</v>
      </c>
      <c r="E242" s="142">
        <v>228655</v>
      </c>
      <c r="T242" s="55" t="s">
        <v>28</v>
      </c>
      <c r="U242" t="s">
        <v>72</v>
      </c>
      <c r="V242" s="142">
        <f t="shared" ca="1" si="58"/>
        <v>782937</v>
      </c>
      <c r="W242" s="142">
        <f t="shared" ca="1" si="59"/>
        <v>785744</v>
      </c>
      <c r="AD242" s="142"/>
      <c r="AI242" s="142"/>
      <c r="AP242" s="142"/>
      <c r="AQ242" s="142"/>
      <c r="AV242" s="142"/>
      <c r="AW242" s="142"/>
      <c r="AX242" s="142"/>
    </row>
    <row r="243" spans="2:50">
      <c r="B243" s="55" t="s">
        <v>16</v>
      </c>
      <c r="C243" t="s">
        <v>18</v>
      </c>
      <c r="D243" s="142">
        <f t="shared" ca="1" si="50"/>
        <v>931192</v>
      </c>
      <c r="E243" s="142">
        <f t="shared" ca="1" si="51"/>
        <v>932796</v>
      </c>
      <c r="T243" s="55" t="s">
        <v>28</v>
      </c>
      <c r="U243" t="s">
        <v>170</v>
      </c>
      <c r="V243" s="142">
        <f t="shared" ca="1" si="58"/>
        <v>735715</v>
      </c>
      <c r="W243" s="142">
        <f t="shared" ca="1" si="59"/>
        <v>738005</v>
      </c>
      <c r="AD243" s="142"/>
      <c r="AI243" s="142"/>
      <c r="AP243" s="142"/>
      <c r="AQ243" s="142"/>
      <c r="AV243" s="142"/>
      <c r="AW243" s="142"/>
      <c r="AX243" s="142"/>
    </row>
    <row r="244" spans="2:50">
      <c r="B244" s="55" t="s">
        <v>16</v>
      </c>
      <c r="C244" t="s">
        <v>52</v>
      </c>
      <c r="D244" s="142">
        <f t="shared" ca="1" si="50"/>
        <v>711499</v>
      </c>
      <c r="E244" s="142">
        <f t="shared" ca="1" si="51"/>
        <v>714283</v>
      </c>
      <c r="T244" s="55" t="s">
        <v>16</v>
      </c>
      <c r="U244" t="s">
        <v>65</v>
      </c>
      <c r="V244" s="142">
        <f t="shared" ca="1" si="58"/>
        <v>702926</v>
      </c>
      <c r="W244" s="142">
        <f t="shared" ca="1" si="59"/>
        <v>703409</v>
      </c>
      <c r="AD244" s="142"/>
      <c r="AI244" s="142"/>
      <c r="AP244" s="142"/>
      <c r="AQ244" s="142"/>
      <c r="AV244" s="142"/>
      <c r="AW244" s="142"/>
      <c r="AX244" s="142"/>
    </row>
    <row r="245" spans="2:50">
      <c r="B245" s="55" t="s">
        <v>16</v>
      </c>
      <c r="C245" t="s">
        <v>36</v>
      </c>
      <c r="D245" s="142">
        <f t="shared" ca="1" si="50"/>
        <v>704232</v>
      </c>
      <c r="E245" s="142">
        <f t="shared" ca="1" si="51"/>
        <v>711983</v>
      </c>
      <c r="T245" s="55" t="s">
        <v>22</v>
      </c>
      <c r="U245" t="s">
        <v>65</v>
      </c>
      <c r="V245" s="142">
        <f t="shared" ca="1" si="58"/>
        <v>924842</v>
      </c>
      <c r="W245" s="142">
        <f t="shared" ca="1" si="59"/>
        <v>927906</v>
      </c>
      <c r="AD245" s="142"/>
      <c r="AI245" s="142"/>
      <c r="AP245" s="142"/>
      <c r="AQ245" s="142"/>
      <c r="AV245" s="142"/>
      <c r="AW245" s="142"/>
      <c r="AX245" s="142"/>
    </row>
    <row r="246" spans="2:50">
      <c r="B246" s="55" t="s">
        <v>16</v>
      </c>
      <c r="C246" t="s">
        <v>38</v>
      </c>
      <c r="D246" s="142">
        <f t="shared" ca="1" si="50"/>
        <v>977431</v>
      </c>
      <c r="E246" s="142">
        <f t="shared" ca="1" si="51"/>
        <v>978562</v>
      </c>
      <c r="T246" s="55" t="s">
        <v>23</v>
      </c>
      <c r="U246" t="s">
        <v>65</v>
      </c>
      <c r="V246" s="142">
        <f t="shared" ca="1" si="58"/>
        <v>443950</v>
      </c>
      <c r="W246" s="142">
        <f t="shared" ca="1" si="59"/>
        <v>445743</v>
      </c>
      <c r="AD246" s="142"/>
      <c r="AI246" s="142"/>
      <c r="AP246" s="142"/>
      <c r="AQ246" s="142"/>
      <c r="AV246" s="142"/>
      <c r="AW246" s="142"/>
      <c r="AX246" s="142"/>
    </row>
    <row r="247" spans="2:50">
      <c r="B247" s="55" t="s">
        <v>16</v>
      </c>
      <c r="C247" t="s">
        <v>40</v>
      </c>
      <c r="D247" s="142">
        <f t="shared" ca="1" si="50"/>
        <v>611363</v>
      </c>
      <c r="E247" s="142">
        <f t="shared" ca="1" si="51"/>
        <v>612517</v>
      </c>
      <c r="T247" s="55" t="s">
        <v>10</v>
      </c>
      <c r="U247" t="s">
        <v>65</v>
      </c>
      <c r="V247" s="142">
        <f t="shared" ca="1" si="58"/>
        <v>669003</v>
      </c>
      <c r="W247" s="142">
        <f t="shared" ca="1" si="59"/>
        <v>672333</v>
      </c>
      <c r="AD247" s="142"/>
      <c r="AI247" s="142"/>
      <c r="AP247" s="142"/>
      <c r="AQ247" s="142"/>
      <c r="AV247" s="142"/>
      <c r="AW247" s="142"/>
      <c r="AX247" s="142"/>
    </row>
    <row r="248" spans="2:50">
      <c r="B248" s="55" t="s">
        <v>16</v>
      </c>
      <c r="C248" t="s">
        <v>37</v>
      </c>
      <c r="D248" s="142">
        <f t="shared" ca="1" si="50"/>
        <v>165404</v>
      </c>
      <c r="E248" s="142">
        <f t="shared" ca="1" si="51"/>
        <v>165775</v>
      </c>
      <c r="T248" s="55" t="s">
        <v>9</v>
      </c>
      <c r="U248" t="s">
        <v>65</v>
      </c>
      <c r="V248" s="142">
        <f t="shared" ca="1" si="58"/>
        <v>598465</v>
      </c>
      <c r="W248" s="142">
        <f t="shared" ca="1" si="59"/>
        <v>598983</v>
      </c>
      <c r="AD248" s="142"/>
      <c r="AI248" s="142"/>
      <c r="AP248" s="142"/>
      <c r="AQ248" s="142"/>
      <c r="AV248" s="142"/>
      <c r="AW248" s="142"/>
      <c r="AX248" s="142"/>
    </row>
    <row r="249" spans="2:50">
      <c r="B249" s="55" t="s">
        <v>16</v>
      </c>
      <c r="C249" t="s">
        <v>46</v>
      </c>
      <c r="D249" s="142">
        <f t="shared" ca="1" si="50"/>
        <v>805729</v>
      </c>
      <c r="E249" s="142">
        <f t="shared" ca="1" si="51"/>
        <v>805909</v>
      </c>
      <c r="T249" s="55" t="s">
        <v>15</v>
      </c>
      <c r="U249" t="s">
        <v>65</v>
      </c>
      <c r="V249" s="142">
        <f t="shared" ca="1" si="58"/>
        <v>807635</v>
      </c>
      <c r="W249" s="142">
        <f t="shared" ca="1" si="59"/>
        <v>807686</v>
      </c>
      <c r="AD249" s="142"/>
      <c r="AI249" s="142"/>
      <c r="AP249" s="142"/>
      <c r="AQ249" s="142"/>
      <c r="AV249" s="142"/>
      <c r="AW249" s="142"/>
      <c r="AX249" s="142"/>
    </row>
    <row r="250" spans="2:50">
      <c r="B250" s="55" t="s">
        <v>16</v>
      </c>
      <c r="C250" t="s">
        <v>47</v>
      </c>
      <c r="D250" s="142">
        <f t="shared" ca="1" si="50"/>
        <v>878735</v>
      </c>
      <c r="E250" s="142">
        <f t="shared" ca="1" si="51"/>
        <v>879444</v>
      </c>
      <c r="T250" s="55" t="s">
        <v>8</v>
      </c>
      <c r="U250" t="s">
        <v>65</v>
      </c>
      <c r="V250" s="142">
        <f t="shared" ca="1" si="58"/>
        <v>507536</v>
      </c>
      <c r="W250" s="142">
        <f t="shared" ca="1" si="59"/>
        <v>507632</v>
      </c>
      <c r="AD250" s="142"/>
      <c r="AI250" s="142"/>
      <c r="AP250" s="142"/>
      <c r="AQ250" s="142"/>
      <c r="AV250" s="142"/>
      <c r="AW250" s="142"/>
      <c r="AX250" s="142"/>
    </row>
    <row r="251" spans="2:50">
      <c r="B251" s="55" t="s">
        <v>16</v>
      </c>
      <c r="C251" t="s">
        <v>53</v>
      </c>
      <c r="D251" s="142">
        <f t="shared" ca="1" si="50"/>
        <v>116854</v>
      </c>
      <c r="E251" s="142">
        <f t="shared" ca="1" si="51"/>
        <v>121939</v>
      </c>
      <c r="T251" s="55" t="s">
        <v>12</v>
      </c>
      <c r="U251" t="s">
        <v>65</v>
      </c>
      <c r="V251" s="142">
        <f t="shared" ca="1" si="58"/>
        <v>337128</v>
      </c>
      <c r="W251" s="142">
        <f t="shared" ca="1" si="59"/>
        <v>340798</v>
      </c>
      <c r="AD251" s="142"/>
      <c r="AI251" s="142"/>
      <c r="AP251" s="142"/>
      <c r="AQ251" s="142"/>
      <c r="AV251" s="142"/>
      <c r="AW251" s="142"/>
      <c r="AX251" s="142"/>
    </row>
    <row r="252" spans="2:50">
      <c r="B252" s="55" t="s">
        <v>16</v>
      </c>
      <c r="C252" t="s">
        <v>43</v>
      </c>
      <c r="D252" s="142">
        <f t="shared" ca="1" si="50"/>
        <v>525492</v>
      </c>
      <c r="E252" s="142">
        <f t="shared" ca="1" si="51"/>
        <v>531644</v>
      </c>
      <c r="T252" s="55" t="s">
        <v>14</v>
      </c>
      <c r="U252" t="s">
        <v>65</v>
      </c>
      <c r="V252" s="142">
        <f t="shared" ca="1" si="58"/>
        <v>650761</v>
      </c>
      <c r="W252" s="142">
        <f t="shared" ca="1" si="59"/>
        <v>656851</v>
      </c>
      <c r="AD252" s="142"/>
      <c r="AI252" s="142"/>
      <c r="AP252" s="142"/>
      <c r="AQ252" s="142"/>
      <c r="AV252" s="142"/>
      <c r="AW252" s="142"/>
      <c r="AX252" s="142"/>
    </row>
    <row r="253" spans="2:50">
      <c r="B253" s="55" t="s">
        <v>16</v>
      </c>
      <c r="C253" t="s">
        <v>45</v>
      </c>
      <c r="D253" s="142">
        <f t="shared" ca="1" si="50"/>
        <v>749895</v>
      </c>
      <c r="E253" s="142">
        <f t="shared" ca="1" si="51"/>
        <v>750018</v>
      </c>
      <c r="T253" s="55" t="s">
        <v>27</v>
      </c>
      <c r="U253" t="s">
        <v>65</v>
      </c>
      <c r="V253" s="142">
        <f t="shared" ca="1" si="58"/>
        <v>412609</v>
      </c>
      <c r="W253" s="142">
        <f t="shared" ca="1" si="59"/>
        <v>412685</v>
      </c>
      <c r="AD253" s="142"/>
      <c r="AI253" s="142"/>
      <c r="AP253" s="142"/>
      <c r="AQ253" s="142"/>
      <c r="AV253" s="142"/>
      <c r="AW253" s="142"/>
      <c r="AX253" s="142"/>
    </row>
    <row r="254" spans="2:50">
      <c r="B254" s="55" t="s">
        <v>16</v>
      </c>
      <c r="C254" t="s">
        <v>48</v>
      </c>
      <c r="D254" s="142">
        <f t="shared" ca="1" si="50"/>
        <v>599292</v>
      </c>
      <c r="E254" s="142">
        <f t="shared" ca="1" si="51"/>
        <v>600565</v>
      </c>
      <c r="T254" s="55" t="s">
        <v>17</v>
      </c>
      <c r="U254" t="s">
        <v>65</v>
      </c>
      <c r="V254" s="142">
        <f t="shared" ca="1" si="58"/>
        <v>209165</v>
      </c>
      <c r="W254" s="142">
        <f t="shared" ca="1" si="59"/>
        <v>209753</v>
      </c>
      <c r="AD254" s="142"/>
      <c r="AI254" s="142"/>
      <c r="AP254" s="142"/>
      <c r="AQ254" s="142"/>
      <c r="AV254" s="142"/>
      <c r="AW254" s="142"/>
      <c r="AX254" s="142"/>
    </row>
    <row r="255" spans="2:50">
      <c r="B255" s="55" t="s">
        <v>16</v>
      </c>
      <c r="C255" t="s">
        <v>50</v>
      </c>
      <c r="D255" s="142">
        <f t="shared" ca="1" si="50"/>
        <v>671522</v>
      </c>
      <c r="E255" s="142">
        <f t="shared" ca="1" si="51"/>
        <v>677286</v>
      </c>
      <c r="T255" s="55" t="s">
        <v>28</v>
      </c>
      <c r="U255" t="s">
        <v>65</v>
      </c>
      <c r="V255" s="142">
        <f t="shared" ca="1" si="58"/>
        <v>812718</v>
      </c>
      <c r="W255" s="142">
        <f t="shared" ca="1" si="59"/>
        <v>813758</v>
      </c>
      <c r="AD255" s="142"/>
      <c r="AI255" s="142"/>
      <c r="AP255" s="142"/>
      <c r="AQ255" s="142"/>
      <c r="AV255" s="142"/>
      <c r="AW255" s="142"/>
      <c r="AX255" s="142"/>
    </row>
    <row r="256" spans="2:50">
      <c r="B256" s="55" t="s">
        <v>16</v>
      </c>
      <c r="C256" t="s">
        <v>51</v>
      </c>
      <c r="D256" s="142">
        <f t="shared" ca="1" si="50"/>
        <v>764274</v>
      </c>
      <c r="E256" s="142">
        <f t="shared" ca="1" si="51"/>
        <v>765214</v>
      </c>
      <c r="AD256" s="142"/>
      <c r="AI256" s="142"/>
      <c r="AP256" s="142"/>
      <c r="AQ256" s="142"/>
      <c r="AV256" s="142"/>
      <c r="AW256" s="142"/>
      <c r="AX256" s="142"/>
    </row>
    <row r="257" spans="2:50">
      <c r="B257" s="55" t="s">
        <v>25</v>
      </c>
      <c r="C257" t="s">
        <v>40</v>
      </c>
      <c r="D257" s="142">
        <f t="shared" ca="1" si="50"/>
        <v>292141</v>
      </c>
      <c r="E257" s="142">
        <f t="shared" ca="1" si="51"/>
        <v>293142</v>
      </c>
      <c r="AD257" s="142"/>
      <c r="AI257" s="142"/>
      <c r="AP257" s="142"/>
      <c r="AQ257" s="142"/>
      <c r="AV257" s="142"/>
      <c r="AW257" s="142"/>
      <c r="AX257" s="142"/>
    </row>
    <row r="258" spans="2:50">
      <c r="B258" s="55" t="s">
        <v>24</v>
      </c>
      <c r="C258" t="s">
        <v>36</v>
      </c>
      <c r="D258" s="142">
        <f t="shared" ca="1" si="50"/>
        <v>271664</v>
      </c>
      <c r="E258" s="142">
        <f t="shared" ca="1" si="51"/>
        <v>272292</v>
      </c>
      <c r="AD258" s="142"/>
      <c r="AI258" s="142"/>
      <c r="AP258" s="142"/>
      <c r="AQ258" s="142"/>
      <c r="AV258" s="142"/>
      <c r="AW258" s="142"/>
      <c r="AX258" s="142"/>
    </row>
    <row r="259" spans="2:50">
      <c r="B259" s="55" t="s">
        <v>24</v>
      </c>
      <c r="C259" t="s">
        <v>40</v>
      </c>
      <c r="D259" s="142">
        <f t="shared" ref="D259:D264" ca="1" si="60">RANDBETWEEN(100000,1000000)</f>
        <v>792358</v>
      </c>
      <c r="E259" s="142">
        <f t="shared" ref="E259:E264" ca="1" si="61">RANDBETWEEN(D259,D259+RANDBETWEEN(1000,10000))</f>
        <v>795014</v>
      </c>
      <c r="AD259" s="142"/>
      <c r="AI259" s="142"/>
      <c r="AP259" s="142"/>
      <c r="AQ259" s="142"/>
      <c r="AV259" s="142"/>
      <c r="AW259" s="142"/>
      <c r="AX259" s="142"/>
    </row>
    <row r="260" spans="2:50">
      <c r="B260" s="55" t="s">
        <v>26</v>
      </c>
      <c r="C260" t="s">
        <v>36</v>
      </c>
      <c r="D260" s="142">
        <f t="shared" ca="1" si="60"/>
        <v>494417</v>
      </c>
      <c r="E260" s="142">
        <f t="shared" ca="1" si="61"/>
        <v>496450</v>
      </c>
      <c r="AD260" s="142"/>
      <c r="AI260" s="142"/>
      <c r="AP260" s="142"/>
      <c r="AQ260" s="142"/>
      <c r="AV260" s="142"/>
      <c r="AW260" s="142"/>
      <c r="AX260" s="142"/>
    </row>
    <row r="261" spans="2:50">
      <c r="B261" s="55" t="s">
        <v>29</v>
      </c>
      <c r="C261" t="s">
        <v>36</v>
      </c>
      <c r="D261" s="142">
        <f t="shared" ca="1" si="60"/>
        <v>623869</v>
      </c>
      <c r="E261" s="142">
        <f t="shared" ca="1" si="61"/>
        <v>624433</v>
      </c>
      <c r="AD261" s="142"/>
      <c r="AI261" s="142"/>
      <c r="AP261" s="142"/>
      <c r="AQ261" s="142"/>
      <c r="AV261" s="142"/>
      <c r="AW261" s="142"/>
      <c r="AX261" s="142"/>
    </row>
    <row r="262" spans="2:50">
      <c r="B262" s="55" t="s">
        <v>25</v>
      </c>
      <c r="C262" t="s">
        <v>36</v>
      </c>
      <c r="D262" s="142">
        <f t="shared" ca="1" si="60"/>
        <v>544936</v>
      </c>
      <c r="E262" s="142">
        <f t="shared" ca="1" si="61"/>
        <v>546538</v>
      </c>
      <c r="AD262" s="142"/>
      <c r="AI262" s="142"/>
      <c r="AP262" s="142"/>
      <c r="AQ262" s="142"/>
      <c r="AV262" s="142"/>
      <c r="AW262" s="142"/>
      <c r="AX262" s="142"/>
    </row>
    <row r="263" spans="2:50">
      <c r="B263" s="55">
        <v>2021</v>
      </c>
      <c r="C263" t="s">
        <v>36</v>
      </c>
      <c r="D263" s="142">
        <f t="shared" ca="1" si="60"/>
        <v>795621</v>
      </c>
      <c r="E263" s="142">
        <f t="shared" ca="1" si="61"/>
        <v>796942</v>
      </c>
      <c r="AD263" s="142"/>
      <c r="AI263" s="142"/>
      <c r="AP263" s="142"/>
      <c r="AQ263" s="142"/>
      <c r="AV263" s="142"/>
      <c r="AW263" s="142"/>
      <c r="AX263" s="142"/>
    </row>
    <row r="264" spans="2:50">
      <c r="B264" s="55">
        <v>2021</v>
      </c>
      <c r="C264" t="s">
        <v>40</v>
      </c>
      <c r="D264" s="142">
        <f t="shared" ca="1" si="60"/>
        <v>767846</v>
      </c>
      <c r="E264" s="142">
        <f t="shared" ca="1" si="61"/>
        <v>769949</v>
      </c>
      <c r="AD264" s="142"/>
      <c r="AI264" s="142"/>
      <c r="AP264" s="142"/>
      <c r="AQ264" s="142"/>
      <c r="AV264" s="142"/>
      <c r="AW264" s="142"/>
      <c r="AX264" s="142"/>
    </row>
  </sheetData>
  <mergeCells count="9">
    <mergeCell ref="AZ1:AZ3"/>
    <mergeCell ref="AF1:AF3"/>
    <mergeCell ref="AL1:AL3"/>
    <mergeCell ref="AS1:AS3"/>
    <mergeCell ref="A1:A3"/>
    <mergeCell ref="M1:M3"/>
    <mergeCell ref="S1:S3"/>
    <mergeCell ref="Y1:Y3"/>
    <mergeCell ref="G1:G3"/>
  </mergeCells>
  <phoneticPr fontId="35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2021 Revenue Goals &amp; Forecast</vt:lpstr>
      <vt:lpstr>Legacy Direct</vt:lpstr>
      <vt:lpstr>Compulse SaaS Detail</vt:lpstr>
      <vt:lpstr>Compulse Management Fees</vt:lpstr>
      <vt:lpstr>Compulse Media_Data Pass Thru</vt:lpstr>
      <vt:lpstr>Compulse Wholesale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fding</dc:creator>
  <cp:lastModifiedBy>Frances Ding</cp:lastModifiedBy>
  <dcterms:created xsi:type="dcterms:W3CDTF">2021-01-12T22:02:14Z</dcterms:created>
  <dcterms:modified xsi:type="dcterms:W3CDTF">2022-01-28T01:53:59Z</dcterms:modified>
</cp:coreProperties>
</file>